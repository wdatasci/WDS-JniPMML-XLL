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tables/table5.xml" ContentType="application/vnd.openxmlformats-officedocument.spreadsheetml.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026" codeName="{4AEB4F63-F33D-04DF-ECAF-5796C6CBFC7C}"/>
  <workbookPr filterPrivacy="1" codeName="ThisWorkbook" defaultThemeVersion="166925"/>
  <xr:revisionPtr revIDLastSave="0" documentId="13_ncr:1_{53E35A1D-C3BD-43E4-8302-53175F707EEE}" xr6:coauthVersionLast="45" xr6:coauthVersionMax="45" xr10:uidLastSave="{00000000-0000-0000-0000-000000000000}"/>
  <bookViews>
    <workbookView xWindow="-103" yWindow="-103" windowWidth="35314" windowHeight="18120" activeTab="6" xr2:uid="{88105AF1-CF7C-4FA1-93C3-355172D3CAC5}"/>
  </bookViews>
  <sheets>
    <sheet name="JniPMML_Eval_WithoutCache" sheetId="17" r:id="rId1"/>
    <sheet name="JniPMML_Eval" sheetId="24" r:id="rId2"/>
    <sheet name="JniPMMLTest" sheetId="3" r:id="rId3"/>
    <sheet name="Audit Test" sheetId="14" r:id="rId4"/>
    <sheet name="JniPMML-Cmd-Line-Example" sheetId="22" r:id="rId5"/>
    <sheet name="Other Tests" sheetId="2" r:id="rId6"/>
    <sheet name="ArtificialTreatments" sheetId="26" r:id="rId7"/>
  </sheets>
  <functionGroups builtInGroupCount="19">
    <functionGroup name="WDS-JniPMML-Cs.xll"/>
  </functionGroups>
  <definedNames>
    <definedName name="LoopCount">JniPMMLTest!$B$18</definedName>
  </definedNames>
  <calcPr calcId="191029"/>
  <extLst>
    <ext xmlns:x14="http://schemas.microsoft.com/office/spreadsheetml/2009/9/main" uri="{8193D73E-4604-4355-AFF4-8A2333D13BE4}">
      <x14:definedNames>
        <x14:definedName name="fCleanLimits">
          <x14:argumentDescriptions count="4">
            <x14:argumentDescription index="0">checked value</x14:argumentDescription>
            <x14:argumentDescription index="1">Returns default if arg lt CLLeft</x14:argumentDescription>
            <x14:argumentDescription index="2">Returns default if arg gt CLRight</x14:argumentDescription>
            <x14:argumentDescription index="3">Returned value if out of limits or bad value</x14:argumentDescription>
          </x14:argumentDescriptions>
        </x14:definedName>
        <x14:definedName name="fColumnFromCode">
          <x14:argumentDescriptions count="1">
            <x14:argumentDescription index="0">Convert R1C1 column to A1 column</x14:argumentDescription>
          </x14:argumentDescriptions>
        </x14:definedName>
        <x14:definedName name="fDate2MonthID">
          <x14:argumentDescriptions count="1">
            <x14:argumentDescription index="0">value as a usual Excel date</x14:argumentDescription>
          </x14:argumentDescriptions>
        </x14:definedName>
        <x14:definedName name="FlipSumProduct">
          <x14:argumentDescriptions count="2">
            <x14:argumentDescription index="0">A column vector, first element weights the last element of second argument, second-second last, etc.</x14:argumentDescription>
            <x14:argumentDescription index="1">A column vector Or column-oriented array to be weighted by the first argument</x14:argumentDescription>
          </x14:argumentDescriptions>
        </x14:definedName>
        <x14:definedName name="fMonthID2Date">
          <x14:argumentDescriptions count="1">
            <x14:argumentDescription index="0">A MonthID value, an integer number of months since 1999-12-01</x14:argumentDescription>
          </x14:argumentDescriptions>
        </x14:definedName>
        <x14:definedName name="fMonthID2MonthN">
          <x14:argumentDescriptions count="1">
            <x14:argumentDescription index="0">A MonthID value, an integer number of months since 1999-12-01</x14:argumentDescription>
          </x14:argumentDescriptions>
        </x14:definedName>
        <x14:definedName name="fMonthN2MonthID">
          <x14:argumentDescriptions count="1">
            <x14:argumentDescription index="0">A MonthN (YYYYMM) integer</x14:argumentDescription>
          </x14:argumentDescriptions>
        </x14:definedName>
        <x14:definedName name="fQuote">
          <x14:argumentDescriptions count="1">
            <x14:argumentDescription index="0">String to quote</x14:argumentDescription>
          </x14:argumentDescriptions>
        </x14:definedName>
        <x14:definedName name="fSheetName">
          <x14:argumentDescriptions count="2">
            <x14:argumentDescription index="0">Point to a cell or range</x14:argumentDescription>
            <x14:argumentDescription index="1">an optional argument (for dependency chaining if necessary</x14:argumentDescription>
          </x14:argumentDescriptions>
        </x14:definedName>
        <x14:definedName name="fWBName">
          <x14:argumentDescriptions count="2">
            <x14:argumentDescription index="0">Point to a cell or range</x14:argumentDescription>
            <x14:argumentDescription index="1">an optional argument (for dependency chaining if necessary</x14:argumentDescription>
          </x14:argumentDescriptions>
        </x14:definedName>
        <x14:definedName name="fWBPath">
          <x14:argumentDescriptions count="2">
            <x14:argumentDescription index="0">Point to a cell or range</x14:argumentDescription>
            <x14:argumentDescription index="1">an optional argument (for dependency chaining if necessary</x14:argumentDescription>
          </x14:argumentDescriptions>
        </x14:definedName>
        <x14:definedName name="ifNull">
          <x14:argumentDescriptions count="2">
            <x14:argumentDescription index="0">checked value</x14:argumentDescription>
            <x14:argumentDescription index="1">Returned value if out of limits or bad value</x14:argumentDescription>
          </x14:argumentDescriptions>
        </x14:definedName>
        <x14:definedName name="ifNullOrZero">
          <x14:argumentDescriptions count="2">
            <x14:argumentDescription index="0">checked value</x14:argumentDescription>
            <x14:argumentDescription index="1">Returned value if out of limits or bad value</x14:argumentDescription>
          </x14:argumentDescriptions>
        </x14:definedName>
        <x14:definedName name="IsASheetName">
          <x14:argumentDescriptions count="2">
            <x14:argumentDescription index="0">String to check if it is a worksheet name</x14:argumentDescription>
            <x14:argumentDescription index="1">A reference cell for the target workbook, if not used, checks against the active workbook</x14:argumentDescription>
          </x14:argumentDescriptions>
        </x14:definedName>
        <x14:definedName name="JniPMML_Eval_CacheHeaders">
          <x14:argumentDescriptions count="3">
            <x14:argumentDescription index="0">Use a Major.Minor Handle output from CreateHandle to chain calcuation dependency</x14:argumentDescription>
            <x14:argumentDescription index="1">Point to a reference cell or range of the XmlMap'd list [one that does not change with data, such as the header]</x14:argumentDescription>
            <x14:argumentDescription index="2">An optional output maximum string length, defaults to 64</x14:argumentDescription>
          </x14:argumentDescriptions>
        </x14:definedName>
        <x14:definedName name="JniPMML_Eval_WithoutCache">
          <x14:argumentDescriptions count="5">
            <x14:argumentDescription index="0">0/1, just to kill calculation</x14:argumentDescription>
            <x14:argumentDescription index="1">Path to external PMML filename or entire file as a string (an entire string is determined by the usual XML starting characters)</x14:argumentDescription>
            <x14:argumentDescription index="2">0/1, If input includes header row, output will include header row.</x14:argumentDescription>
            <x14:argumentDescription index="3">An XMLMap'd and exportable ListObject Table, column names are taken from the XMLMap</x14:argumentDescription>
            <x14:argumentDescription index="4">An optional output maximum string length, defaults to 64</x14:argumentDescription>
          </x14:argumentDescriptions>
        </x14:definedName>
        <x14:definedName name="JniPMML_MapInfo">
          <x14:argumentDescriptions count="1">
            <x14:argumentDescription index="0">Point to a reference cell or range of the XmlMap'd list (one that does not change with data, such as the header)</x14:argumentDescription>
          </x14:argumentDescriptions>
        </x14:definedName>
        <x14:definedName name="lMax">
          <x14:argumentDescriptions count="2">
            <x14:argumentDescription index="0">checked value</x14:argumentDescription>
            <x14:argumentDescription index="1">checked value</x14:argumentDescription>
          </x14:argumentDescriptions>
        </x14:definedName>
        <x14:definedName name="lMin">
          <x14:argumentDescriptions count="2">
            <x14:argumentDescription index="0">checked value</x14:argumentDescription>
            <x14:argumentDescription index="1">checked value</x14:argumentDescription>
          </x14:argumentDescriptions>
        </x14:definedName>
        <x14:definedName name="mnmx">
          <x14:argumentDescriptions count="3">
            <x14:argumentDescription index="0">minimum arg</x14:argumentDescription>
            <x14:argumentDescription index="1">max of arg2,arg3</x14:argumentDescription>
            <x14:argumentDescription index="2">max of arg2,arg3</x14:argumentDescription>
          </x14:argumentDescriptions>
        </x14:definedName>
        <x14:definedName name="XmlMapSchema">
          <x14:argumentDescriptions count="1">
            <x14:argumentDescription index="0">A cell or range that is part of an XmlMap'd ListObject</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19" i="26" l="1"/>
  <c r="G16" i="26" a="1"/>
  <c r="F20" i="26" a="1"/>
  <c r="B23" i="2" a="1"/>
  <c r="B13" i="3" a="1"/>
  <c r="G16" i="26" l="1"/>
  <c r="F20" i="26"/>
  <c r="B13" i="3"/>
  <c r="B23" i="2"/>
  <c r="S4" i="26"/>
  <c r="T4" i="26"/>
  <c r="U4" i="26"/>
  <c r="V4" i="26"/>
  <c r="W4" i="26"/>
  <c r="X4" i="26"/>
  <c r="Y4" i="26"/>
  <c r="S5" i="26"/>
  <c r="T5" i="26"/>
  <c r="U5" i="26"/>
  <c r="V5" i="26"/>
  <c r="W5" i="26"/>
  <c r="X5" i="26"/>
  <c r="Y5" i="26"/>
  <c r="S6" i="26"/>
  <c r="T6" i="26"/>
  <c r="U6" i="26"/>
  <c r="V6" i="26"/>
  <c r="W6" i="26"/>
  <c r="X6" i="26"/>
  <c r="Y6" i="26"/>
  <c r="S7" i="26"/>
  <c r="T7" i="26"/>
  <c r="U7" i="26"/>
  <c r="V7" i="26"/>
  <c r="W7" i="26"/>
  <c r="X7" i="26"/>
  <c r="Y7" i="26"/>
  <c r="R5" i="26"/>
  <c r="R6" i="26"/>
  <c r="R7" i="26"/>
  <c r="R4" i="26"/>
  <c r="B21" i="26" a="1"/>
  <c r="B14" i="3"/>
  <c r="D28" i="26" l="1"/>
  <c r="E28" i="26" s="1"/>
  <c r="D36" i="26"/>
  <c r="E36" i="26" s="1"/>
  <c r="D44" i="26"/>
  <c r="E44" i="26" s="1"/>
  <c r="D52" i="26"/>
  <c r="E52" i="26" s="1"/>
  <c r="D60" i="26"/>
  <c r="E60" i="26" s="1"/>
  <c r="D68" i="26"/>
  <c r="E68" i="26" s="1"/>
  <c r="D76" i="26"/>
  <c r="E76" i="26" s="1"/>
  <c r="D84" i="26"/>
  <c r="E84" i="26" s="1"/>
  <c r="D92" i="26"/>
  <c r="E92" i="26" s="1"/>
  <c r="D100" i="26"/>
  <c r="E100" i="26" s="1"/>
  <c r="D108" i="26"/>
  <c r="E108" i="26" s="1"/>
  <c r="D116" i="26"/>
  <c r="E116" i="26" s="1"/>
  <c r="D124" i="26"/>
  <c r="E124" i="26" s="1"/>
  <c r="D132" i="26"/>
  <c r="E132" i="26" s="1"/>
  <c r="D140" i="26"/>
  <c r="E140" i="26" s="1"/>
  <c r="D148" i="26"/>
  <c r="E148" i="26" s="1"/>
  <c r="D164" i="26"/>
  <c r="E164" i="26" s="1"/>
  <c r="D188" i="26"/>
  <c r="E188" i="26" s="1"/>
  <c r="D212" i="26"/>
  <c r="E212" i="26" s="1"/>
  <c r="D236" i="26"/>
  <c r="E236" i="26" s="1"/>
  <c r="D230" i="26"/>
  <c r="E230" i="26" s="1"/>
  <c r="D29" i="26"/>
  <c r="E29" i="26" s="1"/>
  <c r="D37" i="26"/>
  <c r="E37" i="26" s="1"/>
  <c r="D45" i="26"/>
  <c r="E45" i="26" s="1"/>
  <c r="D53" i="26"/>
  <c r="E53" i="26" s="1"/>
  <c r="D61" i="26"/>
  <c r="E61" i="26" s="1"/>
  <c r="D69" i="26"/>
  <c r="E69" i="26" s="1"/>
  <c r="D77" i="26"/>
  <c r="E77" i="26" s="1"/>
  <c r="D85" i="26"/>
  <c r="E85" i="26" s="1"/>
  <c r="D93" i="26"/>
  <c r="E93" i="26" s="1"/>
  <c r="D101" i="26"/>
  <c r="E101" i="26" s="1"/>
  <c r="D109" i="26"/>
  <c r="E109" i="26" s="1"/>
  <c r="D117" i="26"/>
  <c r="E117" i="26" s="1"/>
  <c r="D125" i="26"/>
  <c r="E125" i="26" s="1"/>
  <c r="D133" i="26"/>
  <c r="E133" i="26" s="1"/>
  <c r="D141" i="26"/>
  <c r="E141" i="26" s="1"/>
  <c r="D149" i="26"/>
  <c r="E149" i="26" s="1"/>
  <c r="D157" i="26"/>
  <c r="E157" i="26" s="1"/>
  <c r="D165" i="26"/>
  <c r="E165" i="26" s="1"/>
  <c r="D173" i="26"/>
  <c r="E173" i="26" s="1"/>
  <c r="D181" i="26"/>
  <c r="E181" i="26" s="1"/>
  <c r="D189" i="26"/>
  <c r="E189" i="26" s="1"/>
  <c r="D197" i="26"/>
  <c r="E197" i="26" s="1"/>
  <c r="D205" i="26"/>
  <c r="E205" i="26" s="1"/>
  <c r="D213" i="26"/>
  <c r="E213" i="26" s="1"/>
  <c r="D221" i="26"/>
  <c r="E221" i="26" s="1"/>
  <c r="D229" i="26"/>
  <c r="E229" i="26" s="1"/>
  <c r="D237" i="26"/>
  <c r="E237" i="26" s="1"/>
  <c r="D238" i="26"/>
  <c r="E238" i="26" s="1"/>
  <c r="D22" i="26"/>
  <c r="E22" i="26" s="1"/>
  <c r="D30" i="26"/>
  <c r="E30" i="26" s="1"/>
  <c r="D38" i="26"/>
  <c r="E38" i="26" s="1"/>
  <c r="D46" i="26"/>
  <c r="E46" i="26" s="1"/>
  <c r="D54" i="26"/>
  <c r="E54" i="26" s="1"/>
  <c r="D62" i="26"/>
  <c r="E62" i="26" s="1"/>
  <c r="D70" i="26"/>
  <c r="E70" i="26" s="1"/>
  <c r="D78" i="26"/>
  <c r="E78" i="26" s="1"/>
  <c r="D86" i="26"/>
  <c r="E86" i="26" s="1"/>
  <c r="D94" i="26"/>
  <c r="E94" i="26" s="1"/>
  <c r="D102" i="26"/>
  <c r="E102" i="26" s="1"/>
  <c r="D110" i="26"/>
  <c r="E110" i="26" s="1"/>
  <c r="D118" i="26"/>
  <c r="E118" i="26" s="1"/>
  <c r="D126" i="26"/>
  <c r="E126" i="26" s="1"/>
  <c r="D134" i="26"/>
  <c r="E134" i="26" s="1"/>
  <c r="D142" i="26"/>
  <c r="E142" i="26" s="1"/>
  <c r="D150" i="26"/>
  <c r="E150" i="26" s="1"/>
  <c r="D158" i="26"/>
  <c r="E158" i="26" s="1"/>
  <c r="D166" i="26"/>
  <c r="E166" i="26" s="1"/>
  <c r="D174" i="26"/>
  <c r="E174" i="26" s="1"/>
  <c r="D182" i="26"/>
  <c r="E182" i="26" s="1"/>
  <c r="D190" i="26"/>
  <c r="E190" i="26" s="1"/>
  <c r="D198" i="26"/>
  <c r="E198" i="26" s="1"/>
  <c r="D206" i="26"/>
  <c r="E206" i="26" s="1"/>
  <c r="D214" i="26"/>
  <c r="E214" i="26" s="1"/>
  <c r="D23" i="26"/>
  <c r="E23" i="26" s="1"/>
  <c r="D31" i="26"/>
  <c r="E31" i="26" s="1"/>
  <c r="D39" i="26"/>
  <c r="E39" i="26" s="1"/>
  <c r="D47" i="26"/>
  <c r="E47" i="26" s="1"/>
  <c r="D55" i="26"/>
  <c r="E55" i="26" s="1"/>
  <c r="D63" i="26"/>
  <c r="E63" i="26" s="1"/>
  <c r="D71" i="26"/>
  <c r="E71" i="26" s="1"/>
  <c r="D79" i="26"/>
  <c r="E79" i="26" s="1"/>
  <c r="D87" i="26"/>
  <c r="E87" i="26" s="1"/>
  <c r="D95" i="26"/>
  <c r="E95" i="26" s="1"/>
  <c r="D103" i="26"/>
  <c r="E103" i="26" s="1"/>
  <c r="D111" i="26"/>
  <c r="E111" i="26" s="1"/>
  <c r="D119" i="26"/>
  <c r="E119" i="26" s="1"/>
  <c r="D127" i="26"/>
  <c r="E127" i="26" s="1"/>
  <c r="D135" i="26"/>
  <c r="E135" i="26" s="1"/>
  <c r="D143" i="26"/>
  <c r="E143" i="26" s="1"/>
  <c r="D151" i="26"/>
  <c r="E151" i="26" s="1"/>
  <c r="D159" i="26"/>
  <c r="E159" i="26" s="1"/>
  <c r="D167" i="26"/>
  <c r="E167" i="26" s="1"/>
  <c r="D175" i="26"/>
  <c r="E175" i="26" s="1"/>
  <c r="D183" i="26"/>
  <c r="E183" i="26" s="1"/>
  <c r="D191" i="26"/>
  <c r="E191" i="26" s="1"/>
  <c r="D199" i="26"/>
  <c r="E199" i="26" s="1"/>
  <c r="D207" i="26"/>
  <c r="E207" i="26" s="1"/>
  <c r="D215" i="26"/>
  <c r="E215" i="26" s="1"/>
  <c r="D223" i="26"/>
  <c r="E223" i="26" s="1"/>
  <c r="D231" i="26"/>
  <c r="E231" i="26" s="1"/>
  <c r="D239" i="26"/>
  <c r="E239" i="26" s="1"/>
  <c r="D42" i="26"/>
  <c r="E42" i="26" s="1"/>
  <c r="D146" i="26"/>
  <c r="E146" i="26" s="1"/>
  <c r="D170" i="26"/>
  <c r="E170" i="26" s="1"/>
  <c r="D202" i="26"/>
  <c r="E202" i="26" s="1"/>
  <c r="D234" i="26"/>
  <c r="E234" i="26" s="1"/>
  <c r="D24" i="26"/>
  <c r="D32" i="26"/>
  <c r="E32" i="26" s="1"/>
  <c r="D40" i="26"/>
  <c r="E40" i="26" s="1"/>
  <c r="D48" i="26"/>
  <c r="E48" i="26" s="1"/>
  <c r="D56" i="26"/>
  <c r="E56" i="26" s="1"/>
  <c r="D64" i="26"/>
  <c r="E64" i="26" s="1"/>
  <c r="D72" i="26"/>
  <c r="E72" i="26" s="1"/>
  <c r="D80" i="26"/>
  <c r="E80" i="26" s="1"/>
  <c r="D88" i="26"/>
  <c r="E88" i="26" s="1"/>
  <c r="D96" i="26"/>
  <c r="E96" i="26" s="1"/>
  <c r="D104" i="26"/>
  <c r="E104" i="26" s="1"/>
  <c r="D112" i="26"/>
  <c r="E112" i="26" s="1"/>
  <c r="D120" i="26"/>
  <c r="E120" i="26" s="1"/>
  <c r="D128" i="26"/>
  <c r="E128" i="26" s="1"/>
  <c r="D136" i="26"/>
  <c r="E136" i="26" s="1"/>
  <c r="D144" i="26"/>
  <c r="E144" i="26" s="1"/>
  <c r="D152" i="26"/>
  <c r="E152" i="26" s="1"/>
  <c r="D160" i="26"/>
  <c r="E160" i="26" s="1"/>
  <c r="D168" i="26"/>
  <c r="E168" i="26" s="1"/>
  <c r="D176" i="26"/>
  <c r="E176" i="26" s="1"/>
  <c r="D184" i="26"/>
  <c r="E184" i="26" s="1"/>
  <c r="D192" i="26"/>
  <c r="E192" i="26" s="1"/>
  <c r="D200" i="26"/>
  <c r="E200" i="26" s="1"/>
  <c r="D208" i="26"/>
  <c r="E208" i="26" s="1"/>
  <c r="D216" i="26"/>
  <c r="E216" i="26" s="1"/>
  <c r="D224" i="26"/>
  <c r="E224" i="26" s="1"/>
  <c r="D232" i="26"/>
  <c r="E232" i="26" s="1"/>
  <c r="D240" i="26"/>
  <c r="E240" i="26" s="1"/>
  <c r="D26" i="26"/>
  <c r="E26" i="26" s="1"/>
  <c r="D50" i="26"/>
  <c r="E50" i="26" s="1"/>
  <c r="D58" i="26"/>
  <c r="E58" i="26" s="1"/>
  <c r="D66" i="26"/>
  <c r="E66" i="26" s="1"/>
  <c r="D82" i="26"/>
  <c r="E82" i="26" s="1"/>
  <c r="D98" i="26"/>
  <c r="E98" i="26" s="1"/>
  <c r="D114" i="26"/>
  <c r="E114" i="26" s="1"/>
  <c r="D138" i="26"/>
  <c r="E138" i="26" s="1"/>
  <c r="D162" i="26"/>
  <c r="E162" i="26" s="1"/>
  <c r="D186" i="26"/>
  <c r="E186" i="26" s="1"/>
  <c r="D210" i="26"/>
  <c r="E210" i="26" s="1"/>
  <c r="D226" i="26"/>
  <c r="E226" i="26" s="1"/>
  <c r="D25" i="26"/>
  <c r="E25" i="26" s="1"/>
  <c r="D33" i="26"/>
  <c r="E33" i="26" s="1"/>
  <c r="D41" i="26"/>
  <c r="E41" i="26" s="1"/>
  <c r="D49" i="26"/>
  <c r="E49" i="26" s="1"/>
  <c r="D57" i="26"/>
  <c r="E57" i="26" s="1"/>
  <c r="D65" i="26"/>
  <c r="E65" i="26" s="1"/>
  <c r="D73" i="26"/>
  <c r="E73" i="26" s="1"/>
  <c r="D81" i="26"/>
  <c r="E81" i="26" s="1"/>
  <c r="D89" i="26"/>
  <c r="E89" i="26" s="1"/>
  <c r="D97" i="26"/>
  <c r="E97" i="26" s="1"/>
  <c r="D105" i="26"/>
  <c r="E105" i="26" s="1"/>
  <c r="D113" i="26"/>
  <c r="E113" i="26" s="1"/>
  <c r="D121" i="26"/>
  <c r="E121" i="26" s="1"/>
  <c r="D129" i="26"/>
  <c r="E129" i="26" s="1"/>
  <c r="D137" i="26"/>
  <c r="E137" i="26" s="1"/>
  <c r="D145" i="26"/>
  <c r="E145" i="26" s="1"/>
  <c r="D153" i="26"/>
  <c r="E153" i="26" s="1"/>
  <c r="D161" i="26"/>
  <c r="E161" i="26" s="1"/>
  <c r="D169" i="26"/>
  <c r="E169" i="26" s="1"/>
  <c r="D177" i="26"/>
  <c r="E177" i="26" s="1"/>
  <c r="D185" i="26"/>
  <c r="E185" i="26" s="1"/>
  <c r="D193" i="26"/>
  <c r="E193" i="26" s="1"/>
  <c r="D201" i="26"/>
  <c r="E201" i="26" s="1"/>
  <c r="D209" i="26"/>
  <c r="E209" i="26" s="1"/>
  <c r="D217" i="26"/>
  <c r="E217" i="26" s="1"/>
  <c r="D225" i="26"/>
  <c r="E225" i="26" s="1"/>
  <c r="D233" i="26"/>
  <c r="E233" i="26" s="1"/>
  <c r="D241" i="26"/>
  <c r="E241" i="26" s="1"/>
  <c r="D34" i="26"/>
  <c r="E34" i="26" s="1"/>
  <c r="D74" i="26"/>
  <c r="E74" i="26" s="1"/>
  <c r="D90" i="26"/>
  <c r="E90" i="26" s="1"/>
  <c r="D106" i="26"/>
  <c r="E106" i="26" s="1"/>
  <c r="D122" i="26"/>
  <c r="E122" i="26" s="1"/>
  <c r="D130" i="26"/>
  <c r="E130" i="26" s="1"/>
  <c r="D154" i="26"/>
  <c r="E154" i="26" s="1"/>
  <c r="D178" i="26"/>
  <c r="E178" i="26" s="1"/>
  <c r="D194" i="26"/>
  <c r="E194" i="26" s="1"/>
  <c r="D218" i="26"/>
  <c r="E218" i="26" s="1"/>
  <c r="D27" i="26"/>
  <c r="E27" i="26" s="1"/>
  <c r="D35" i="26"/>
  <c r="E35" i="26" s="1"/>
  <c r="D43" i="26"/>
  <c r="E43" i="26" s="1"/>
  <c r="D51" i="26"/>
  <c r="E51" i="26" s="1"/>
  <c r="D59" i="26"/>
  <c r="E59" i="26" s="1"/>
  <c r="D67" i="26"/>
  <c r="E67" i="26" s="1"/>
  <c r="D75" i="26"/>
  <c r="E75" i="26" s="1"/>
  <c r="D83" i="26"/>
  <c r="E83" i="26" s="1"/>
  <c r="D91" i="26"/>
  <c r="E91" i="26" s="1"/>
  <c r="D99" i="26"/>
  <c r="E99" i="26" s="1"/>
  <c r="D107" i="26"/>
  <c r="E107" i="26" s="1"/>
  <c r="D115" i="26"/>
  <c r="E115" i="26" s="1"/>
  <c r="D123" i="26"/>
  <c r="E123" i="26" s="1"/>
  <c r="D131" i="26"/>
  <c r="E131" i="26" s="1"/>
  <c r="D139" i="26"/>
  <c r="E139" i="26" s="1"/>
  <c r="D147" i="26"/>
  <c r="E147" i="26" s="1"/>
  <c r="D155" i="26"/>
  <c r="E155" i="26" s="1"/>
  <c r="D163" i="26"/>
  <c r="E163" i="26" s="1"/>
  <c r="D171" i="26"/>
  <c r="E171" i="26" s="1"/>
  <c r="D179" i="26"/>
  <c r="E179" i="26" s="1"/>
  <c r="D187" i="26"/>
  <c r="E187" i="26" s="1"/>
  <c r="D195" i="26"/>
  <c r="E195" i="26" s="1"/>
  <c r="D203" i="26"/>
  <c r="E203" i="26" s="1"/>
  <c r="D211" i="26"/>
  <c r="E211" i="26" s="1"/>
  <c r="D219" i="26"/>
  <c r="E219" i="26" s="1"/>
  <c r="D227" i="26"/>
  <c r="E227" i="26" s="1"/>
  <c r="D235" i="26"/>
  <c r="E235" i="26" s="1"/>
  <c r="D156" i="26"/>
  <c r="E156" i="26" s="1"/>
  <c r="D172" i="26"/>
  <c r="E172" i="26" s="1"/>
  <c r="D180" i="26"/>
  <c r="E180" i="26" s="1"/>
  <c r="D196" i="26"/>
  <c r="E196" i="26" s="1"/>
  <c r="D204" i="26"/>
  <c r="E204" i="26" s="1"/>
  <c r="D220" i="26"/>
  <c r="E220" i="26" s="1"/>
  <c r="D228" i="26"/>
  <c r="E228" i="26" s="1"/>
  <c r="E24" i="26"/>
  <c r="D222" i="26"/>
  <c r="E222" i="26" s="1"/>
  <c r="B21" i="26"/>
  <c r="B9" i="2"/>
  <c r="G8" i="2"/>
  <c r="F9" i="2" a="1"/>
  <c r="H2" i="24" a="1"/>
  <c r="X2" i="14" a="1"/>
  <c r="T2" i="14" a="1"/>
  <c r="H3" i="17" a="1"/>
  <c r="D21" i="26" l="1"/>
  <c r="E21" i="26" s="1"/>
  <c r="T2" i="14"/>
  <c r="X2" i="14"/>
  <c r="H2" i="24"/>
  <c r="H3" i="17"/>
  <c r="F9" i="2"/>
  <c r="G9" i="2" s="1"/>
  <c r="B17" i="2"/>
  <c r="B16" i="2"/>
  <c r="G15" i="2"/>
  <c r="R21" i="26" a="1"/>
  <c r="F21" i="26" a="1"/>
  <c r="F16" i="2" a="1"/>
  <c r="F17" i="2" a="1"/>
  <c r="X3" i="14" a="1"/>
  <c r="H3" i="24" a="1"/>
  <c r="H6" i="17" a="1"/>
  <c r="T3" i="14"/>
  <c r="R21" i="26" l="1"/>
  <c r="F21" i="26"/>
  <c r="H6" i="17"/>
  <c r="F17" i="2"/>
  <c r="G17" i="2" s="1"/>
  <c r="F16" i="2"/>
  <c r="G16" i="2" s="1"/>
  <c r="C28" i="22"/>
  <c r="C27" i="22"/>
  <c r="C26" i="22"/>
  <c r="C25" i="22"/>
  <c r="C24" i="22"/>
  <c r="C23" i="22"/>
  <c r="C22" i="22"/>
  <c r="C21" i="22"/>
  <c r="C20" i="22"/>
  <c r="C19" i="22"/>
  <c r="C18" i="22"/>
  <c r="C17" i="22"/>
  <c r="C16" i="22"/>
  <c r="C15" i="22"/>
  <c r="C14" i="22"/>
  <c r="C13" i="22"/>
  <c r="C12" i="22"/>
  <c r="C11" i="22"/>
  <c r="C10" i="22"/>
  <c r="C9" i="22"/>
  <c r="B8" i="22" a="1"/>
  <c r="R2" i="26" a="1"/>
  <c r="C1" i="26" a="1"/>
  <c r="H3" i="24"/>
  <c r="X3" i="14"/>
  <c r="R2" i="26" l="1"/>
  <c r="C1" i="26"/>
  <c r="S1" i="26" s="1"/>
  <c r="G15" i="26"/>
  <c r="B8" i="22"/>
  <c r="C8" i="22" s="1"/>
  <c r="D13" i="2"/>
  <c r="C13" i="2"/>
  <c r="B13" i="2"/>
  <c r="B12" i="2"/>
  <c r="G11" i="2"/>
  <c r="B5" i="2"/>
  <c r="G3" i="2"/>
  <c r="F13" i="2" a="1"/>
  <c r="F12" i="2" a="1"/>
  <c r="F5" i="2" a="1"/>
  <c r="C6" i="22"/>
  <c r="H4" i="24" a="1"/>
  <c r="R20" i="26" a="1"/>
  <c r="H4" i="24" l="1"/>
  <c r="X21" i="26" a="1"/>
  <c r="R20" i="26"/>
  <c r="X20" i="26" s="1"/>
  <c r="Z20" i="26"/>
  <c r="X38" i="26" a="1"/>
  <c r="X28" i="26" a="1"/>
  <c r="X39" i="26" a="1"/>
  <c r="X91" i="26" a="1"/>
  <c r="X146" i="26" a="1"/>
  <c r="X100" i="26" a="1"/>
  <c r="X70" i="26" a="1"/>
  <c r="X137" i="26" a="1"/>
  <c r="X64" i="26" a="1"/>
  <c r="X120" i="26" a="1"/>
  <c r="X83" i="26" a="1"/>
  <c r="X140" i="26" a="1"/>
  <c r="X108" i="26" a="1"/>
  <c r="X166" i="26" a="1"/>
  <c r="X176" i="26" a="1"/>
  <c r="X139" i="26" a="1"/>
  <c r="X147" i="26" a="1"/>
  <c r="X192" i="26" a="1"/>
  <c r="X165" i="26" a="1"/>
  <c r="X183" i="26" a="1"/>
  <c r="X204" i="26" a="1"/>
  <c r="X80" i="26" a="1"/>
  <c r="X222" i="26" a="1"/>
  <c r="X236" i="26" a="1"/>
  <c r="X202" i="26" a="1"/>
  <c r="X94" i="26" a="1"/>
  <c r="X186" i="26" a="1"/>
  <c r="X221" i="26" a="1"/>
  <c r="X26" i="26" a="1"/>
  <c r="X157" i="26" a="1"/>
  <c r="X160" i="26" a="1"/>
  <c r="X159" i="26" a="1"/>
  <c r="X227" i="26" a="1"/>
  <c r="X136" i="26" a="1"/>
  <c r="X175" i="26" a="1"/>
  <c r="X220" i="26" a="1"/>
  <c r="X42" i="26" a="1"/>
  <c r="X32" i="26" a="1"/>
  <c r="X44" i="26" a="1"/>
  <c r="X98" i="26" a="1"/>
  <c r="X150" i="26" a="1"/>
  <c r="X109" i="26" a="1"/>
  <c r="X86" i="26" a="1"/>
  <c r="X141" i="26" a="1"/>
  <c r="X66" i="26" a="1"/>
  <c r="X129" i="26" a="1"/>
  <c r="X90" i="26" a="1"/>
  <c r="X56" i="26" a="1"/>
  <c r="X117" i="26" a="1"/>
  <c r="X48" i="26" a="1"/>
  <c r="X181" i="26" a="1"/>
  <c r="X143" i="26" a="1"/>
  <c r="X156" i="26" a="1"/>
  <c r="X200" i="26" a="1"/>
  <c r="X173" i="26" a="1"/>
  <c r="X187" i="26" a="1"/>
  <c r="X206" i="26" a="1"/>
  <c r="X152" i="26" a="1"/>
  <c r="X225" i="26" a="1"/>
  <c r="X239" i="26" a="1"/>
  <c r="X207" i="26" a="1"/>
  <c r="X205" i="26" a="1"/>
  <c r="X215" i="26" a="1"/>
  <c r="X76" i="26" a="1"/>
  <c r="X97" i="26" a="1"/>
  <c r="X50" i="26" a="1"/>
  <c r="X87" i="26" a="1"/>
  <c r="X113" i="26" a="1"/>
  <c r="X212" i="26" a="1"/>
  <c r="X25" i="26" a="1"/>
  <c r="X36" i="26" a="1"/>
  <c r="X46" i="26" a="1"/>
  <c r="X107" i="26" a="1"/>
  <c r="X55" i="26" a="1"/>
  <c r="X116" i="26" a="1"/>
  <c r="X95" i="26" a="1"/>
  <c r="X145" i="26" a="1"/>
  <c r="X79" i="26" a="1"/>
  <c r="X43" i="26" a="1"/>
  <c r="X99" i="26" a="1"/>
  <c r="X58" i="26" a="1"/>
  <c r="X124" i="26" a="1"/>
  <c r="X65" i="26" a="1"/>
  <c r="X185" i="26" a="1"/>
  <c r="X158" i="26" a="1"/>
  <c r="X167" i="26" a="1"/>
  <c r="X52" i="26" a="1"/>
  <c r="X121" i="26" a="1"/>
  <c r="X191" i="26" a="1"/>
  <c r="X228" i="26" a="1"/>
  <c r="X170" i="26" a="1"/>
  <c r="X168" i="26" a="1"/>
  <c r="X230" i="26" a="1"/>
  <c r="X209" i="26" a="1"/>
  <c r="X213" i="26" a="1"/>
  <c r="X232" i="26" a="1"/>
  <c r="X130" i="26" a="1"/>
  <c r="X51" i="26" a="1"/>
  <c r="X122" i="26" a="1"/>
  <c r="X67" i="26" a="1"/>
  <c r="X203" i="26" a="1"/>
  <c r="X172" i="26" a="1"/>
  <c r="X241" i="26" a="1"/>
  <c r="X101" i="26" a="1"/>
  <c r="X163" i="26" a="1"/>
  <c r="X190" i="26" a="1"/>
  <c r="X29" i="26" a="1"/>
  <c r="X40" i="26" a="1"/>
  <c r="X59" i="26" a="1"/>
  <c r="X114" i="26" a="1"/>
  <c r="X57" i="26" a="1"/>
  <c r="X125" i="26" a="1"/>
  <c r="X102" i="26" a="1"/>
  <c r="X149" i="26" a="1"/>
  <c r="X81" i="26" a="1"/>
  <c r="X45" i="26" a="1"/>
  <c r="X106" i="26" a="1"/>
  <c r="X71" i="26" a="1"/>
  <c r="X133" i="26" a="1"/>
  <c r="X89" i="26" a="1"/>
  <c r="X189" i="26" a="1"/>
  <c r="X188" i="26" a="1"/>
  <c r="X169" i="26" a="1"/>
  <c r="X69" i="26" a="1"/>
  <c r="X128" i="26" a="1"/>
  <c r="X195" i="26" a="1"/>
  <c r="X231" i="26" a="1"/>
  <c r="X194" i="26" a="1"/>
  <c r="X217" i="26" a="1"/>
  <c r="X223" i="26" a="1"/>
  <c r="X211" i="26" a="1"/>
  <c r="X218" i="26" a="1"/>
  <c r="X235" i="26" a="1"/>
  <c r="X238" i="26" a="1"/>
  <c r="X37" i="26" a="1"/>
  <c r="X118" i="26" a="1"/>
  <c r="X85" i="26" a="1"/>
  <c r="X178" i="26" a="1"/>
  <c r="X237" i="26" a="1"/>
  <c r="X174" i="26" a="1"/>
  <c r="X219" i="26" a="1"/>
  <c r="X22" i="26" a="1"/>
  <c r="X33" i="26" a="1"/>
  <c r="X23" i="26" a="1"/>
  <c r="X61" i="26" a="1"/>
  <c r="X123" i="26" a="1"/>
  <c r="X72" i="26" a="1"/>
  <c r="X132" i="26" a="1"/>
  <c r="X111" i="26" a="1"/>
  <c r="X153" i="26" a="1"/>
  <c r="X88" i="26" a="1"/>
  <c r="X60" i="26" a="1"/>
  <c r="X115" i="26" a="1"/>
  <c r="X73" i="26" a="1"/>
  <c r="X103" i="26" a="1"/>
  <c r="X96" i="26" a="1"/>
  <c r="X193" i="26" a="1"/>
  <c r="X196" i="26" a="1"/>
  <c r="X171" i="26" a="1"/>
  <c r="X135" i="26" a="1"/>
  <c r="X148" i="26" a="1"/>
  <c r="X199" i="26" a="1"/>
  <c r="X234" i="26" a="1"/>
  <c r="X201" i="26" a="1"/>
  <c r="X54" i="26" a="1"/>
  <c r="X210" i="26" a="1"/>
  <c r="X224" i="26" a="1"/>
  <c r="X27" i="26" a="1"/>
  <c r="X74" i="26" a="1"/>
  <c r="X62" i="26" a="1"/>
  <c r="X110" i="26" a="1"/>
  <c r="X144" i="26" a="1"/>
  <c r="X214" i="26" a="1"/>
  <c r="X182" i="26" a="1"/>
  <c r="X164" i="26" a="1"/>
  <c r="X197" i="26" a="1"/>
  <c r="X63" i="26" a="1"/>
  <c r="X30" i="26" a="1"/>
  <c r="X41" i="26" a="1"/>
  <c r="X31" i="26" a="1"/>
  <c r="X78" i="26" a="1"/>
  <c r="X138" i="26" a="1"/>
  <c r="X84" i="26" a="1"/>
  <c r="X53" i="26" a="1"/>
  <c r="X127" i="26" a="1"/>
  <c r="X47" i="26" a="1"/>
  <c r="X104" i="26" a="1"/>
  <c r="X75" i="26" a="1"/>
  <c r="X131" i="26" a="1"/>
  <c r="X92" i="26" a="1"/>
  <c r="X155" i="26" a="1"/>
  <c r="X162" i="26" a="1"/>
  <c r="X119" i="26" a="1"/>
  <c r="X105" i="26" a="1"/>
  <c r="X180" i="26" a="1"/>
  <c r="X151" i="26" a="1"/>
  <c r="X161" i="26" a="1"/>
  <c r="X177" i="26" a="1"/>
  <c r="X226" i="26" a="1"/>
  <c r="X216" i="26" a="1"/>
  <c r="X154" i="26" a="1"/>
  <c r="X179" i="26" a="1"/>
  <c r="X233" i="26" a="1"/>
  <c r="X240" i="26" a="1"/>
  <c r="X229" i="26" a="1"/>
  <c r="X34" i="26" a="1"/>
  <c r="X24" i="26" a="1"/>
  <c r="X35" i="26" a="1"/>
  <c r="X82" i="26" a="1"/>
  <c r="X142" i="26" a="1"/>
  <c r="X93" i="26" a="1"/>
  <c r="X68" i="26" a="1"/>
  <c r="X134" i="26" a="1"/>
  <c r="X49" i="26" a="1"/>
  <c r="X77" i="26" a="1"/>
  <c r="X126" i="26" a="1"/>
  <c r="X112" i="26" a="1"/>
  <c r="X184" i="26" a="1"/>
  <c r="X198" i="26" a="1"/>
  <c r="X208" i="26" a="1"/>
  <c r="F13" i="2"/>
  <c r="G13" i="2" s="1"/>
  <c r="F12" i="2"/>
  <c r="G12" i="2" s="1"/>
  <c r="F5" i="2"/>
  <c r="G5" i="2" s="1"/>
  <c r="F4" i="2" a="1"/>
  <c r="H7" i="24" a="1"/>
  <c r="H6" i="24" a="1"/>
  <c r="H8" i="24" a="1"/>
  <c r="H8" i="24" l="1"/>
  <c r="H6" i="24"/>
  <c r="H7" i="24"/>
  <c r="Z24" i="26"/>
  <c r="AA24" i="26"/>
  <c r="AB24" i="26"/>
  <c r="X24" i="26"/>
  <c r="Y24" i="26"/>
  <c r="AB84" i="26"/>
  <c r="X84" i="26"/>
  <c r="Y84" i="26"/>
  <c r="Z84" i="26"/>
  <c r="AA84" i="26"/>
  <c r="AB88" i="26"/>
  <c r="X88" i="26"/>
  <c r="Y88" i="26"/>
  <c r="Z88" i="26"/>
  <c r="AA88" i="26"/>
  <c r="Y57" i="26"/>
  <c r="AA57" i="26"/>
  <c r="AB57" i="26"/>
  <c r="Z57" i="26"/>
  <c r="X57" i="26"/>
  <c r="AB52" i="26"/>
  <c r="X52" i="26"/>
  <c r="Z52" i="26"/>
  <c r="AA52" i="26"/>
  <c r="Y52" i="26"/>
  <c r="X34" i="26"/>
  <c r="Y34" i="26"/>
  <c r="Z34" i="26"/>
  <c r="AA34" i="26"/>
  <c r="AB34" i="26"/>
  <c r="AB182" i="26"/>
  <c r="X182" i="26"/>
  <c r="Y182" i="26"/>
  <c r="Z182" i="26"/>
  <c r="AA182" i="26"/>
  <c r="Y153" i="26"/>
  <c r="AA153" i="26"/>
  <c r="AB153" i="26"/>
  <c r="X153" i="26"/>
  <c r="Z153" i="26"/>
  <c r="AA195" i="26"/>
  <c r="Z195" i="26"/>
  <c r="AB195" i="26"/>
  <c r="X195" i="26"/>
  <c r="Y195" i="26"/>
  <c r="X209" i="26"/>
  <c r="Z209" i="26"/>
  <c r="AB209" i="26"/>
  <c r="Y209" i="26"/>
  <c r="AA209" i="26"/>
  <c r="Y25" i="26"/>
  <c r="Z25" i="26"/>
  <c r="AA25" i="26"/>
  <c r="AB25" i="26"/>
  <c r="X25" i="26"/>
  <c r="X198" i="26"/>
  <c r="Z198" i="26"/>
  <c r="AA198" i="26"/>
  <c r="AB198" i="26"/>
  <c r="Y198" i="26"/>
  <c r="Z93" i="26"/>
  <c r="X93" i="26"/>
  <c r="Y93" i="26"/>
  <c r="AA93" i="26"/>
  <c r="AB93" i="26"/>
  <c r="Y233" i="26"/>
  <c r="Z233" i="26"/>
  <c r="X233" i="26"/>
  <c r="AA233" i="26"/>
  <c r="AB233" i="26"/>
  <c r="X180" i="26"/>
  <c r="Y180" i="26"/>
  <c r="Z180" i="26"/>
  <c r="AA180" i="26"/>
  <c r="AB180" i="26"/>
  <c r="X104" i="26"/>
  <c r="Y104" i="26"/>
  <c r="Z104" i="26"/>
  <c r="AA104" i="26"/>
  <c r="AB104" i="26"/>
  <c r="Z41" i="26"/>
  <c r="AA41" i="26"/>
  <c r="AB41" i="26"/>
  <c r="Y41" i="26"/>
  <c r="X41" i="26"/>
  <c r="AA110" i="26"/>
  <c r="Y110" i="26"/>
  <c r="X110" i="26"/>
  <c r="AB110" i="26"/>
  <c r="Z110" i="26"/>
  <c r="AA234" i="26"/>
  <c r="AB234" i="26"/>
  <c r="Z234" i="26"/>
  <c r="X234" i="26"/>
  <c r="Y234" i="26"/>
  <c r="AB103" i="26"/>
  <c r="X103" i="26"/>
  <c r="Z103" i="26"/>
  <c r="Y103" i="26"/>
  <c r="AA103" i="26"/>
  <c r="Z72" i="26"/>
  <c r="AA72" i="26"/>
  <c r="AB72" i="26"/>
  <c r="X72" i="26"/>
  <c r="Y72" i="26"/>
  <c r="AA237" i="26"/>
  <c r="AB237" i="26"/>
  <c r="X237" i="26"/>
  <c r="Y237" i="26"/>
  <c r="Z237" i="26"/>
  <c r="Z211" i="26"/>
  <c r="AB211" i="26"/>
  <c r="X211" i="26"/>
  <c r="Y211" i="26"/>
  <c r="AA211" i="26"/>
  <c r="Y169" i="26"/>
  <c r="AA169" i="26"/>
  <c r="AB169" i="26"/>
  <c r="X169" i="26"/>
  <c r="Z169" i="26"/>
  <c r="Y81" i="26"/>
  <c r="AA81" i="26"/>
  <c r="AB81" i="26"/>
  <c r="Z81" i="26"/>
  <c r="X81" i="26"/>
  <c r="Z29" i="26"/>
  <c r="AA29" i="26"/>
  <c r="AB29" i="26"/>
  <c r="Y29" i="26"/>
  <c r="X29" i="26"/>
  <c r="AB122" i="26"/>
  <c r="Y122" i="26"/>
  <c r="Z122" i="26"/>
  <c r="AA122" i="26"/>
  <c r="X122" i="26"/>
  <c r="Y170" i="26"/>
  <c r="AA170" i="26"/>
  <c r="AB170" i="26"/>
  <c r="X170" i="26"/>
  <c r="Z170" i="26"/>
  <c r="Y65" i="26"/>
  <c r="AA65" i="26"/>
  <c r="AB65" i="26"/>
  <c r="X65" i="26"/>
  <c r="Z65" i="26"/>
  <c r="Y116" i="26"/>
  <c r="Z116" i="26"/>
  <c r="AA116" i="26"/>
  <c r="AB116" i="26"/>
  <c r="X116" i="26"/>
  <c r="Z87" i="26"/>
  <c r="Y87" i="26"/>
  <c r="AA87" i="26"/>
  <c r="AB87" i="26"/>
  <c r="X87" i="26"/>
  <c r="AB225" i="26"/>
  <c r="X225" i="26"/>
  <c r="Y225" i="26"/>
  <c r="Z225" i="26"/>
  <c r="AA225" i="26"/>
  <c r="AB181" i="26"/>
  <c r="X181" i="26"/>
  <c r="Y181" i="26"/>
  <c r="Z181" i="26"/>
  <c r="AA181" i="26"/>
  <c r="AA86" i="26"/>
  <c r="X86" i="26"/>
  <c r="AB86" i="26"/>
  <c r="Y86" i="26"/>
  <c r="Z86" i="26"/>
  <c r="Z175" i="26"/>
  <c r="AB175" i="26"/>
  <c r="AA175" i="26"/>
  <c r="Y175" i="26"/>
  <c r="X175" i="26"/>
  <c r="X21" i="26"/>
  <c r="Y21" i="26"/>
  <c r="Z21" i="26"/>
  <c r="AB21" i="26"/>
  <c r="AA21" i="26"/>
  <c r="Z183" i="26"/>
  <c r="AA183" i="26"/>
  <c r="AB183" i="26"/>
  <c r="X183" i="26"/>
  <c r="Y183" i="26"/>
  <c r="AA140" i="26"/>
  <c r="AB140" i="26"/>
  <c r="X140" i="26"/>
  <c r="Y140" i="26"/>
  <c r="Z140" i="26"/>
  <c r="Z91" i="26"/>
  <c r="X91" i="26"/>
  <c r="Y91" i="26"/>
  <c r="AA91" i="26"/>
  <c r="AB91" i="26"/>
  <c r="AA177" i="26"/>
  <c r="AB177" i="26"/>
  <c r="Y177" i="26"/>
  <c r="X177" i="26"/>
  <c r="Z177" i="26"/>
  <c r="Y210" i="26"/>
  <c r="AA210" i="26"/>
  <c r="AB210" i="26"/>
  <c r="X210" i="26"/>
  <c r="Z210" i="26"/>
  <c r="Z22" i="26"/>
  <c r="AA22" i="26"/>
  <c r="AB22" i="26"/>
  <c r="X22" i="26"/>
  <c r="Y22" i="26"/>
  <c r="Z71" i="26"/>
  <c r="AB71" i="26"/>
  <c r="AA71" i="26"/>
  <c r="Y71" i="26"/>
  <c r="X71" i="26"/>
  <c r="AB167" i="26"/>
  <c r="X167" i="26"/>
  <c r="Y167" i="26"/>
  <c r="AA167" i="26"/>
  <c r="Z167" i="26"/>
  <c r="Y205" i="26"/>
  <c r="AA205" i="26"/>
  <c r="X205" i="26"/>
  <c r="Z205" i="26"/>
  <c r="AB205" i="26"/>
  <c r="AA184" i="26"/>
  <c r="AB184" i="26"/>
  <c r="X184" i="26"/>
  <c r="Z184" i="26"/>
  <c r="Y184" i="26"/>
  <c r="AB142" i="26"/>
  <c r="AA142" i="26"/>
  <c r="X142" i="26"/>
  <c r="Z142" i="26"/>
  <c r="Y142" i="26"/>
  <c r="Z179" i="26"/>
  <c r="AB179" i="26"/>
  <c r="X179" i="26"/>
  <c r="Y179" i="26"/>
  <c r="AA179" i="26"/>
  <c r="AB105" i="26"/>
  <c r="Z105" i="26"/>
  <c r="AA105" i="26"/>
  <c r="X105" i="26"/>
  <c r="Y105" i="26"/>
  <c r="AA47" i="26"/>
  <c r="Z47" i="26"/>
  <c r="AB47" i="26"/>
  <c r="X47" i="26"/>
  <c r="Y47" i="26"/>
  <c r="AB30" i="26"/>
  <c r="AA30" i="26"/>
  <c r="X30" i="26"/>
  <c r="Y30" i="26"/>
  <c r="Z30" i="26"/>
  <c r="AA62" i="26"/>
  <c r="X62" i="26"/>
  <c r="Z62" i="26"/>
  <c r="AB62" i="26"/>
  <c r="Y62" i="26"/>
  <c r="Z199" i="26"/>
  <c r="AB199" i="26"/>
  <c r="AA199" i="26"/>
  <c r="X199" i="26"/>
  <c r="Y199" i="26"/>
  <c r="X73" i="26"/>
  <c r="Z73" i="26"/>
  <c r="AB73" i="26"/>
  <c r="Y73" i="26"/>
  <c r="AA73" i="26"/>
  <c r="Z123" i="26"/>
  <c r="X123" i="26"/>
  <c r="Y123" i="26"/>
  <c r="AA123" i="26"/>
  <c r="AB123" i="26"/>
  <c r="X178" i="26"/>
  <c r="Z178" i="26"/>
  <c r="Y178" i="26"/>
  <c r="AA178" i="26"/>
  <c r="AB178" i="26"/>
  <c r="X223" i="26"/>
  <c r="AB223" i="26"/>
  <c r="Y223" i="26"/>
  <c r="Z223" i="26"/>
  <c r="AA223" i="26"/>
  <c r="AB188" i="26"/>
  <c r="X188" i="26"/>
  <c r="Y188" i="26"/>
  <c r="Z188" i="26"/>
  <c r="AA188" i="26"/>
  <c r="X149" i="26"/>
  <c r="Z149" i="26"/>
  <c r="Y149" i="26"/>
  <c r="AA149" i="26"/>
  <c r="AB149" i="26"/>
  <c r="AB190" i="26"/>
  <c r="X190" i="26"/>
  <c r="Y190" i="26"/>
  <c r="Z190" i="26"/>
  <c r="AA190" i="26"/>
  <c r="Z51" i="26"/>
  <c r="AB51" i="26"/>
  <c r="X51" i="26"/>
  <c r="Y51" i="26"/>
  <c r="AA51" i="26"/>
  <c r="X228" i="26"/>
  <c r="Y228" i="26"/>
  <c r="Z228" i="26"/>
  <c r="AA228" i="26"/>
  <c r="AB228" i="26"/>
  <c r="AB124" i="26"/>
  <c r="X124" i="26"/>
  <c r="AA124" i="26"/>
  <c r="Y124" i="26"/>
  <c r="Z124" i="26"/>
  <c r="Z55" i="26"/>
  <c r="AB55" i="26"/>
  <c r="X55" i="26"/>
  <c r="AA55" i="26"/>
  <c r="Y55" i="26"/>
  <c r="AB50" i="26"/>
  <c r="Y50" i="26"/>
  <c r="AA50" i="26"/>
  <c r="X50" i="26"/>
  <c r="Z50" i="26"/>
  <c r="AB152" i="26"/>
  <c r="X152" i="26"/>
  <c r="Y152" i="26"/>
  <c r="Z152" i="26"/>
  <c r="AA152" i="26"/>
  <c r="AB48" i="26"/>
  <c r="X48" i="26"/>
  <c r="Y48" i="26"/>
  <c r="Z48" i="26"/>
  <c r="AA48" i="26"/>
  <c r="Z109" i="26"/>
  <c r="X109" i="26"/>
  <c r="Y109" i="26"/>
  <c r="AA109" i="26"/>
  <c r="AB109" i="26"/>
  <c r="AA136" i="26"/>
  <c r="AB136" i="26"/>
  <c r="X136" i="26"/>
  <c r="Y136" i="26"/>
  <c r="Z136" i="26"/>
  <c r="AA186" i="26"/>
  <c r="AB186" i="26"/>
  <c r="X186" i="26"/>
  <c r="Y186" i="26"/>
  <c r="Z186" i="26"/>
  <c r="AA165" i="26"/>
  <c r="AB165" i="26"/>
  <c r="X165" i="26"/>
  <c r="Z165" i="26"/>
  <c r="Y165" i="26"/>
  <c r="Y83" i="26"/>
  <c r="AA83" i="26"/>
  <c r="Z83" i="26"/>
  <c r="X83" i="26"/>
  <c r="AB83" i="26"/>
  <c r="AB39" i="26"/>
  <c r="X39" i="26"/>
  <c r="Y39" i="26"/>
  <c r="Z39" i="26"/>
  <c r="AA39" i="26"/>
  <c r="X37" i="26"/>
  <c r="Y37" i="26"/>
  <c r="Z37" i="26"/>
  <c r="AA37" i="26"/>
  <c r="AB37" i="26"/>
  <c r="AB112" i="26"/>
  <c r="X112" i="26"/>
  <c r="Y112" i="26"/>
  <c r="Z112" i="26"/>
  <c r="AA112" i="26"/>
  <c r="X82" i="26"/>
  <c r="AB82" i="26"/>
  <c r="Y82" i="26"/>
  <c r="Z82" i="26"/>
  <c r="AA82" i="26"/>
  <c r="Y154" i="26"/>
  <c r="Z154" i="26"/>
  <c r="AB154" i="26"/>
  <c r="AA154" i="26"/>
  <c r="X154" i="26"/>
  <c r="Z119" i="26"/>
  <c r="Y119" i="26"/>
  <c r="AA119" i="26"/>
  <c r="AB119" i="26"/>
  <c r="X119" i="26"/>
  <c r="Z127" i="26"/>
  <c r="X127" i="26"/>
  <c r="Y127" i="26"/>
  <c r="AA127" i="26"/>
  <c r="AB127" i="26"/>
  <c r="AB63" i="26"/>
  <c r="X63" i="26"/>
  <c r="Y63" i="26"/>
  <c r="AA63" i="26"/>
  <c r="Z63" i="26"/>
  <c r="Y74" i="26"/>
  <c r="AA74" i="26"/>
  <c r="X74" i="26"/>
  <c r="Z74" i="26"/>
  <c r="AB74" i="26"/>
  <c r="AB148" i="26"/>
  <c r="X148" i="26"/>
  <c r="Z148" i="26"/>
  <c r="Y148" i="26"/>
  <c r="AA148" i="26"/>
  <c r="AB115" i="26"/>
  <c r="X115" i="26"/>
  <c r="Y115" i="26"/>
  <c r="AA115" i="26"/>
  <c r="Z115" i="26"/>
  <c r="Z61" i="26"/>
  <c r="Y61" i="26"/>
  <c r="AA61" i="26"/>
  <c r="AB61" i="26"/>
  <c r="X61" i="26"/>
  <c r="Z85" i="26"/>
  <c r="AA85" i="26"/>
  <c r="AB85" i="26"/>
  <c r="X85" i="26"/>
  <c r="Y85" i="26"/>
  <c r="Y217" i="26"/>
  <c r="Z217" i="26"/>
  <c r="AA217" i="26"/>
  <c r="AB217" i="26"/>
  <c r="X217" i="26"/>
  <c r="AA189" i="26"/>
  <c r="AB189" i="26"/>
  <c r="X189" i="26"/>
  <c r="Y189" i="26"/>
  <c r="Z189" i="26"/>
  <c r="Z102" i="26"/>
  <c r="AA102" i="26"/>
  <c r="X102" i="26"/>
  <c r="AB102" i="26"/>
  <c r="Y102" i="26"/>
  <c r="AB163" i="26"/>
  <c r="X163" i="26"/>
  <c r="Y163" i="26"/>
  <c r="AA163" i="26"/>
  <c r="Z163" i="26"/>
  <c r="X130" i="26"/>
  <c r="AB130" i="26"/>
  <c r="Y130" i="26"/>
  <c r="Z130" i="26"/>
  <c r="AA130" i="26"/>
  <c r="Z191" i="26"/>
  <c r="AA191" i="26"/>
  <c r="AB191" i="26"/>
  <c r="X191" i="26"/>
  <c r="Y191" i="26"/>
  <c r="X58" i="26"/>
  <c r="Z58" i="26"/>
  <c r="AB58" i="26"/>
  <c r="Y58" i="26"/>
  <c r="AA58" i="26"/>
  <c r="Z107" i="26"/>
  <c r="X107" i="26"/>
  <c r="Y107" i="26"/>
  <c r="AA107" i="26"/>
  <c r="AB107" i="26"/>
  <c r="Z97" i="26"/>
  <c r="X97" i="26"/>
  <c r="Y97" i="26"/>
  <c r="AA97" i="26"/>
  <c r="AB97" i="26"/>
  <c r="AB206" i="26"/>
  <c r="Y206" i="26"/>
  <c r="AA206" i="26"/>
  <c r="X206" i="26"/>
  <c r="Z206" i="26"/>
  <c r="AB117" i="26"/>
  <c r="X117" i="26"/>
  <c r="Y117" i="26"/>
  <c r="Z117" i="26"/>
  <c r="AA117" i="26"/>
  <c r="Z150" i="26"/>
  <c r="AB150" i="26"/>
  <c r="AA150" i="26"/>
  <c r="X150" i="26"/>
  <c r="Y150" i="26"/>
  <c r="AB227" i="26"/>
  <c r="Z227" i="26"/>
  <c r="AA227" i="26"/>
  <c r="X227" i="26"/>
  <c r="Y227" i="26"/>
  <c r="X94" i="26"/>
  <c r="AB94" i="26"/>
  <c r="Z94" i="26"/>
  <c r="AA94" i="26"/>
  <c r="Y94" i="26"/>
  <c r="AB192" i="26"/>
  <c r="X192" i="26"/>
  <c r="Y192" i="26"/>
  <c r="Z192" i="26"/>
  <c r="AA192" i="26"/>
  <c r="AB120" i="26"/>
  <c r="X120" i="26"/>
  <c r="Y120" i="26"/>
  <c r="Z120" i="26"/>
  <c r="AA120" i="26"/>
  <c r="AA28" i="26"/>
  <c r="AB28" i="26"/>
  <c r="X28" i="26"/>
  <c r="Y28" i="26"/>
  <c r="Z28" i="26"/>
  <c r="Z155" i="26"/>
  <c r="AA155" i="26"/>
  <c r="AB155" i="26"/>
  <c r="X155" i="26"/>
  <c r="Y155" i="26"/>
  <c r="Z126" i="26"/>
  <c r="AA126" i="26"/>
  <c r="Y126" i="26"/>
  <c r="X126" i="26"/>
  <c r="AB126" i="26"/>
  <c r="Z35" i="26"/>
  <c r="AA35" i="26"/>
  <c r="AB35" i="26"/>
  <c r="X35" i="26"/>
  <c r="Y35" i="26"/>
  <c r="AA216" i="26"/>
  <c r="X216" i="26"/>
  <c r="AB216" i="26"/>
  <c r="Y216" i="26"/>
  <c r="Z216" i="26"/>
  <c r="AB162" i="26"/>
  <c r="Y162" i="26"/>
  <c r="AA162" i="26"/>
  <c r="X162" i="26"/>
  <c r="Z162" i="26"/>
  <c r="Y53" i="26"/>
  <c r="AA53" i="26"/>
  <c r="AB53" i="26"/>
  <c r="Z53" i="26"/>
  <c r="X53" i="26"/>
  <c r="Z197" i="26"/>
  <c r="AA197" i="26"/>
  <c r="AB197" i="26"/>
  <c r="X197" i="26"/>
  <c r="Y197" i="26"/>
  <c r="X27" i="26"/>
  <c r="Y27" i="26"/>
  <c r="Z27" i="26"/>
  <c r="AA27" i="26"/>
  <c r="AB27" i="26"/>
  <c r="X135" i="26"/>
  <c r="Y135" i="26"/>
  <c r="Z135" i="26"/>
  <c r="AA135" i="26"/>
  <c r="AB135" i="26"/>
  <c r="AA60" i="26"/>
  <c r="AB60" i="26"/>
  <c r="X60" i="26"/>
  <c r="Y60" i="26"/>
  <c r="Z60" i="26"/>
  <c r="X23" i="26"/>
  <c r="Y23" i="26"/>
  <c r="Z23" i="26"/>
  <c r="AA23" i="26"/>
  <c r="AB23" i="26"/>
  <c r="X118" i="26"/>
  <c r="AB118" i="26"/>
  <c r="Y118" i="26"/>
  <c r="Z118" i="26"/>
  <c r="AA118" i="26"/>
  <c r="X194" i="26"/>
  <c r="Z194" i="26"/>
  <c r="AA194" i="26"/>
  <c r="AB194" i="26"/>
  <c r="Y194" i="26"/>
  <c r="Z89" i="26"/>
  <c r="X89" i="26"/>
  <c r="Y89" i="26"/>
  <c r="AA89" i="26"/>
  <c r="AB89" i="26"/>
  <c r="X125" i="26"/>
  <c r="Y125" i="26"/>
  <c r="AA125" i="26"/>
  <c r="AB125" i="26"/>
  <c r="Z125" i="26"/>
  <c r="Y101" i="26"/>
  <c r="X101" i="26"/>
  <c r="Z101" i="26"/>
  <c r="AA101" i="26"/>
  <c r="AB101" i="26"/>
  <c r="X232" i="26"/>
  <c r="AB232" i="26"/>
  <c r="Z232" i="26"/>
  <c r="Y232" i="26"/>
  <c r="AA232" i="26"/>
  <c r="AA121" i="26"/>
  <c r="AB121" i="26"/>
  <c r="Z121" i="26"/>
  <c r="X121" i="26"/>
  <c r="Y121" i="26"/>
  <c r="Y99" i="26"/>
  <c r="AA99" i="26"/>
  <c r="Z99" i="26"/>
  <c r="AB99" i="26"/>
  <c r="X99" i="26"/>
  <c r="Y46" i="26"/>
  <c r="AA46" i="26"/>
  <c r="X46" i="26"/>
  <c r="Z46" i="26"/>
  <c r="AB46" i="26"/>
  <c r="X76" i="26"/>
  <c r="Y76" i="26"/>
  <c r="Z76" i="26"/>
  <c r="AA76" i="26"/>
  <c r="AB76" i="26"/>
  <c r="Z187" i="26"/>
  <c r="AA187" i="26"/>
  <c r="AB187" i="26"/>
  <c r="Y187" i="26"/>
  <c r="X187" i="26"/>
  <c r="AB56" i="26"/>
  <c r="X56" i="26"/>
  <c r="AA56" i="26"/>
  <c r="Y56" i="26"/>
  <c r="Z56" i="26"/>
  <c r="X98" i="26"/>
  <c r="AB98" i="26"/>
  <c r="Y98" i="26"/>
  <c r="Z98" i="26"/>
  <c r="AA98" i="26"/>
  <c r="AB159" i="26"/>
  <c r="AA159" i="26"/>
  <c r="Y159" i="26"/>
  <c r="X159" i="26"/>
  <c r="Z159" i="26"/>
  <c r="Z202" i="26"/>
  <c r="AA202" i="26"/>
  <c r="AB202" i="26"/>
  <c r="Y202" i="26"/>
  <c r="X202" i="26"/>
  <c r="Z147" i="26"/>
  <c r="AA147" i="26"/>
  <c r="AB147" i="26"/>
  <c r="X147" i="26"/>
  <c r="Y147" i="26"/>
  <c r="X64" i="26"/>
  <c r="Y64" i="26"/>
  <c r="Z64" i="26"/>
  <c r="AA64" i="26"/>
  <c r="AB64" i="26"/>
  <c r="Y38" i="26"/>
  <c r="Z38" i="26"/>
  <c r="AA38" i="26"/>
  <c r="AB38" i="26"/>
  <c r="X38" i="26"/>
  <c r="AB224" i="26"/>
  <c r="AA224" i="26"/>
  <c r="X224" i="26"/>
  <c r="Z224" i="26"/>
  <c r="Y224" i="26"/>
  <c r="X213" i="26"/>
  <c r="AB213" i="26"/>
  <c r="Z213" i="26"/>
  <c r="AA213" i="26"/>
  <c r="Y213" i="26"/>
  <c r="AA36" i="26"/>
  <c r="AB36" i="26"/>
  <c r="X36" i="26"/>
  <c r="Y36" i="26"/>
  <c r="Z36" i="26"/>
  <c r="Z215" i="26"/>
  <c r="AB215" i="26"/>
  <c r="AA215" i="26"/>
  <c r="Y215" i="26"/>
  <c r="X215" i="26"/>
  <c r="X173" i="26"/>
  <c r="AB173" i="26"/>
  <c r="Y173" i="26"/>
  <c r="Z173" i="26"/>
  <c r="AA173" i="26"/>
  <c r="X90" i="26"/>
  <c r="AB90" i="26"/>
  <c r="Y90" i="26"/>
  <c r="Z90" i="26"/>
  <c r="AA90" i="26"/>
  <c r="AB44" i="26"/>
  <c r="X44" i="26"/>
  <c r="Y44" i="26"/>
  <c r="Z44" i="26"/>
  <c r="AA44" i="26"/>
  <c r="AB160" i="26"/>
  <c r="X160" i="26"/>
  <c r="Y160" i="26"/>
  <c r="Z160" i="26"/>
  <c r="AA160" i="26"/>
  <c r="Z236" i="26"/>
  <c r="AB236" i="26"/>
  <c r="AA236" i="26"/>
  <c r="Y236" i="26"/>
  <c r="X236" i="26"/>
  <c r="X139" i="26"/>
  <c r="Y139" i="26"/>
  <c r="Z139" i="26"/>
  <c r="AA139" i="26"/>
  <c r="AB139" i="26"/>
  <c r="AB137" i="26"/>
  <c r="X137" i="26"/>
  <c r="Y137" i="26"/>
  <c r="Z137" i="26"/>
  <c r="AA137" i="26"/>
  <c r="Z231" i="26"/>
  <c r="AA231" i="26"/>
  <c r="AB231" i="26"/>
  <c r="X231" i="26"/>
  <c r="Y231" i="26"/>
  <c r="AB92" i="26"/>
  <c r="X92" i="26"/>
  <c r="AA92" i="26"/>
  <c r="Y92" i="26"/>
  <c r="Z92" i="26"/>
  <c r="Y172" i="26"/>
  <c r="Z172" i="26"/>
  <c r="AA172" i="26"/>
  <c r="AB172" i="26"/>
  <c r="X172" i="26"/>
  <c r="AA200" i="26"/>
  <c r="Z200" i="26"/>
  <c r="AB200" i="26"/>
  <c r="X200" i="26"/>
  <c r="Y200" i="26"/>
  <c r="AA129" i="26"/>
  <c r="AB129" i="26"/>
  <c r="Z129" i="26"/>
  <c r="Y129" i="26"/>
  <c r="X129" i="26"/>
  <c r="Y32" i="26"/>
  <c r="Z32" i="26"/>
  <c r="AA32" i="26"/>
  <c r="AB32" i="26"/>
  <c r="X32" i="26"/>
  <c r="AA157" i="26"/>
  <c r="AB157" i="26"/>
  <c r="Y157" i="26"/>
  <c r="X157" i="26"/>
  <c r="Z157" i="26"/>
  <c r="Z222" i="26"/>
  <c r="X222" i="26"/>
  <c r="Y222" i="26"/>
  <c r="AA222" i="26"/>
  <c r="AB222" i="26"/>
  <c r="AB176" i="26"/>
  <c r="X176" i="26"/>
  <c r="Y176" i="26"/>
  <c r="Z176" i="26"/>
  <c r="AA176" i="26"/>
  <c r="X70" i="26"/>
  <c r="Z70" i="26"/>
  <c r="AB70" i="26"/>
  <c r="Y70" i="26"/>
  <c r="AA70" i="26"/>
  <c r="Z77" i="26"/>
  <c r="Y77" i="26"/>
  <c r="AA77" i="26"/>
  <c r="AB77" i="26"/>
  <c r="X77" i="26"/>
  <c r="AB164" i="26"/>
  <c r="X164" i="26"/>
  <c r="Y164" i="26"/>
  <c r="Z164" i="26"/>
  <c r="AA164" i="26"/>
  <c r="Z133" i="26"/>
  <c r="AA133" i="26"/>
  <c r="AB133" i="26"/>
  <c r="X133" i="26"/>
  <c r="Y133" i="26"/>
  <c r="Y134" i="26"/>
  <c r="Z134" i="26"/>
  <c r="AA134" i="26"/>
  <c r="X134" i="26"/>
  <c r="AB134" i="26"/>
  <c r="X229" i="26"/>
  <c r="Z229" i="26"/>
  <c r="Y229" i="26"/>
  <c r="AA229" i="26"/>
  <c r="AB229" i="26"/>
  <c r="X161" i="26"/>
  <c r="Z161" i="26"/>
  <c r="AB161" i="26"/>
  <c r="Y161" i="26"/>
  <c r="AA161" i="26"/>
  <c r="Y131" i="26"/>
  <c r="AA131" i="26"/>
  <c r="X131" i="26"/>
  <c r="Z131" i="26"/>
  <c r="AB131" i="26"/>
  <c r="Y78" i="26"/>
  <c r="AA78" i="26"/>
  <c r="AB78" i="26"/>
  <c r="X78" i="26"/>
  <c r="Z78" i="26"/>
  <c r="X214" i="26"/>
  <c r="Z214" i="26"/>
  <c r="Y214" i="26"/>
  <c r="AA214" i="26"/>
  <c r="AB214" i="26"/>
  <c r="X54" i="26"/>
  <c r="Z54" i="26"/>
  <c r="AB54" i="26"/>
  <c r="AA54" i="26"/>
  <c r="Y54" i="26"/>
  <c r="X193" i="26"/>
  <c r="Y193" i="26"/>
  <c r="Z193" i="26"/>
  <c r="AA193" i="26"/>
  <c r="AB193" i="26"/>
  <c r="Z111" i="26"/>
  <c r="X111" i="26"/>
  <c r="Y111" i="26"/>
  <c r="AA111" i="26"/>
  <c r="AB111" i="26"/>
  <c r="AB219" i="26"/>
  <c r="X219" i="26"/>
  <c r="Y219" i="26"/>
  <c r="Z219" i="26"/>
  <c r="AA219" i="26"/>
  <c r="AB235" i="26"/>
  <c r="Z235" i="26"/>
  <c r="AA235" i="26"/>
  <c r="X235" i="26"/>
  <c r="Y235" i="26"/>
  <c r="AB128" i="26"/>
  <c r="X128" i="26"/>
  <c r="Y128" i="26"/>
  <c r="AA128" i="26"/>
  <c r="Z128" i="26"/>
  <c r="X106" i="26"/>
  <c r="AB106" i="26"/>
  <c r="Y106" i="26"/>
  <c r="Z106" i="26"/>
  <c r="AA106" i="26"/>
  <c r="Z59" i="26"/>
  <c r="AB59" i="26"/>
  <c r="X59" i="26"/>
  <c r="Y59" i="26"/>
  <c r="AA59" i="26"/>
  <c r="Z203" i="26"/>
  <c r="AB203" i="26"/>
  <c r="X203" i="26"/>
  <c r="Y203" i="26"/>
  <c r="AA203" i="26"/>
  <c r="Y230" i="26"/>
  <c r="Z230" i="26"/>
  <c r="AB230" i="26"/>
  <c r="X230" i="26"/>
  <c r="AA230" i="26"/>
  <c r="AA158" i="26"/>
  <c r="X158" i="26"/>
  <c r="Z158" i="26"/>
  <c r="AB158" i="26"/>
  <c r="Y158" i="26"/>
  <c r="Y145" i="26"/>
  <c r="X145" i="26"/>
  <c r="Z145" i="26"/>
  <c r="AA145" i="26"/>
  <c r="AB145" i="26"/>
  <c r="Z212" i="26"/>
  <c r="AA212" i="26"/>
  <c r="AB212" i="26"/>
  <c r="X212" i="26"/>
  <c r="Y212" i="26"/>
  <c r="Z207" i="26"/>
  <c r="AB207" i="26"/>
  <c r="AA207" i="26"/>
  <c r="X207" i="26"/>
  <c r="Y207" i="26"/>
  <c r="AB156" i="26"/>
  <c r="X156" i="26"/>
  <c r="Y156" i="26"/>
  <c r="Z156" i="26"/>
  <c r="AA156" i="26"/>
  <c r="X66" i="26"/>
  <c r="Z66" i="26"/>
  <c r="AB66" i="26"/>
  <c r="Y66" i="26"/>
  <c r="AA66" i="26"/>
  <c r="X42" i="26"/>
  <c r="Z42" i="26"/>
  <c r="AB42" i="26"/>
  <c r="Y42" i="26"/>
  <c r="AA42" i="26"/>
  <c r="Z26" i="26"/>
  <c r="AA26" i="26"/>
  <c r="AB26" i="26"/>
  <c r="X26" i="26"/>
  <c r="Y26" i="26"/>
  <c r="Y80" i="26"/>
  <c r="Z80" i="26"/>
  <c r="AA80" i="26"/>
  <c r="AB80" i="26"/>
  <c r="X80" i="26"/>
  <c r="AB166" i="26"/>
  <c r="Y166" i="26"/>
  <c r="AA166" i="26"/>
  <c r="X166" i="26"/>
  <c r="Z166" i="26"/>
  <c r="Y100" i="26"/>
  <c r="Z100" i="26"/>
  <c r="AA100" i="26"/>
  <c r="AB100" i="26"/>
  <c r="X100" i="26"/>
  <c r="Z226" i="26"/>
  <c r="Y226" i="26"/>
  <c r="AA226" i="26"/>
  <c r="AB226" i="26"/>
  <c r="X226" i="26"/>
  <c r="Z171" i="26"/>
  <c r="AB171" i="26"/>
  <c r="X171" i="26"/>
  <c r="Y171" i="26"/>
  <c r="AA171" i="26"/>
  <c r="X33" i="26"/>
  <c r="Y33" i="26"/>
  <c r="Z33" i="26"/>
  <c r="AA33" i="26"/>
  <c r="AB33" i="26"/>
  <c r="AA241" i="26"/>
  <c r="AB241" i="26"/>
  <c r="Y241" i="26"/>
  <c r="Z241" i="26"/>
  <c r="X241" i="26"/>
  <c r="Z43" i="26"/>
  <c r="AB43" i="26"/>
  <c r="X43" i="26"/>
  <c r="Y43" i="26"/>
  <c r="AA43" i="26"/>
  <c r="X49" i="26"/>
  <c r="Z49" i="26"/>
  <c r="Y49" i="26"/>
  <c r="AA49" i="26"/>
  <c r="AB49" i="26"/>
  <c r="X138" i="26"/>
  <c r="Y138" i="26"/>
  <c r="Z138" i="26"/>
  <c r="AA138" i="26"/>
  <c r="AB138" i="26"/>
  <c r="Y196" i="26"/>
  <c r="Z196" i="26"/>
  <c r="AA196" i="26"/>
  <c r="AB196" i="26"/>
  <c r="X196" i="26"/>
  <c r="AA238" i="26"/>
  <c r="AB238" i="26"/>
  <c r="X238" i="26"/>
  <c r="Y238" i="26"/>
  <c r="Z238" i="26"/>
  <c r="X114" i="26"/>
  <c r="AB114" i="26"/>
  <c r="Y114" i="26"/>
  <c r="Z114" i="26"/>
  <c r="AA114" i="26"/>
  <c r="AB79" i="26"/>
  <c r="X79" i="26"/>
  <c r="Y79" i="26"/>
  <c r="AA79" i="26"/>
  <c r="Z79" i="26"/>
  <c r="AB208" i="26"/>
  <c r="X208" i="26"/>
  <c r="Y208" i="26"/>
  <c r="Z208" i="26"/>
  <c r="AA208" i="26"/>
  <c r="AB68" i="26"/>
  <c r="X68" i="26"/>
  <c r="Y68" i="26"/>
  <c r="Z68" i="26"/>
  <c r="AA68" i="26"/>
  <c r="X240" i="26"/>
  <c r="Y240" i="26"/>
  <c r="Z240" i="26"/>
  <c r="AA240" i="26"/>
  <c r="AB240" i="26"/>
  <c r="Z151" i="26"/>
  <c r="AA151" i="26"/>
  <c r="AB151" i="26"/>
  <c r="X151" i="26"/>
  <c r="Y151" i="26"/>
  <c r="Z75" i="26"/>
  <c r="AB75" i="26"/>
  <c r="X75" i="26"/>
  <c r="Y75" i="26"/>
  <c r="AA75" i="26"/>
  <c r="Y31" i="26"/>
  <c r="Z31" i="26"/>
  <c r="AA31" i="26"/>
  <c r="AB31" i="26"/>
  <c r="X31" i="26"/>
  <c r="Z144" i="26"/>
  <c r="AA144" i="26"/>
  <c r="AB144" i="26"/>
  <c r="X144" i="26"/>
  <c r="Y144" i="26"/>
  <c r="X201" i="26"/>
  <c r="Y201" i="26"/>
  <c r="Z201" i="26"/>
  <c r="AA201" i="26"/>
  <c r="AB201" i="26"/>
  <c r="AB96" i="26"/>
  <c r="X96" i="26"/>
  <c r="Y96" i="26"/>
  <c r="Z96" i="26"/>
  <c r="AA96" i="26"/>
  <c r="AB132" i="26"/>
  <c r="X132" i="26"/>
  <c r="Y132" i="26"/>
  <c r="Z132" i="26"/>
  <c r="AA132" i="26"/>
  <c r="X174" i="26"/>
  <c r="Z174" i="26"/>
  <c r="Y174" i="26"/>
  <c r="AA174" i="26"/>
  <c r="AB174" i="26"/>
  <c r="AA218" i="26"/>
  <c r="X218" i="26"/>
  <c r="Y218" i="26"/>
  <c r="Z218" i="26"/>
  <c r="AB218" i="26"/>
  <c r="Y69" i="26"/>
  <c r="X69" i="26"/>
  <c r="Z69" i="26"/>
  <c r="AA69" i="26"/>
  <c r="AB69" i="26"/>
  <c r="X45" i="26"/>
  <c r="Z45" i="26"/>
  <c r="Y45" i="26"/>
  <c r="AA45" i="26"/>
  <c r="AB45" i="26"/>
  <c r="AA40" i="26"/>
  <c r="AB40" i="26"/>
  <c r="X40" i="26"/>
  <c r="Y40" i="26"/>
  <c r="Z40" i="26"/>
  <c r="Z67" i="26"/>
  <c r="AB67" i="26"/>
  <c r="Y67" i="26"/>
  <c r="AA67" i="26"/>
  <c r="X67" i="26"/>
  <c r="AB168" i="26"/>
  <c r="X168" i="26"/>
  <c r="Y168" i="26"/>
  <c r="Z168" i="26"/>
  <c r="AA168" i="26"/>
  <c r="X185" i="26"/>
  <c r="Y185" i="26"/>
  <c r="Z185" i="26"/>
  <c r="AA185" i="26"/>
  <c r="AB185" i="26"/>
  <c r="Z95" i="26"/>
  <c r="X95" i="26"/>
  <c r="Y95" i="26"/>
  <c r="AA95" i="26"/>
  <c r="AB95" i="26"/>
  <c r="AB113" i="26"/>
  <c r="Z113" i="26"/>
  <c r="X113" i="26"/>
  <c r="Y113" i="26"/>
  <c r="AA113" i="26"/>
  <c r="X239" i="26"/>
  <c r="Y239" i="26"/>
  <c r="AA239" i="26"/>
  <c r="Z239" i="26"/>
  <c r="AB239" i="26"/>
  <c r="Z143" i="26"/>
  <c r="AA143" i="26"/>
  <c r="AB143" i="26"/>
  <c r="X143" i="26"/>
  <c r="Y143" i="26"/>
  <c r="Z141" i="26"/>
  <c r="AB141" i="26"/>
  <c r="Y141" i="26"/>
  <c r="AA141" i="26"/>
  <c r="X141" i="26"/>
  <c r="Y220" i="26"/>
  <c r="Z220" i="26"/>
  <c r="AA220" i="26"/>
  <c r="AB220" i="26"/>
  <c r="X220" i="26"/>
  <c r="Z221" i="26"/>
  <c r="X221" i="26"/>
  <c r="AB221" i="26"/>
  <c r="AA221" i="26"/>
  <c r="Y221" i="26"/>
  <c r="AB204" i="26"/>
  <c r="X204" i="26"/>
  <c r="Y204" i="26"/>
  <c r="Z204" i="26"/>
  <c r="AA204" i="26"/>
  <c r="AB108" i="26"/>
  <c r="X108" i="26"/>
  <c r="AA108" i="26"/>
  <c r="Y108" i="26"/>
  <c r="Z108" i="26"/>
  <c r="X146" i="26"/>
  <c r="Y146" i="26"/>
  <c r="Z146" i="26"/>
  <c r="AB146" i="26"/>
  <c r="AA146" i="26"/>
  <c r="F4" i="2"/>
  <c r="G4" i="2" s="1"/>
  <c r="H176" i="3"/>
  <c r="D176" i="3" s="1"/>
  <c r="H175" i="3"/>
  <c r="D175" i="3" s="1"/>
  <c r="H174" i="3"/>
  <c r="D174" i="3" s="1"/>
  <c r="H173" i="3"/>
  <c r="D173" i="3" s="1"/>
  <c r="H172" i="3"/>
  <c r="D172" i="3" s="1"/>
  <c r="H171" i="3"/>
  <c r="D171" i="3" s="1"/>
  <c r="H170" i="3"/>
  <c r="D170" i="3" s="1"/>
  <c r="H169" i="3"/>
  <c r="D169" i="3" s="1"/>
  <c r="H168" i="3"/>
  <c r="D168" i="3" s="1"/>
  <c r="H167" i="3"/>
  <c r="D167" i="3" s="1"/>
  <c r="H166" i="3"/>
  <c r="D166" i="3" s="1"/>
  <c r="H165" i="3"/>
  <c r="D165" i="3" s="1"/>
  <c r="H164" i="3"/>
  <c r="D164" i="3" s="1"/>
  <c r="H163" i="3"/>
  <c r="D163" i="3" s="1"/>
  <c r="H162" i="3"/>
  <c r="D162" i="3" s="1"/>
  <c r="H161" i="3"/>
  <c r="D161" i="3" s="1"/>
  <c r="H160" i="3"/>
  <c r="D160" i="3" s="1"/>
  <c r="H159" i="3"/>
  <c r="D159" i="3" s="1"/>
  <c r="H158" i="3"/>
  <c r="D158" i="3" s="1"/>
  <c r="H157" i="3"/>
  <c r="D157" i="3" s="1"/>
  <c r="H156" i="3"/>
  <c r="D156" i="3" s="1"/>
  <c r="H155" i="3"/>
  <c r="D155" i="3" s="1"/>
  <c r="H154" i="3"/>
  <c r="D154" i="3" s="1"/>
  <c r="H153" i="3"/>
  <c r="D153" i="3" s="1"/>
  <c r="H152" i="3"/>
  <c r="D152" i="3" s="1"/>
  <c r="H151" i="3"/>
  <c r="D151" i="3" s="1"/>
  <c r="H150" i="3"/>
  <c r="D150" i="3" s="1"/>
  <c r="H149" i="3"/>
  <c r="D149" i="3" s="1"/>
  <c r="H148" i="3"/>
  <c r="D148" i="3" s="1"/>
  <c r="H147" i="3"/>
  <c r="D147" i="3" s="1"/>
  <c r="H146" i="3"/>
  <c r="D146" i="3" s="1"/>
  <c r="H145" i="3"/>
  <c r="D145" i="3" s="1"/>
  <c r="H144" i="3"/>
  <c r="D144" i="3" s="1"/>
  <c r="H143" i="3"/>
  <c r="D143" i="3" s="1"/>
  <c r="H142" i="3"/>
  <c r="D142" i="3" s="1"/>
  <c r="H141" i="3"/>
  <c r="D141" i="3" s="1"/>
  <c r="H140" i="3"/>
  <c r="D140" i="3" s="1"/>
  <c r="H139" i="3"/>
  <c r="D139" i="3" s="1"/>
  <c r="H138" i="3"/>
  <c r="D138" i="3" s="1"/>
  <c r="H137" i="3"/>
  <c r="D137" i="3" s="1"/>
  <c r="H136" i="3"/>
  <c r="D136" i="3" s="1"/>
  <c r="H135" i="3"/>
  <c r="D135" i="3" s="1"/>
  <c r="H134" i="3"/>
  <c r="D134" i="3" s="1"/>
  <c r="H133" i="3"/>
  <c r="D133" i="3" s="1"/>
  <c r="H132" i="3"/>
  <c r="D132" i="3" s="1"/>
  <c r="H131" i="3"/>
  <c r="D131" i="3" s="1"/>
  <c r="H130" i="3"/>
  <c r="D130" i="3" s="1"/>
  <c r="H129" i="3"/>
  <c r="D129" i="3" s="1"/>
  <c r="H128" i="3"/>
  <c r="D128" i="3" s="1"/>
  <c r="H127" i="3"/>
  <c r="D127" i="3" s="1"/>
  <c r="H126" i="3"/>
  <c r="D126" i="3" s="1"/>
  <c r="H125" i="3"/>
  <c r="D125" i="3" s="1"/>
  <c r="H124" i="3"/>
  <c r="D124" i="3" s="1"/>
  <c r="H123" i="3"/>
  <c r="D123" i="3" s="1"/>
  <c r="H122" i="3"/>
  <c r="D122" i="3" s="1"/>
  <c r="H121" i="3"/>
  <c r="D121" i="3" s="1"/>
  <c r="H120" i="3"/>
  <c r="D120" i="3" s="1"/>
  <c r="H119" i="3"/>
  <c r="D119" i="3" s="1"/>
  <c r="H118" i="3"/>
  <c r="D118" i="3" s="1"/>
  <c r="H117" i="3"/>
  <c r="D117" i="3" s="1"/>
  <c r="H116" i="3"/>
  <c r="D116" i="3" s="1"/>
  <c r="H115" i="3"/>
  <c r="D115" i="3" s="1"/>
  <c r="H114" i="3"/>
  <c r="D114" i="3" s="1"/>
  <c r="H113" i="3"/>
  <c r="D113" i="3" s="1"/>
  <c r="H112" i="3"/>
  <c r="D112" i="3" s="1"/>
  <c r="H111" i="3"/>
  <c r="D111" i="3" s="1"/>
  <c r="H110" i="3"/>
  <c r="D110" i="3" s="1"/>
  <c r="H109" i="3"/>
  <c r="D109" i="3" s="1"/>
  <c r="H108" i="3"/>
  <c r="D108" i="3" s="1"/>
  <c r="H107" i="3"/>
  <c r="D107" i="3" s="1"/>
  <c r="H106" i="3"/>
  <c r="D106" i="3" s="1"/>
  <c r="H105" i="3"/>
  <c r="D105" i="3" s="1"/>
  <c r="H104" i="3"/>
  <c r="D104" i="3" s="1"/>
  <c r="H103" i="3"/>
  <c r="D103" i="3" s="1"/>
  <c r="H102" i="3"/>
  <c r="D102" i="3" s="1"/>
  <c r="H101" i="3"/>
  <c r="D101" i="3" s="1"/>
  <c r="H100" i="3"/>
  <c r="D100" i="3" s="1"/>
  <c r="H99" i="3"/>
  <c r="D99" i="3" s="1"/>
  <c r="H98" i="3"/>
  <c r="D98" i="3" s="1"/>
  <c r="H97" i="3"/>
  <c r="D97" i="3" s="1"/>
  <c r="H96" i="3"/>
  <c r="D96" i="3" s="1"/>
  <c r="H95" i="3"/>
  <c r="D95" i="3" s="1"/>
  <c r="H94" i="3"/>
  <c r="D94" i="3" s="1"/>
  <c r="H93" i="3"/>
  <c r="D93" i="3" s="1"/>
  <c r="H92" i="3"/>
  <c r="D92" i="3" s="1"/>
  <c r="H91" i="3"/>
  <c r="D91" i="3" s="1"/>
  <c r="H90" i="3"/>
  <c r="D90" i="3" s="1"/>
  <c r="H89" i="3"/>
  <c r="D89" i="3" s="1"/>
  <c r="H88" i="3"/>
  <c r="D88" i="3" s="1"/>
  <c r="H87" i="3"/>
  <c r="D87" i="3" s="1"/>
  <c r="H86" i="3"/>
  <c r="D86" i="3" s="1"/>
  <c r="H85" i="3"/>
  <c r="D85" i="3" s="1"/>
  <c r="H84" i="3"/>
  <c r="D84" i="3" s="1"/>
  <c r="H83" i="3"/>
  <c r="D83" i="3" s="1"/>
  <c r="H82" i="3"/>
  <c r="D82" i="3" s="1"/>
  <c r="H81" i="3"/>
  <c r="D81" i="3" s="1"/>
  <c r="H80" i="3"/>
  <c r="D80" i="3" s="1"/>
  <c r="H79" i="3"/>
  <c r="D79" i="3" s="1"/>
  <c r="H78" i="3"/>
  <c r="D78" i="3" s="1"/>
  <c r="H77" i="3"/>
  <c r="D77" i="3" s="1"/>
  <c r="H76" i="3"/>
  <c r="D76" i="3" s="1"/>
  <c r="H75" i="3"/>
  <c r="D75" i="3" s="1"/>
  <c r="H74" i="3"/>
  <c r="D74" i="3" s="1"/>
  <c r="H73" i="3"/>
  <c r="D73" i="3" s="1"/>
  <c r="H72" i="3"/>
  <c r="D72" i="3" s="1"/>
  <c r="H71" i="3"/>
  <c r="D71" i="3" s="1"/>
  <c r="H70" i="3"/>
  <c r="D70" i="3" s="1"/>
  <c r="H69" i="3"/>
  <c r="D69" i="3" s="1"/>
  <c r="H68" i="3"/>
  <c r="D68" i="3" s="1"/>
  <c r="H67" i="3"/>
  <c r="D67" i="3" s="1"/>
  <c r="H66" i="3"/>
  <c r="D66" i="3" s="1"/>
  <c r="H65" i="3"/>
  <c r="D65" i="3" s="1"/>
  <c r="H64" i="3"/>
  <c r="D64" i="3" s="1"/>
  <c r="H63" i="3"/>
  <c r="D63" i="3" s="1"/>
  <c r="H62" i="3"/>
  <c r="D62" i="3" s="1"/>
  <c r="H61" i="3"/>
  <c r="D61" i="3" s="1"/>
  <c r="H60" i="3"/>
  <c r="D60" i="3" s="1"/>
  <c r="H59" i="3"/>
  <c r="D59" i="3" s="1"/>
  <c r="H58" i="3"/>
  <c r="D58" i="3" s="1"/>
  <c r="H57" i="3"/>
  <c r="D57" i="3" s="1"/>
  <c r="H56" i="3"/>
  <c r="D56" i="3" s="1"/>
  <c r="H55" i="3"/>
  <c r="D55" i="3" s="1"/>
  <c r="H54" i="3"/>
  <c r="D54" i="3" s="1"/>
  <c r="H53" i="3"/>
  <c r="D53" i="3" s="1"/>
  <c r="H52" i="3"/>
  <c r="D52" i="3" s="1"/>
  <c r="H51" i="3"/>
  <c r="D51" i="3" s="1"/>
  <c r="H50" i="3"/>
  <c r="D50" i="3" s="1"/>
  <c r="H49" i="3"/>
  <c r="D49" i="3" s="1"/>
  <c r="H48" i="3"/>
  <c r="D48" i="3" s="1"/>
  <c r="H47" i="3"/>
  <c r="D47" i="3" s="1"/>
  <c r="H46" i="3"/>
  <c r="D46" i="3" s="1"/>
  <c r="H45" i="3"/>
  <c r="D45" i="3" s="1"/>
  <c r="H44" i="3"/>
  <c r="D44" i="3" s="1"/>
  <c r="H43" i="3"/>
  <c r="D43" i="3" s="1"/>
  <c r="H42" i="3"/>
  <c r="D42" i="3" s="1"/>
  <c r="H41" i="3"/>
  <c r="D41" i="3" s="1"/>
  <c r="H40" i="3"/>
  <c r="D40" i="3" s="1"/>
  <c r="H39" i="3"/>
  <c r="D39" i="3" s="1"/>
  <c r="H38" i="3"/>
  <c r="D38" i="3" s="1"/>
  <c r="H37" i="3"/>
  <c r="D37" i="3" s="1"/>
  <c r="H36" i="3"/>
  <c r="D36" i="3" s="1"/>
  <c r="H35" i="3"/>
  <c r="D35" i="3" s="1"/>
  <c r="H34" i="3"/>
  <c r="D34" i="3" s="1"/>
  <c r="H33" i="3"/>
  <c r="D33" i="3" s="1"/>
  <c r="H32" i="3"/>
  <c r="D32" i="3" s="1"/>
  <c r="H31" i="3"/>
  <c r="D31" i="3" s="1"/>
  <c r="H30" i="3"/>
  <c r="D30" i="3" s="1"/>
  <c r="H29" i="3"/>
  <c r="D29" i="3" s="1"/>
  <c r="H28" i="3"/>
  <c r="D28" i="3" s="1"/>
  <c r="H27" i="3"/>
  <c r="D27" i="3" s="1"/>
  <c r="G2010" i="14"/>
  <c r="G2009" i="14"/>
  <c r="G2008" i="14"/>
  <c r="G2007" i="14"/>
  <c r="G2006" i="14"/>
  <c r="G2005" i="14"/>
  <c r="G2004" i="14"/>
  <c r="G2003" i="14"/>
  <c r="G2002" i="14"/>
  <c r="G2001" i="14"/>
  <c r="G2000" i="14"/>
  <c r="G1999" i="14"/>
  <c r="G1998" i="14"/>
  <c r="G1997" i="14"/>
  <c r="G1996" i="14"/>
  <c r="G1995" i="14"/>
  <c r="G1994" i="14"/>
  <c r="G1993" i="14"/>
  <c r="G1992" i="14"/>
  <c r="G1991" i="14"/>
  <c r="G1990" i="14"/>
  <c r="G1989" i="14"/>
  <c r="G1988" i="14"/>
  <c r="G1987" i="14"/>
  <c r="G1986" i="14"/>
  <c r="G1985" i="14"/>
  <c r="G1984" i="14"/>
  <c r="G1983" i="14"/>
  <c r="G1982" i="14"/>
  <c r="G1981" i="14"/>
  <c r="G1980" i="14"/>
  <c r="G1979" i="14"/>
  <c r="G1978" i="14"/>
  <c r="G1977" i="14"/>
  <c r="G1976" i="14"/>
  <c r="G1975" i="14"/>
  <c r="G1974" i="14"/>
  <c r="G1973" i="14"/>
  <c r="G1972" i="14"/>
  <c r="G1971" i="14"/>
  <c r="G1970" i="14"/>
  <c r="G1969" i="14"/>
  <c r="G1968" i="14"/>
  <c r="G1967" i="14"/>
  <c r="G1966" i="14"/>
  <c r="G1965" i="14"/>
  <c r="G1964" i="14"/>
  <c r="G1963" i="14"/>
  <c r="G1962" i="14"/>
  <c r="G1961" i="14"/>
  <c r="G1960" i="14"/>
  <c r="G1959" i="14"/>
  <c r="G1958" i="14"/>
  <c r="G1957" i="14"/>
  <c r="G1956" i="14"/>
  <c r="G1955" i="14"/>
  <c r="G1954" i="14"/>
  <c r="G1953" i="14"/>
  <c r="G1952" i="14"/>
  <c r="G1951" i="14"/>
  <c r="G1950" i="14"/>
  <c r="G1949" i="14"/>
  <c r="G1948" i="14"/>
  <c r="G1947" i="14"/>
  <c r="G1946" i="14"/>
  <c r="G1945" i="14"/>
  <c r="G1944" i="14"/>
  <c r="G1943" i="14"/>
  <c r="G1942" i="14"/>
  <c r="G1941" i="14"/>
  <c r="G1940" i="14"/>
  <c r="G1939" i="14"/>
  <c r="G1938" i="14"/>
  <c r="G1937" i="14"/>
  <c r="G1936" i="14"/>
  <c r="G1935" i="14"/>
  <c r="G1934" i="14"/>
  <c r="G1933" i="14"/>
  <c r="G1932" i="14"/>
  <c r="G1931" i="14"/>
  <c r="G1930" i="14"/>
  <c r="G1929" i="14"/>
  <c r="G1928" i="14"/>
  <c r="G1927" i="14"/>
  <c r="G1926" i="14"/>
  <c r="G1925" i="14"/>
  <c r="G1924" i="14"/>
  <c r="G1923" i="14"/>
  <c r="G1922" i="14"/>
  <c r="G1921" i="14"/>
  <c r="G1920" i="14"/>
  <c r="G1919" i="14"/>
  <c r="G1918" i="14"/>
  <c r="G1917" i="14"/>
  <c r="G1916" i="14"/>
  <c r="G1915" i="14"/>
  <c r="G1914" i="14"/>
  <c r="G1913" i="14"/>
  <c r="G1912" i="14"/>
  <c r="G1911" i="14"/>
  <c r="G1910" i="14"/>
  <c r="G1909" i="14"/>
  <c r="G1908" i="14"/>
  <c r="G1907" i="14"/>
  <c r="G1906" i="14"/>
  <c r="G1905" i="14"/>
  <c r="G1904" i="14"/>
  <c r="G1903" i="14"/>
  <c r="G1902" i="14"/>
  <c r="G1901" i="14"/>
  <c r="G1900" i="14"/>
  <c r="G1899" i="14"/>
  <c r="G1898" i="14"/>
  <c r="G1897" i="14"/>
  <c r="G1896" i="14"/>
  <c r="G1895" i="14"/>
  <c r="G1894" i="14"/>
  <c r="G1893" i="14"/>
  <c r="G1892" i="14"/>
  <c r="G1891" i="14"/>
  <c r="G1890" i="14"/>
  <c r="G1889" i="14"/>
  <c r="G1888" i="14"/>
  <c r="G1887" i="14"/>
  <c r="G1886" i="14"/>
  <c r="G1885" i="14"/>
  <c r="G1884" i="14"/>
  <c r="G1883" i="14"/>
  <c r="G1882" i="14"/>
  <c r="G1881" i="14"/>
  <c r="G1880" i="14"/>
  <c r="G1879" i="14"/>
  <c r="G1878" i="14"/>
  <c r="G1877" i="14"/>
  <c r="G1876" i="14"/>
  <c r="G1875" i="14"/>
  <c r="G1874" i="14"/>
  <c r="G1873" i="14"/>
  <c r="G1872" i="14"/>
  <c r="G1871" i="14"/>
  <c r="G1870" i="14"/>
  <c r="G1869" i="14"/>
  <c r="G1868" i="14"/>
  <c r="G1867" i="14"/>
  <c r="G1866" i="14"/>
  <c r="G1865" i="14"/>
  <c r="G1864" i="14"/>
  <c r="G1863" i="14"/>
  <c r="G1862" i="14"/>
  <c r="G1861" i="14"/>
  <c r="G1860" i="14"/>
  <c r="G1859" i="14"/>
  <c r="G1858" i="14"/>
  <c r="G1857" i="14"/>
  <c r="G1856" i="14"/>
  <c r="G1855" i="14"/>
  <c r="G1854" i="14"/>
  <c r="G1853" i="14"/>
  <c r="G1852" i="14"/>
  <c r="G1851" i="14"/>
  <c r="G1850" i="14"/>
  <c r="G1849" i="14"/>
  <c r="G1848" i="14"/>
  <c r="G1847" i="14"/>
  <c r="G1846" i="14"/>
  <c r="G1845" i="14"/>
  <c r="G1844" i="14"/>
  <c r="G1843" i="14"/>
  <c r="G1842" i="14"/>
  <c r="G1841" i="14"/>
  <c r="G1840" i="14"/>
  <c r="G1839" i="14"/>
  <c r="G1838" i="14"/>
  <c r="G1837" i="14"/>
  <c r="G1836" i="14"/>
  <c r="G1835" i="14"/>
  <c r="G1834" i="14"/>
  <c r="G1833" i="14"/>
  <c r="G1832" i="14"/>
  <c r="G1831" i="14"/>
  <c r="G1830" i="14"/>
  <c r="G1829" i="14"/>
  <c r="G1828" i="14"/>
  <c r="G1827" i="14"/>
  <c r="G1826" i="14"/>
  <c r="G1825" i="14"/>
  <c r="G1824" i="14"/>
  <c r="G1823" i="14"/>
  <c r="G1822" i="14"/>
  <c r="G1821" i="14"/>
  <c r="G1820" i="14"/>
  <c r="G1819" i="14"/>
  <c r="G1818" i="14"/>
  <c r="G1817" i="14"/>
  <c r="G1816" i="14"/>
  <c r="G1815" i="14"/>
  <c r="G1814" i="14"/>
  <c r="G1813" i="14"/>
  <c r="G1812" i="14"/>
  <c r="G1811" i="14"/>
  <c r="G1810" i="14"/>
  <c r="G1809" i="14"/>
  <c r="G1808" i="14"/>
  <c r="G1807" i="14"/>
  <c r="G1806" i="14"/>
  <c r="G1805" i="14"/>
  <c r="G1804" i="14"/>
  <c r="G1803" i="14"/>
  <c r="G1802" i="14"/>
  <c r="G1801" i="14"/>
  <c r="G1800" i="14"/>
  <c r="G1799" i="14"/>
  <c r="G1798" i="14"/>
  <c r="G1797" i="14"/>
  <c r="G1796" i="14"/>
  <c r="G1795" i="14"/>
  <c r="G1794" i="14"/>
  <c r="G1793" i="14"/>
  <c r="G1792" i="14"/>
  <c r="G1791" i="14"/>
  <c r="G1790" i="14"/>
  <c r="G1789" i="14"/>
  <c r="G1788" i="14"/>
  <c r="G1787" i="14"/>
  <c r="G1786" i="14"/>
  <c r="G1785" i="14"/>
  <c r="G1784" i="14"/>
  <c r="G1783" i="14"/>
  <c r="G1782" i="14"/>
  <c r="G1781" i="14"/>
  <c r="G1780" i="14"/>
  <c r="G1779" i="14"/>
  <c r="G1778" i="14"/>
  <c r="G1777" i="14"/>
  <c r="G1776" i="14"/>
  <c r="G1775" i="14"/>
  <c r="G1774" i="14"/>
  <c r="G1773" i="14"/>
  <c r="G1772" i="14"/>
  <c r="G1771" i="14"/>
  <c r="G1770" i="14"/>
  <c r="G1769" i="14"/>
  <c r="G1768" i="14"/>
  <c r="G1767" i="14"/>
  <c r="G1766" i="14"/>
  <c r="G1765" i="14"/>
  <c r="G1764" i="14"/>
  <c r="G1763" i="14"/>
  <c r="G1762" i="14"/>
  <c r="G1761" i="14"/>
  <c r="G1760" i="14"/>
  <c r="G1759" i="14"/>
  <c r="G1758" i="14"/>
  <c r="G1757" i="14"/>
  <c r="G1756" i="14"/>
  <c r="G1755" i="14"/>
  <c r="G1754" i="14"/>
  <c r="G1753" i="14"/>
  <c r="G1752" i="14"/>
  <c r="G1751" i="14"/>
  <c r="G1750" i="14"/>
  <c r="G1749" i="14"/>
  <c r="G1748" i="14"/>
  <c r="G1747" i="14"/>
  <c r="G1746" i="14"/>
  <c r="G1745" i="14"/>
  <c r="G1744" i="14"/>
  <c r="G1743" i="14"/>
  <c r="G1742" i="14"/>
  <c r="G1741" i="14"/>
  <c r="G1740" i="14"/>
  <c r="G1739" i="14"/>
  <c r="G1738" i="14"/>
  <c r="G1737" i="14"/>
  <c r="G1736" i="14"/>
  <c r="G1735" i="14"/>
  <c r="G1734" i="14"/>
  <c r="G1733" i="14"/>
  <c r="G1732" i="14"/>
  <c r="G1731" i="14"/>
  <c r="G1730" i="14"/>
  <c r="G1729" i="14"/>
  <c r="G1728" i="14"/>
  <c r="G1727" i="14"/>
  <c r="G1726" i="14"/>
  <c r="G1725" i="14"/>
  <c r="G1724" i="14"/>
  <c r="G1723" i="14"/>
  <c r="G1722" i="14"/>
  <c r="G1721" i="14"/>
  <c r="G1720" i="14"/>
  <c r="G1719" i="14"/>
  <c r="G1718" i="14"/>
  <c r="G1717" i="14"/>
  <c r="G1716" i="14"/>
  <c r="G1715" i="14"/>
  <c r="G1714" i="14"/>
  <c r="G1713" i="14"/>
  <c r="G1712" i="14"/>
  <c r="G1711" i="14"/>
  <c r="G1710" i="14"/>
  <c r="G1709" i="14"/>
  <c r="G1708" i="14"/>
  <c r="G1707" i="14"/>
  <c r="G1706" i="14"/>
  <c r="G1705" i="14"/>
  <c r="G1704" i="14"/>
  <c r="G1703" i="14"/>
  <c r="G1702" i="14"/>
  <c r="G1701" i="14"/>
  <c r="G1700" i="14"/>
  <c r="G1699" i="14"/>
  <c r="G1698" i="14"/>
  <c r="G1697" i="14"/>
  <c r="G1696" i="14"/>
  <c r="G1695" i="14"/>
  <c r="G1694" i="14"/>
  <c r="G1693" i="14"/>
  <c r="G1692" i="14"/>
  <c r="G1691" i="14"/>
  <c r="G1690" i="14"/>
  <c r="G1689" i="14"/>
  <c r="G1688" i="14"/>
  <c r="G1687" i="14"/>
  <c r="G1686" i="14"/>
  <c r="G1685" i="14"/>
  <c r="G1684" i="14"/>
  <c r="G1683" i="14"/>
  <c r="G1682" i="14"/>
  <c r="G1681" i="14"/>
  <c r="G1680" i="14"/>
  <c r="G1679" i="14"/>
  <c r="G1678" i="14"/>
  <c r="G1677" i="14"/>
  <c r="G1676" i="14"/>
  <c r="G1675" i="14"/>
  <c r="G1674" i="14"/>
  <c r="G1673" i="14"/>
  <c r="G1672" i="14"/>
  <c r="G1671" i="14"/>
  <c r="G1670" i="14"/>
  <c r="G1669" i="14"/>
  <c r="G1668" i="14"/>
  <c r="G1667" i="14"/>
  <c r="G1666" i="14"/>
  <c r="G1665" i="14"/>
  <c r="G1664" i="14"/>
  <c r="G1663" i="14"/>
  <c r="G1662" i="14"/>
  <c r="G1661" i="14"/>
  <c r="G1660" i="14"/>
  <c r="G1659" i="14"/>
  <c r="G1658" i="14"/>
  <c r="G1657" i="14"/>
  <c r="G1656" i="14"/>
  <c r="G1655" i="14"/>
  <c r="G1654" i="14"/>
  <c r="G1653" i="14"/>
  <c r="G1652" i="14"/>
  <c r="G1651" i="14"/>
  <c r="G1650" i="14"/>
  <c r="G1649" i="14"/>
  <c r="G1648" i="14"/>
  <c r="G1647" i="14"/>
  <c r="G1646" i="14"/>
  <c r="G1645" i="14"/>
  <c r="G1644" i="14"/>
  <c r="G1643" i="14"/>
  <c r="G1642" i="14"/>
  <c r="G1641" i="14"/>
  <c r="G1640" i="14"/>
  <c r="G1639" i="14"/>
  <c r="G1638" i="14"/>
  <c r="G1637" i="14"/>
  <c r="G1636" i="14"/>
  <c r="G1635" i="14"/>
  <c r="G1634" i="14"/>
  <c r="G1633" i="14"/>
  <c r="G1632" i="14"/>
  <c r="G1631" i="14"/>
  <c r="G1630" i="14"/>
  <c r="G1629" i="14"/>
  <c r="G1628" i="14"/>
  <c r="G1627" i="14"/>
  <c r="G1626" i="14"/>
  <c r="G1625" i="14"/>
  <c r="G1624" i="14"/>
  <c r="G1623" i="14"/>
  <c r="G1622" i="14"/>
  <c r="G1621" i="14"/>
  <c r="G1620" i="14"/>
  <c r="G1619" i="14"/>
  <c r="G1618" i="14"/>
  <c r="G1617" i="14"/>
  <c r="G1616" i="14"/>
  <c r="G1615" i="14"/>
  <c r="G1614" i="14"/>
  <c r="G1613" i="14"/>
  <c r="G1612" i="14"/>
  <c r="G1611" i="14"/>
  <c r="G1610" i="14"/>
  <c r="G1609" i="14"/>
  <c r="G1608" i="14"/>
  <c r="G1607" i="14"/>
  <c r="G1606" i="14"/>
  <c r="G1605" i="14"/>
  <c r="G1604" i="14"/>
  <c r="G1603" i="14"/>
  <c r="G1602" i="14"/>
  <c r="G1601" i="14"/>
  <c r="G1600" i="14"/>
  <c r="G1599" i="14"/>
  <c r="G1598" i="14"/>
  <c r="G1597" i="14"/>
  <c r="G1596" i="14"/>
  <c r="G1595" i="14"/>
  <c r="G1594" i="14"/>
  <c r="G1593" i="14"/>
  <c r="G1592" i="14"/>
  <c r="G1591" i="14"/>
  <c r="G1590" i="14"/>
  <c r="G1589" i="14"/>
  <c r="G1588" i="14"/>
  <c r="G1587" i="14"/>
  <c r="G1586" i="14"/>
  <c r="G1585" i="14"/>
  <c r="G1584" i="14"/>
  <c r="G1583" i="14"/>
  <c r="G1582" i="14"/>
  <c r="G1581" i="14"/>
  <c r="G1580" i="14"/>
  <c r="G1579" i="14"/>
  <c r="G1578" i="14"/>
  <c r="G1577" i="14"/>
  <c r="G1576" i="14"/>
  <c r="G1575" i="14"/>
  <c r="G1574" i="14"/>
  <c r="G1573" i="14"/>
  <c r="G1572" i="14"/>
  <c r="G1571" i="14"/>
  <c r="G1570" i="14"/>
  <c r="G1569" i="14"/>
  <c r="G1568" i="14"/>
  <c r="G1567" i="14"/>
  <c r="G1566" i="14"/>
  <c r="G1565" i="14"/>
  <c r="G1564" i="14"/>
  <c r="G1563" i="14"/>
  <c r="G1562" i="14"/>
  <c r="G1561" i="14"/>
  <c r="G1560" i="14"/>
  <c r="G1559" i="14"/>
  <c r="G1558" i="14"/>
  <c r="G1557" i="14"/>
  <c r="G1556" i="14"/>
  <c r="G1555" i="14"/>
  <c r="G1554" i="14"/>
  <c r="G1553" i="14"/>
  <c r="G1552" i="14"/>
  <c r="G1551" i="14"/>
  <c r="G1550" i="14"/>
  <c r="G1549" i="14"/>
  <c r="G1548" i="14"/>
  <c r="G1547" i="14"/>
  <c r="G1546" i="14"/>
  <c r="G1545" i="14"/>
  <c r="G1544" i="14"/>
  <c r="G1543" i="14"/>
  <c r="G1542" i="14"/>
  <c r="G1541" i="14"/>
  <c r="G1540" i="14"/>
  <c r="G1539" i="14"/>
  <c r="G1538" i="14"/>
  <c r="G1537" i="14"/>
  <c r="G1536" i="14"/>
  <c r="G1535" i="14"/>
  <c r="G1534" i="14"/>
  <c r="G1533" i="14"/>
  <c r="G1532" i="14"/>
  <c r="G1531" i="14"/>
  <c r="G1530" i="14"/>
  <c r="G1529" i="14"/>
  <c r="G1528" i="14"/>
  <c r="G1527" i="14"/>
  <c r="G1526" i="14"/>
  <c r="G1525" i="14"/>
  <c r="G1524" i="14"/>
  <c r="G1523" i="14"/>
  <c r="G1522" i="14"/>
  <c r="G1521" i="14"/>
  <c r="G1520" i="14"/>
  <c r="G1519" i="14"/>
  <c r="G1518" i="14"/>
  <c r="G1517" i="14"/>
  <c r="G1516" i="14"/>
  <c r="G1515" i="14"/>
  <c r="G1514" i="14"/>
  <c r="G1513" i="14"/>
  <c r="G1512" i="14"/>
  <c r="G1511" i="14"/>
  <c r="G1510" i="14"/>
  <c r="G1509" i="14"/>
  <c r="G1508" i="14"/>
  <c r="G1507" i="14"/>
  <c r="G1506" i="14"/>
  <c r="G1505" i="14"/>
  <c r="G1504" i="14"/>
  <c r="G1503" i="14"/>
  <c r="G1502" i="14"/>
  <c r="G1501" i="14"/>
  <c r="G1500" i="14"/>
  <c r="G1499" i="14"/>
  <c r="G1498" i="14"/>
  <c r="G1497" i="14"/>
  <c r="G1496" i="14"/>
  <c r="G1495" i="14"/>
  <c r="G1494" i="14"/>
  <c r="G1493" i="14"/>
  <c r="G1492" i="14"/>
  <c r="G1491" i="14"/>
  <c r="G1490" i="14"/>
  <c r="G1489" i="14"/>
  <c r="G1488" i="14"/>
  <c r="G1487" i="14"/>
  <c r="G1486" i="14"/>
  <c r="G1485" i="14"/>
  <c r="G1484" i="14"/>
  <c r="G1483" i="14"/>
  <c r="G1482" i="14"/>
  <c r="G1481" i="14"/>
  <c r="G1480" i="14"/>
  <c r="G1479" i="14"/>
  <c r="G1478" i="14"/>
  <c r="G1477" i="14"/>
  <c r="G1476" i="14"/>
  <c r="G1475" i="14"/>
  <c r="G1474" i="14"/>
  <c r="G1473" i="14"/>
  <c r="G1472" i="14"/>
  <c r="G1471" i="14"/>
  <c r="G1470" i="14"/>
  <c r="G1469" i="14"/>
  <c r="G1468" i="14"/>
  <c r="G1467" i="14"/>
  <c r="G1466" i="14"/>
  <c r="G1465" i="14"/>
  <c r="G1464" i="14"/>
  <c r="G1463" i="14"/>
  <c r="G1462" i="14"/>
  <c r="G1461" i="14"/>
  <c r="G1460" i="14"/>
  <c r="G1459" i="14"/>
  <c r="G1458" i="14"/>
  <c r="G1457" i="14"/>
  <c r="G1456" i="14"/>
  <c r="G1455" i="14"/>
  <c r="G1454" i="14"/>
  <c r="G1453" i="14"/>
  <c r="G1452" i="14"/>
  <c r="G1451" i="14"/>
  <c r="G1450" i="14"/>
  <c r="G1449" i="14"/>
  <c r="G1448" i="14"/>
  <c r="G1447" i="14"/>
  <c r="G1446" i="14"/>
  <c r="G1445" i="14"/>
  <c r="G1444" i="14"/>
  <c r="G1443" i="14"/>
  <c r="G1442" i="14"/>
  <c r="G1441" i="14"/>
  <c r="G1440" i="14"/>
  <c r="G1439" i="14"/>
  <c r="G1438" i="14"/>
  <c r="G1437" i="14"/>
  <c r="G1436" i="14"/>
  <c r="G1435" i="14"/>
  <c r="G1434" i="14"/>
  <c r="G1433" i="14"/>
  <c r="G1432" i="14"/>
  <c r="G1431" i="14"/>
  <c r="G1430" i="14"/>
  <c r="G1429" i="14"/>
  <c r="G1428" i="14"/>
  <c r="G1427" i="14"/>
  <c r="G1426" i="14"/>
  <c r="G1425" i="14"/>
  <c r="G1424" i="14"/>
  <c r="G1423" i="14"/>
  <c r="G1422" i="14"/>
  <c r="G1421" i="14"/>
  <c r="G1420" i="14"/>
  <c r="G1419" i="14"/>
  <c r="G1418" i="14"/>
  <c r="G1417" i="14"/>
  <c r="G1416" i="14"/>
  <c r="G1415" i="14"/>
  <c r="G1414" i="14"/>
  <c r="G1413" i="14"/>
  <c r="G1412" i="14"/>
  <c r="G1411" i="14"/>
  <c r="G1410" i="14"/>
  <c r="G1409" i="14"/>
  <c r="G1408" i="14"/>
  <c r="G1407" i="14"/>
  <c r="G1406" i="14"/>
  <c r="G1405" i="14"/>
  <c r="G1404" i="14"/>
  <c r="G1403" i="14"/>
  <c r="G1402" i="14"/>
  <c r="G1401" i="14"/>
  <c r="G1400" i="14"/>
  <c r="G1399" i="14"/>
  <c r="G1398" i="14"/>
  <c r="G1397" i="14"/>
  <c r="G1396" i="14"/>
  <c r="G1395" i="14"/>
  <c r="G1394" i="14"/>
  <c r="G1393" i="14"/>
  <c r="G1392" i="14"/>
  <c r="G1391" i="14"/>
  <c r="G1390" i="14"/>
  <c r="G1389" i="14"/>
  <c r="G1388" i="14"/>
  <c r="G1387" i="14"/>
  <c r="G1386" i="14"/>
  <c r="G1385" i="14"/>
  <c r="G1384" i="14"/>
  <c r="G1383" i="14"/>
  <c r="G1382" i="14"/>
  <c r="G1381" i="14"/>
  <c r="G1380" i="14"/>
  <c r="G1379" i="14"/>
  <c r="G1378" i="14"/>
  <c r="G1377" i="14"/>
  <c r="G1376" i="14"/>
  <c r="G1375" i="14"/>
  <c r="G1374" i="14"/>
  <c r="G1373" i="14"/>
  <c r="G1372" i="14"/>
  <c r="G1371" i="14"/>
  <c r="G1370" i="14"/>
  <c r="G1369" i="14"/>
  <c r="G1368" i="14"/>
  <c r="G1367" i="14"/>
  <c r="G1366" i="14"/>
  <c r="G1365" i="14"/>
  <c r="G1364" i="14"/>
  <c r="G1363" i="14"/>
  <c r="G1362" i="14"/>
  <c r="G1361" i="14"/>
  <c r="G1360" i="14"/>
  <c r="G1359" i="14"/>
  <c r="G1358" i="14"/>
  <c r="G1357" i="14"/>
  <c r="G1356" i="14"/>
  <c r="G1355" i="14"/>
  <c r="G1354" i="14"/>
  <c r="G1353" i="14"/>
  <c r="G1352" i="14"/>
  <c r="G1351" i="14"/>
  <c r="G1350" i="14"/>
  <c r="G1349" i="14"/>
  <c r="G1348" i="14"/>
  <c r="G1347" i="14"/>
  <c r="G1346" i="14"/>
  <c r="G1345" i="14"/>
  <c r="G1344" i="14"/>
  <c r="G1343" i="14"/>
  <c r="G1342" i="14"/>
  <c r="G1341" i="14"/>
  <c r="G1340" i="14"/>
  <c r="G1339" i="14"/>
  <c r="G1338" i="14"/>
  <c r="G1337" i="14"/>
  <c r="G1336" i="14"/>
  <c r="G1335" i="14"/>
  <c r="G1334" i="14"/>
  <c r="G1333" i="14"/>
  <c r="G1332" i="14"/>
  <c r="G1331" i="14"/>
  <c r="G1330" i="14"/>
  <c r="G1329" i="14"/>
  <c r="G1328" i="14"/>
  <c r="G1327" i="14"/>
  <c r="G1326" i="14"/>
  <c r="G1325" i="14"/>
  <c r="G1324" i="14"/>
  <c r="G1323" i="14"/>
  <c r="G1322" i="14"/>
  <c r="G1321" i="14"/>
  <c r="G1320" i="14"/>
  <c r="G1319" i="14"/>
  <c r="G1318" i="14"/>
  <c r="G1317" i="14"/>
  <c r="G1316" i="14"/>
  <c r="G1315" i="14"/>
  <c r="G1314" i="14"/>
  <c r="G1313" i="14"/>
  <c r="G1312" i="14"/>
  <c r="G1311" i="14"/>
  <c r="G1310" i="14"/>
  <c r="G1309" i="14"/>
  <c r="G1308" i="14"/>
  <c r="G1307" i="14"/>
  <c r="G1306" i="14"/>
  <c r="G1305" i="14"/>
  <c r="G1304" i="14"/>
  <c r="G1303" i="14"/>
  <c r="G1302" i="14"/>
  <c r="G1301" i="14"/>
  <c r="G1300" i="14"/>
  <c r="G1299" i="14"/>
  <c r="G1298" i="14"/>
  <c r="G1297" i="14"/>
  <c r="G1296" i="14"/>
  <c r="G1295" i="14"/>
  <c r="G1294" i="14"/>
  <c r="G1293" i="14"/>
  <c r="G1292" i="14"/>
  <c r="G1291" i="14"/>
  <c r="G1290" i="14"/>
  <c r="G1289" i="14"/>
  <c r="G1288" i="14"/>
  <c r="G1287" i="14"/>
  <c r="G1286" i="14"/>
  <c r="G1285" i="14"/>
  <c r="G1284" i="14"/>
  <c r="G1283" i="14"/>
  <c r="G1282" i="14"/>
  <c r="G1281" i="14"/>
  <c r="G1280" i="14"/>
  <c r="G1279" i="14"/>
  <c r="G1278" i="14"/>
  <c r="G1277" i="14"/>
  <c r="G1276" i="14"/>
  <c r="G1275" i="14"/>
  <c r="G1274" i="14"/>
  <c r="G1273" i="14"/>
  <c r="G1272" i="14"/>
  <c r="G1271" i="14"/>
  <c r="G1270" i="14"/>
  <c r="G1269" i="14"/>
  <c r="G1268" i="14"/>
  <c r="G1267" i="14"/>
  <c r="G1266" i="14"/>
  <c r="G1265" i="14"/>
  <c r="G1264" i="14"/>
  <c r="G1263" i="14"/>
  <c r="G1262" i="14"/>
  <c r="G1261" i="14"/>
  <c r="G1260" i="14"/>
  <c r="G1259" i="14"/>
  <c r="G1258" i="14"/>
  <c r="G1257" i="14"/>
  <c r="G1256" i="14"/>
  <c r="G1255" i="14"/>
  <c r="G1254" i="14"/>
  <c r="G1253" i="14"/>
  <c r="G1252" i="14"/>
  <c r="G1251" i="14"/>
  <c r="G1250" i="14"/>
  <c r="G1249" i="14"/>
  <c r="G1248" i="14"/>
  <c r="G1247" i="14"/>
  <c r="G1246" i="14"/>
  <c r="G1245" i="14"/>
  <c r="G1244" i="14"/>
  <c r="G1243" i="14"/>
  <c r="G1242" i="14"/>
  <c r="G1241" i="14"/>
  <c r="G1240" i="14"/>
  <c r="G1239" i="14"/>
  <c r="G1238" i="14"/>
  <c r="G1237" i="14"/>
  <c r="G1236" i="14"/>
  <c r="G1235" i="14"/>
  <c r="G1234" i="14"/>
  <c r="G1233" i="14"/>
  <c r="G1232" i="14"/>
  <c r="G1231" i="14"/>
  <c r="G1230" i="14"/>
  <c r="G1229" i="14"/>
  <c r="G1228" i="14"/>
  <c r="G1227" i="14"/>
  <c r="G1226" i="14"/>
  <c r="G1225" i="14"/>
  <c r="G1224" i="14"/>
  <c r="G1223" i="14"/>
  <c r="G1222" i="14"/>
  <c r="G1221" i="14"/>
  <c r="G1220" i="14"/>
  <c r="G1219" i="14"/>
  <c r="G1218" i="14"/>
  <c r="G1217" i="14"/>
  <c r="G1216" i="14"/>
  <c r="G1215" i="14"/>
  <c r="G1214" i="14"/>
  <c r="G1213" i="14"/>
  <c r="G1212" i="14"/>
  <c r="G1211" i="14"/>
  <c r="G1210" i="14"/>
  <c r="G1209" i="14"/>
  <c r="G1208" i="14"/>
  <c r="G1207" i="14"/>
  <c r="G1206" i="14"/>
  <c r="G1205" i="14"/>
  <c r="G1204" i="14"/>
  <c r="G1203" i="14"/>
  <c r="G1202" i="14"/>
  <c r="G1201" i="14"/>
  <c r="G1200" i="14"/>
  <c r="G1199" i="14"/>
  <c r="G1198" i="14"/>
  <c r="G1197" i="14"/>
  <c r="G1196" i="14"/>
  <c r="G1195" i="14"/>
  <c r="G1194" i="14"/>
  <c r="G1193" i="14"/>
  <c r="G1192" i="14"/>
  <c r="G1191" i="14"/>
  <c r="G1190" i="14"/>
  <c r="G1189" i="14"/>
  <c r="G1188" i="14"/>
  <c r="G1187" i="14"/>
  <c r="G1186" i="14"/>
  <c r="G1185" i="14"/>
  <c r="G1184" i="14"/>
  <c r="G1183" i="14"/>
  <c r="G1182" i="14"/>
  <c r="G1181" i="14"/>
  <c r="G1180" i="14"/>
  <c r="G1179" i="14"/>
  <c r="G1178" i="14"/>
  <c r="G1177" i="14"/>
  <c r="G1176" i="14"/>
  <c r="G1175" i="14"/>
  <c r="G1174" i="14"/>
  <c r="G1173" i="14"/>
  <c r="G1172" i="14"/>
  <c r="G1171" i="14"/>
  <c r="G1170" i="14"/>
  <c r="G1169" i="14"/>
  <c r="G1168" i="14"/>
  <c r="G1167" i="14"/>
  <c r="G1166" i="14"/>
  <c r="G1165" i="14"/>
  <c r="G1164" i="14"/>
  <c r="G1163" i="14"/>
  <c r="G1162" i="14"/>
  <c r="G1161" i="14"/>
  <c r="G1160" i="14"/>
  <c r="G1159" i="14"/>
  <c r="G1158" i="14"/>
  <c r="G1157" i="14"/>
  <c r="G1156" i="14"/>
  <c r="G1155" i="14"/>
  <c r="G1154" i="14"/>
  <c r="G1153" i="14"/>
  <c r="G1152" i="14"/>
  <c r="G1151" i="14"/>
  <c r="G1150" i="14"/>
  <c r="G1149" i="14"/>
  <c r="G1148" i="14"/>
  <c r="G1147" i="14"/>
  <c r="G1146" i="14"/>
  <c r="G1145" i="14"/>
  <c r="G1144" i="14"/>
  <c r="G1143" i="14"/>
  <c r="G1142" i="14"/>
  <c r="G1141" i="14"/>
  <c r="G1140" i="14"/>
  <c r="G1139" i="14"/>
  <c r="G1138" i="14"/>
  <c r="G1137" i="14"/>
  <c r="G1136" i="14"/>
  <c r="G1135" i="14"/>
  <c r="G1134" i="14"/>
  <c r="G1133" i="14"/>
  <c r="G1132" i="14"/>
  <c r="G1131" i="14"/>
  <c r="G1130" i="14"/>
  <c r="G1129" i="14"/>
  <c r="G1128" i="14"/>
  <c r="G1127" i="14"/>
  <c r="G1126" i="14"/>
  <c r="G1125" i="14"/>
  <c r="G1124" i="14"/>
  <c r="G1123" i="14"/>
  <c r="G1122" i="14"/>
  <c r="G1121" i="14"/>
  <c r="G1120" i="14"/>
  <c r="G1119" i="14"/>
  <c r="G1118" i="14"/>
  <c r="G1117" i="14"/>
  <c r="G1116" i="14"/>
  <c r="G1115" i="14"/>
  <c r="G1114" i="14"/>
  <c r="G1113" i="14"/>
  <c r="G1112" i="14"/>
  <c r="G1111" i="14"/>
  <c r="G1110" i="14"/>
  <c r="G1109" i="14"/>
  <c r="G1108" i="14"/>
  <c r="G1107" i="14"/>
  <c r="G1106" i="14"/>
  <c r="G1105" i="14"/>
  <c r="G1104" i="14"/>
  <c r="G1103" i="14"/>
  <c r="G1102" i="14"/>
  <c r="G1101" i="14"/>
  <c r="G1100" i="14"/>
  <c r="G1099" i="14"/>
  <c r="G1098" i="14"/>
  <c r="G1097" i="14"/>
  <c r="G1096" i="14"/>
  <c r="G1095" i="14"/>
  <c r="G1094" i="14"/>
  <c r="G1093" i="14"/>
  <c r="G1092" i="14"/>
  <c r="G1091" i="14"/>
  <c r="G1090" i="14"/>
  <c r="G1089" i="14"/>
  <c r="G1088" i="14"/>
  <c r="G1087" i="14"/>
  <c r="G1086" i="14"/>
  <c r="G1085" i="14"/>
  <c r="G1084" i="14"/>
  <c r="G1083" i="14"/>
  <c r="G1082" i="14"/>
  <c r="G1081" i="14"/>
  <c r="G1080" i="14"/>
  <c r="G1079" i="14"/>
  <c r="G1078" i="14"/>
  <c r="G1077" i="14"/>
  <c r="G1076" i="14"/>
  <c r="G1075" i="14"/>
  <c r="G1074" i="14"/>
  <c r="G1073" i="14"/>
  <c r="G1072" i="14"/>
  <c r="G1071" i="14"/>
  <c r="G1070" i="14"/>
  <c r="G1069" i="14"/>
  <c r="G1068" i="14"/>
  <c r="G1067" i="14"/>
  <c r="G1066" i="14"/>
  <c r="G1065" i="14"/>
  <c r="G1064" i="14"/>
  <c r="G1063" i="14"/>
  <c r="G1062" i="14"/>
  <c r="G1061" i="14"/>
  <c r="G1060" i="14"/>
  <c r="G1059" i="14"/>
  <c r="G1058" i="14"/>
  <c r="G1057" i="14"/>
  <c r="G1056" i="14"/>
  <c r="G1055" i="14"/>
  <c r="G1054" i="14"/>
  <c r="G1053" i="14"/>
  <c r="G1052" i="14"/>
  <c r="G1051" i="14"/>
  <c r="G1050" i="14"/>
  <c r="G1049" i="14"/>
  <c r="G1048" i="14"/>
  <c r="G1047" i="14"/>
  <c r="G1046" i="14"/>
  <c r="G1045" i="14"/>
  <c r="G1044" i="14"/>
  <c r="G1043" i="14"/>
  <c r="G1042" i="14"/>
  <c r="G1041" i="14"/>
  <c r="G1040" i="14"/>
  <c r="G1039" i="14"/>
  <c r="G1038" i="14"/>
  <c r="G1037" i="14"/>
  <c r="G1036" i="14"/>
  <c r="G1035" i="14"/>
  <c r="G1034" i="14"/>
  <c r="G1033" i="14"/>
  <c r="G1032" i="14"/>
  <c r="G1031" i="14"/>
  <c r="G1030" i="14"/>
  <c r="G1029" i="14"/>
  <c r="G1028" i="14"/>
  <c r="G1027" i="14"/>
  <c r="G1026" i="14"/>
  <c r="G1025" i="14"/>
  <c r="G1024" i="14"/>
  <c r="G1023" i="14"/>
  <c r="G1022" i="14"/>
  <c r="G1021" i="14"/>
  <c r="G1020" i="14"/>
  <c r="G1019" i="14"/>
  <c r="G1018" i="14"/>
  <c r="G1017" i="14"/>
  <c r="G1016" i="14"/>
  <c r="G1015" i="14"/>
  <c r="G1014" i="14"/>
  <c r="G1013" i="14"/>
  <c r="G1012" i="14"/>
  <c r="G1011" i="14"/>
  <c r="G1010" i="14"/>
  <c r="G1009" i="14"/>
  <c r="G1008" i="14"/>
  <c r="G1007" i="14"/>
  <c r="G1006" i="14"/>
  <c r="G1005" i="14"/>
  <c r="G1004" i="14"/>
  <c r="G1003" i="14"/>
  <c r="G1002" i="14"/>
  <c r="G1001" i="14"/>
  <c r="G1000" i="14"/>
  <c r="G999" i="14"/>
  <c r="G998" i="14"/>
  <c r="G997" i="14"/>
  <c r="G996" i="14"/>
  <c r="G995" i="14"/>
  <c r="G994" i="14"/>
  <c r="G993" i="14"/>
  <c r="G992" i="14"/>
  <c r="G991" i="14"/>
  <c r="G990" i="14"/>
  <c r="G989" i="14"/>
  <c r="G988" i="14"/>
  <c r="G987" i="14"/>
  <c r="G986" i="14"/>
  <c r="G985" i="14"/>
  <c r="G984" i="14"/>
  <c r="G983" i="14"/>
  <c r="G982" i="14"/>
  <c r="G981" i="14"/>
  <c r="G980" i="14"/>
  <c r="G979" i="14"/>
  <c r="G978" i="14"/>
  <c r="G977" i="14"/>
  <c r="G976" i="14"/>
  <c r="G975" i="14"/>
  <c r="G974" i="14"/>
  <c r="G973" i="14"/>
  <c r="G972" i="14"/>
  <c r="G971" i="14"/>
  <c r="G970" i="14"/>
  <c r="G969" i="14"/>
  <c r="G968" i="14"/>
  <c r="G967" i="14"/>
  <c r="G966" i="14"/>
  <c r="G965" i="14"/>
  <c r="G964" i="14"/>
  <c r="G963" i="14"/>
  <c r="G962" i="14"/>
  <c r="G961" i="14"/>
  <c r="G960" i="14"/>
  <c r="G959" i="14"/>
  <c r="G958" i="14"/>
  <c r="G957" i="14"/>
  <c r="G956" i="14"/>
  <c r="G955" i="14"/>
  <c r="G954" i="14"/>
  <c r="G953" i="14"/>
  <c r="G952" i="14"/>
  <c r="G951" i="14"/>
  <c r="G950" i="14"/>
  <c r="G949" i="14"/>
  <c r="G948" i="14"/>
  <c r="G947" i="14"/>
  <c r="G946" i="14"/>
  <c r="G945" i="14"/>
  <c r="G944" i="14"/>
  <c r="G943" i="14"/>
  <c r="G942" i="14"/>
  <c r="G941" i="14"/>
  <c r="G940" i="14"/>
  <c r="G939" i="14"/>
  <c r="G938" i="14"/>
  <c r="G937" i="14"/>
  <c r="G936" i="14"/>
  <c r="G935" i="14"/>
  <c r="G934" i="14"/>
  <c r="G933" i="14"/>
  <c r="G932" i="14"/>
  <c r="G931" i="14"/>
  <c r="G930" i="14"/>
  <c r="G929" i="14"/>
  <c r="G928" i="14"/>
  <c r="G927" i="14"/>
  <c r="G926" i="14"/>
  <c r="G925" i="14"/>
  <c r="G924" i="14"/>
  <c r="G923" i="14"/>
  <c r="G922" i="14"/>
  <c r="G921" i="14"/>
  <c r="G920" i="14"/>
  <c r="G919" i="14"/>
  <c r="G918" i="14"/>
  <c r="G917" i="14"/>
  <c r="G916" i="14"/>
  <c r="G915" i="14"/>
  <c r="G914" i="14"/>
  <c r="G913" i="14"/>
  <c r="G912" i="14"/>
  <c r="G911" i="14"/>
  <c r="G910" i="14"/>
  <c r="G909" i="14"/>
  <c r="G908" i="14"/>
  <c r="G907" i="14"/>
  <c r="G906" i="14"/>
  <c r="G905" i="14"/>
  <c r="G904" i="14"/>
  <c r="G903" i="14"/>
  <c r="G902" i="14"/>
  <c r="G901" i="14"/>
  <c r="G900" i="14"/>
  <c r="G899" i="14"/>
  <c r="G898" i="14"/>
  <c r="G897" i="14"/>
  <c r="G896" i="14"/>
  <c r="G895" i="14"/>
  <c r="G894" i="14"/>
  <c r="G893" i="14"/>
  <c r="G892" i="14"/>
  <c r="G891" i="14"/>
  <c r="G890" i="14"/>
  <c r="G889" i="14"/>
  <c r="G888" i="14"/>
  <c r="G887" i="14"/>
  <c r="G886" i="14"/>
  <c r="G885" i="14"/>
  <c r="G884" i="14"/>
  <c r="G883" i="14"/>
  <c r="G882" i="14"/>
  <c r="G881" i="14"/>
  <c r="G880" i="14"/>
  <c r="G879" i="14"/>
  <c r="G878" i="14"/>
  <c r="G877" i="14"/>
  <c r="G876" i="14"/>
  <c r="G875" i="14"/>
  <c r="G874" i="14"/>
  <c r="G873" i="14"/>
  <c r="G872" i="14"/>
  <c r="G871" i="14"/>
  <c r="G870" i="14"/>
  <c r="G869" i="14"/>
  <c r="G868" i="14"/>
  <c r="G867" i="14"/>
  <c r="G866" i="14"/>
  <c r="G865" i="14"/>
  <c r="G864" i="14"/>
  <c r="G863" i="14"/>
  <c r="G862" i="14"/>
  <c r="G861" i="14"/>
  <c r="G860" i="14"/>
  <c r="G859" i="14"/>
  <c r="G858" i="14"/>
  <c r="G857" i="14"/>
  <c r="G856" i="14"/>
  <c r="G855" i="14"/>
  <c r="G854" i="14"/>
  <c r="G853" i="14"/>
  <c r="G852" i="14"/>
  <c r="G851" i="14"/>
  <c r="G850" i="14"/>
  <c r="G849" i="14"/>
  <c r="G848" i="14"/>
  <c r="G847" i="14"/>
  <c r="G846" i="14"/>
  <c r="G845" i="14"/>
  <c r="G844" i="14"/>
  <c r="G843" i="14"/>
  <c r="G842" i="14"/>
  <c r="G841" i="14"/>
  <c r="G840" i="14"/>
  <c r="G839" i="14"/>
  <c r="G838" i="14"/>
  <c r="G837" i="14"/>
  <c r="G836" i="14"/>
  <c r="G835" i="14"/>
  <c r="G834" i="14"/>
  <c r="G833" i="14"/>
  <c r="G832" i="14"/>
  <c r="G831" i="14"/>
  <c r="G830" i="14"/>
  <c r="G829" i="14"/>
  <c r="G828" i="14"/>
  <c r="G827" i="14"/>
  <c r="G826" i="14"/>
  <c r="G825" i="14"/>
  <c r="G824" i="14"/>
  <c r="G823" i="14"/>
  <c r="G822" i="14"/>
  <c r="G821" i="14"/>
  <c r="G820" i="14"/>
  <c r="G819" i="14"/>
  <c r="G818" i="14"/>
  <c r="G817" i="14"/>
  <c r="G816" i="14"/>
  <c r="G815" i="14"/>
  <c r="G814" i="14"/>
  <c r="G813" i="14"/>
  <c r="G812" i="14"/>
  <c r="G811" i="14"/>
  <c r="G810" i="14"/>
  <c r="G809" i="14"/>
  <c r="G808" i="14"/>
  <c r="G807" i="14"/>
  <c r="G806" i="14"/>
  <c r="G805" i="14"/>
  <c r="G804" i="14"/>
  <c r="G803" i="14"/>
  <c r="G802" i="14"/>
  <c r="G801" i="14"/>
  <c r="G800" i="14"/>
  <c r="G799" i="14"/>
  <c r="G798" i="14"/>
  <c r="G797" i="14"/>
  <c r="G796" i="14"/>
  <c r="G795" i="14"/>
  <c r="G794" i="14"/>
  <c r="G793" i="14"/>
  <c r="G792" i="14"/>
  <c r="G791" i="14"/>
  <c r="G790" i="14"/>
  <c r="G789" i="14"/>
  <c r="G788" i="14"/>
  <c r="G787" i="14"/>
  <c r="G786" i="14"/>
  <c r="G785" i="14"/>
  <c r="G784" i="14"/>
  <c r="G783" i="14"/>
  <c r="G782" i="14"/>
  <c r="G781" i="14"/>
  <c r="G780" i="14"/>
  <c r="G779" i="14"/>
  <c r="G778" i="14"/>
  <c r="G777" i="14"/>
  <c r="G776" i="14"/>
  <c r="G775" i="14"/>
  <c r="G774" i="14"/>
  <c r="G773" i="14"/>
  <c r="G772" i="14"/>
  <c r="G771" i="14"/>
  <c r="G770" i="14"/>
  <c r="G769" i="14"/>
  <c r="G768" i="14"/>
  <c r="G767" i="14"/>
  <c r="G766" i="14"/>
  <c r="G765" i="14"/>
  <c r="G764" i="14"/>
  <c r="G763" i="14"/>
  <c r="G762" i="14"/>
  <c r="G761" i="14"/>
  <c r="G760" i="14"/>
  <c r="G759" i="14"/>
  <c r="G758" i="14"/>
  <c r="G757" i="14"/>
  <c r="G756" i="14"/>
  <c r="G755" i="14"/>
  <c r="G754" i="14"/>
  <c r="G753" i="14"/>
  <c r="G752" i="14"/>
  <c r="G751" i="14"/>
  <c r="G750" i="14"/>
  <c r="G749" i="14"/>
  <c r="G748" i="14"/>
  <c r="G747" i="14"/>
  <c r="G746" i="14"/>
  <c r="G745" i="14"/>
  <c r="G744" i="14"/>
  <c r="G743" i="14"/>
  <c r="G742" i="14"/>
  <c r="G741" i="14"/>
  <c r="G740" i="14"/>
  <c r="G739" i="14"/>
  <c r="G738" i="14"/>
  <c r="G737" i="14"/>
  <c r="G736" i="14"/>
  <c r="G735" i="14"/>
  <c r="G734" i="14"/>
  <c r="G733" i="14"/>
  <c r="G732" i="14"/>
  <c r="G731" i="14"/>
  <c r="G730" i="14"/>
  <c r="G729" i="14"/>
  <c r="G728" i="14"/>
  <c r="G727" i="14"/>
  <c r="G726" i="14"/>
  <c r="G725" i="14"/>
  <c r="G724" i="14"/>
  <c r="G723" i="14"/>
  <c r="G722" i="14"/>
  <c r="G721" i="14"/>
  <c r="G720" i="14"/>
  <c r="G719" i="14"/>
  <c r="G718" i="14"/>
  <c r="G717" i="14"/>
  <c r="G716" i="14"/>
  <c r="G715" i="14"/>
  <c r="G714" i="14"/>
  <c r="G713" i="14"/>
  <c r="G712" i="14"/>
  <c r="G711" i="14"/>
  <c r="G710" i="14"/>
  <c r="G709" i="14"/>
  <c r="G708" i="14"/>
  <c r="G707" i="14"/>
  <c r="G706" i="14"/>
  <c r="G705" i="14"/>
  <c r="G704" i="14"/>
  <c r="G703" i="14"/>
  <c r="G702" i="14"/>
  <c r="G701" i="14"/>
  <c r="G700" i="14"/>
  <c r="G699" i="14"/>
  <c r="G698" i="14"/>
  <c r="G697" i="14"/>
  <c r="G696" i="14"/>
  <c r="G695" i="14"/>
  <c r="G694" i="14"/>
  <c r="G693" i="14"/>
  <c r="G692" i="14"/>
  <c r="G691" i="14"/>
  <c r="G690" i="14"/>
  <c r="G689" i="14"/>
  <c r="G688" i="14"/>
  <c r="G687" i="14"/>
  <c r="G686" i="14"/>
  <c r="G685" i="14"/>
  <c r="G684" i="14"/>
  <c r="G683" i="14"/>
  <c r="G682" i="14"/>
  <c r="G681" i="14"/>
  <c r="G680" i="14"/>
  <c r="G679" i="14"/>
  <c r="G678" i="14"/>
  <c r="G677" i="14"/>
  <c r="G676" i="14"/>
  <c r="G675" i="14"/>
  <c r="G674" i="14"/>
  <c r="G673" i="14"/>
  <c r="G672" i="14"/>
  <c r="G671" i="14"/>
  <c r="G670" i="14"/>
  <c r="G669" i="14"/>
  <c r="G668" i="14"/>
  <c r="G667" i="14"/>
  <c r="G666" i="14"/>
  <c r="G665" i="14"/>
  <c r="G664" i="14"/>
  <c r="G663" i="14"/>
  <c r="G662" i="14"/>
  <c r="G661" i="14"/>
  <c r="G660" i="14"/>
  <c r="G659" i="14"/>
  <c r="G658" i="14"/>
  <c r="G657" i="14"/>
  <c r="G656" i="14"/>
  <c r="G655" i="14"/>
  <c r="G654" i="14"/>
  <c r="G653" i="14"/>
  <c r="G652" i="14"/>
  <c r="G651" i="14"/>
  <c r="G650" i="14"/>
  <c r="G649" i="14"/>
  <c r="G648" i="14"/>
  <c r="G647" i="14"/>
  <c r="G646" i="14"/>
  <c r="G645" i="14"/>
  <c r="G644" i="14"/>
  <c r="G643" i="14"/>
  <c r="G642" i="14"/>
  <c r="G641" i="14"/>
  <c r="G640" i="14"/>
  <c r="G639" i="14"/>
  <c r="G638" i="14"/>
  <c r="G637" i="14"/>
  <c r="G636" i="14"/>
  <c r="G635" i="14"/>
  <c r="G634" i="14"/>
  <c r="G633" i="14"/>
  <c r="G632" i="14"/>
  <c r="G631" i="14"/>
  <c r="G630" i="14"/>
  <c r="G629" i="14"/>
  <c r="G628" i="14"/>
  <c r="G627" i="14"/>
  <c r="G626" i="14"/>
  <c r="G625" i="14"/>
  <c r="G624" i="14"/>
  <c r="G623" i="14"/>
  <c r="G622" i="14"/>
  <c r="G621" i="14"/>
  <c r="G620" i="14"/>
  <c r="G619" i="14"/>
  <c r="G618" i="14"/>
  <c r="G617" i="14"/>
  <c r="G616" i="14"/>
  <c r="G615" i="14"/>
  <c r="G614" i="14"/>
  <c r="G613" i="14"/>
  <c r="G612" i="14"/>
  <c r="G611" i="14"/>
  <c r="G610" i="14"/>
  <c r="G609" i="14"/>
  <c r="G608" i="14"/>
  <c r="G607" i="14"/>
  <c r="G606" i="14"/>
  <c r="G605" i="14"/>
  <c r="G604" i="14"/>
  <c r="G603" i="14"/>
  <c r="G602" i="14"/>
  <c r="G601" i="14"/>
  <c r="G600" i="14"/>
  <c r="G599" i="14"/>
  <c r="G598" i="14"/>
  <c r="G597" i="14"/>
  <c r="G596" i="14"/>
  <c r="G595" i="14"/>
  <c r="G594" i="14"/>
  <c r="G593" i="14"/>
  <c r="G592" i="14"/>
  <c r="G591" i="14"/>
  <c r="G590" i="14"/>
  <c r="G589" i="14"/>
  <c r="G588" i="14"/>
  <c r="G587" i="14"/>
  <c r="G586" i="14"/>
  <c r="G585" i="14"/>
  <c r="G584" i="14"/>
  <c r="G583" i="14"/>
  <c r="G582" i="14"/>
  <c r="G581" i="14"/>
  <c r="G580" i="14"/>
  <c r="G579" i="14"/>
  <c r="G578" i="14"/>
  <c r="G577" i="14"/>
  <c r="G576" i="14"/>
  <c r="G575" i="14"/>
  <c r="G574" i="14"/>
  <c r="G573" i="14"/>
  <c r="G572" i="14"/>
  <c r="G571" i="14"/>
  <c r="G570" i="14"/>
  <c r="G569" i="14"/>
  <c r="G568" i="14"/>
  <c r="G567" i="14"/>
  <c r="G566" i="14"/>
  <c r="G565" i="14"/>
  <c r="G564" i="14"/>
  <c r="G563" i="14"/>
  <c r="G562" i="14"/>
  <c r="G561" i="14"/>
  <c r="G560" i="14"/>
  <c r="G559" i="14"/>
  <c r="G558" i="14"/>
  <c r="G557" i="14"/>
  <c r="G556" i="14"/>
  <c r="G555" i="14"/>
  <c r="G554" i="14"/>
  <c r="G553" i="14"/>
  <c r="G552" i="14"/>
  <c r="G551" i="14"/>
  <c r="G550" i="14"/>
  <c r="G549" i="14"/>
  <c r="G548" i="14"/>
  <c r="G547" i="14"/>
  <c r="G546" i="14"/>
  <c r="G545" i="14"/>
  <c r="G544" i="14"/>
  <c r="G543" i="14"/>
  <c r="G542" i="14"/>
  <c r="G541" i="14"/>
  <c r="G540" i="14"/>
  <c r="G539" i="14"/>
  <c r="G538" i="14"/>
  <c r="G537" i="14"/>
  <c r="G536" i="14"/>
  <c r="G535" i="14"/>
  <c r="G534" i="14"/>
  <c r="G533" i="14"/>
  <c r="G532" i="14"/>
  <c r="G531" i="14"/>
  <c r="G530" i="14"/>
  <c r="G529" i="14"/>
  <c r="G528" i="14"/>
  <c r="G527" i="14"/>
  <c r="G526" i="14"/>
  <c r="G525" i="14"/>
  <c r="G524" i="14"/>
  <c r="G523" i="14"/>
  <c r="G522" i="14"/>
  <c r="G521" i="14"/>
  <c r="G520" i="14"/>
  <c r="G519" i="14"/>
  <c r="G518" i="14"/>
  <c r="G517" i="14"/>
  <c r="G516" i="14"/>
  <c r="G515" i="14"/>
  <c r="G514" i="14"/>
  <c r="G513" i="14"/>
  <c r="G512" i="14"/>
  <c r="G511" i="14"/>
  <c r="G510" i="14"/>
  <c r="G509" i="14"/>
  <c r="G508" i="14"/>
  <c r="G507" i="14"/>
  <c r="G506" i="14"/>
  <c r="G505" i="14"/>
  <c r="G504" i="14"/>
  <c r="G503" i="14"/>
  <c r="G502" i="14"/>
  <c r="G501" i="14"/>
  <c r="G500" i="14"/>
  <c r="G499" i="14"/>
  <c r="G498" i="14"/>
  <c r="G497" i="14"/>
  <c r="G496" i="14"/>
  <c r="G495" i="14"/>
  <c r="G494" i="14"/>
  <c r="G493" i="14"/>
  <c r="G492" i="14"/>
  <c r="G491" i="14"/>
  <c r="G490" i="14"/>
  <c r="G489" i="14"/>
  <c r="G488" i="14"/>
  <c r="G487" i="14"/>
  <c r="G486" i="14"/>
  <c r="G485" i="14"/>
  <c r="G484" i="14"/>
  <c r="G483" i="14"/>
  <c r="G482" i="14"/>
  <c r="G481" i="14"/>
  <c r="G480" i="14"/>
  <c r="G479" i="14"/>
  <c r="G478" i="14"/>
  <c r="G477" i="14"/>
  <c r="G476" i="14"/>
  <c r="G475" i="14"/>
  <c r="G474" i="14"/>
  <c r="G473" i="14"/>
  <c r="G472" i="14"/>
  <c r="G471" i="14"/>
  <c r="G470" i="14"/>
  <c r="G469" i="14"/>
  <c r="G468" i="14"/>
  <c r="G467" i="14"/>
  <c r="G466" i="14"/>
  <c r="G465" i="14"/>
  <c r="G464" i="14"/>
  <c r="G463" i="14"/>
  <c r="G462" i="14"/>
  <c r="G461" i="14"/>
  <c r="G460" i="14"/>
  <c r="G459" i="14"/>
  <c r="G458" i="14"/>
  <c r="G457" i="14"/>
  <c r="G456" i="14"/>
  <c r="G455" i="14"/>
  <c r="G454" i="14"/>
  <c r="G453" i="14"/>
  <c r="G452" i="14"/>
  <c r="G451" i="14"/>
  <c r="G450" i="14"/>
  <c r="G449" i="14"/>
  <c r="G448" i="14"/>
  <c r="G447" i="14"/>
  <c r="G446" i="14"/>
  <c r="G445" i="14"/>
  <c r="G444" i="14"/>
  <c r="G443" i="14"/>
  <c r="G442" i="14"/>
  <c r="G441" i="14"/>
  <c r="G440" i="14"/>
  <c r="G439" i="14"/>
  <c r="G438" i="14"/>
  <c r="G437" i="14"/>
  <c r="G436" i="14"/>
  <c r="G435" i="14"/>
  <c r="G434" i="14"/>
  <c r="G433" i="14"/>
  <c r="G432" i="14"/>
  <c r="G431" i="14"/>
  <c r="G430" i="14"/>
  <c r="G429" i="14"/>
  <c r="G428" i="14"/>
  <c r="G427" i="14"/>
  <c r="G426" i="14"/>
  <c r="G425" i="14"/>
  <c r="G424" i="14"/>
  <c r="G423" i="14"/>
  <c r="G422" i="14"/>
  <c r="G421" i="14"/>
  <c r="G420" i="14"/>
  <c r="G419" i="14"/>
  <c r="G418" i="14"/>
  <c r="G417" i="14"/>
  <c r="G416" i="14"/>
  <c r="G415" i="14"/>
  <c r="G414" i="14"/>
  <c r="G413" i="14"/>
  <c r="G412" i="14"/>
  <c r="G411" i="14"/>
  <c r="G410" i="14"/>
  <c r="G409" i="14"/>
  <c r="G408" i="14"/>
  <c r="G407" i="14"/>
  <c r="G406" i="14"/>
  <c r="G405" i="14"/>
  <c r="G404" i="14"/>
  <c r="G403" i="14"/>
  <c r="G402" i="14"/>
  <c r="G401" i="14"/>
  <c r="G400" i="14"/>
  <c r="G399" i="14"/>
  <c r="G398" i="14"/>
  <c r="G397" i="14"/>
  <c r="G396" i="14"/>
  <c r="G395" i="14"/>
  <c r="G394" i="14"/>
  <c r="G393" i="14"/>
  <c r="G392" i="14"/>
  <c r="G391" i="14"/>
  <c r="G390" i="14"/>
  <c r="G389" i="14"/>
  <c r="G388" i="14"/>
  <c r="G387" i="14"/>
  <c r="G386" i="14"/>
  <c r="G385" i="14"/>
  <c r="G384" i="14"/>
  <c r="G383" i="14"/>
  <c r="G382" i="14"/>
  <c r="G381" i="14"/>
  <c r="G380" i="14"/>
  <c r="G379" i="14"/>
  <c r="G378" i="14"/>
  <c r="G377" i="14"/>
  <c r="G376" i="14"/>
  <c r="G375" i="14"/>
  <c r="G374" i="14"/>
  <c r="G373" i="14"/>
  <c r="G372" i="14"/>
  <c r="G371" i="14"/>
  <c r="G370" i="14"/>
  <c r="G369" i="14"/>
  <c r="G368" i="14"/>
  <c r="G367" i="14"/>
  <c r="G366" i="14"/>
  <c r="G365" i="14"/>
  <c r="G364" i="14"/>
  <c r="G363" i="14"/>
  <c r="G362" i="14"/>
  <c r="G361" i="14"/>
  <c r="G360" i="14"/>
  <c r="G359" i="14"/>
  <c r="G358" i="14"/>
  <c r="G357" i="14"/>
  <c r="G356" i="14"/>
  <c r="G355" i="14"/>
  <c r="G354" i="14"/>
  <c r="G353" i="14"/>
  <c r="G352" i="14"/>
  <c r="G351" i="14"/>
  <c r="G350" i="14"/>
  <c r="G349" i="14"/>
  <c r="G348" i="14"/>
  <c r="G347" i="14"/>
  <c r="G346" i="14"/>
  <c r="G345" i="14"/>
  <c r="G344" i="14"/>
  <c r="G343" i="14"/>
  <c r="G342" i="14"/>
  <c r="G341" i="14"/>
  <c r="G340" i="14"/>
  <c r="G339" i="14"/>
  <c r="G338" i="14"/>
  <c r="G337" i="14"/>
  <c r="G336" i="14"/>
  <c r="G335" i="14"/>
  <c r="G334" i="14"/>
  <c r="G333" i="14"/>
  <c r="G332" i="14"/>
  <c r="G331" i="14"/>
  <c r="G330" i="14"/>
  <c r="G329" i="14"/>
  <c r="G328" i="14"/>
  <c r="G327" i="14"/>
  <c r="G326" i="14"/>
  <c r="G325" i="14"/>
  <c r="G324" i="14"/>
  <c r="G323" i="14"/>
  <c r="G322" i="14"/>
  <c r="G321" i="14"/>
  <c r="G320" i="14"/>
  <c r="G319" i="14"/>
  <c r="G318" i="14"/>
  <c r="G317" i="14"/>
  <c r="G316" i="14"/>
  <c r="G315" i="14"/>
  <c r="G314" i="14"/>
  <c r="G313" i="14"/>
  <c r="G312" i="14"/>
  <c r="G311" i="14"/>
  <c r="G310" i="14"/>
  <c r="G309" i="14"/>
  <c r="G308" i="14"/>
  <c r="G307" i="14"/>
  <c r="G306" i="14"/>
  <c r="G305" i="14"/>
  <c r="G304" i="14"/>
  <c r="G303" i="14"/>
  <c r="G302" i="14"/>
  <c r="G301" i="14"/>
  <c r="G300" i="14"/>
  <c r="G299" i="14"/>
  <c r="G298" i="14"/>
  <c r="G297" i="14"/>
  <c r="G296" i="14"/>
  <c r="G295" i="14"/>
  <c r="G294" i="14"/>
  <c r="G293" i="14"/>
  <c r="G292" i="14"/>
  <c r="G291" i="14"/>
  <c r="G290" i="14"/>
  <c r="G289" i="14"/>
  <c r="G288" i="14"/>
  <c r="G287" i="14"/>
  <c r="G286" i="14"/>
  <c r="G285" i="14"/>
  <c r="G284" i="14"/>
  <c r="G283" i="14"/>
  <c r="G282" i="14"/>
  <c r="G281" i="14"/>
  <c r="G280" i="14"/>
  <c r="G279" i="14"/>
  <c r="G278" i="14"/>
  <c r="G277" i="14"/>
  <c r="G276" i="14"/>
  <c r="G275" i="14"/>
  <c r="G274" i="14"/>
  <c r="G273" i="14"/>
  <c r="G272" i="14"/>
  <c r="G271" i="14"/>
  <c r="G270" i="14"/>
  <c r="G269" i="14"/>
  <c r="G268" i="14"/>
  <c r="G267" i="14"/>
  <c r="G266" i="14"/>
  <c r="G265" i="14"/>
  <c r="G264" i="14"/>
  <c r="G263" i="14"/>
  <c r="G262" i="14"/>
  <c r="G261" i="14"/>
  <c r="G260" i="14"/>
  <c r="G259" i="14"/>
  <c r="G258" i="14"/>
  <c r="G257" i="14"/>
  <c r="G256" i="14"/>
  <c r="G255" i="14"/>
  <c r="G254" i="14"/>
  <c r="G253" i="14"/>
  <c r="G252" i="14"/>
  <c r="G251" i="14"/>
  <c r="G250" i="14"/>
  <c r="G249" i="14"/>
  <c r="G248" i="14"/>
  <c r="G247" i="14"/>
  <c r="G246" i="14"/>
  <c r="G245" i="14"/>
  <c r="G244" i="14"/>
  <c r="G243" i="14"/>
  <c r="G242" i="14"/>
  <c r="G241" i="14"/>
  <c r="G240" i="14"/>
  <c r="G239" i="14"/>
  <c r="G238" i="14"/>
  <c r="G237" i="14"/>
  <c r="G236" i="14"/>
  <c r="G235" i="14"/>
  <c r="G234" i="14"/>
  <c r="G233" i="14"/>
  <c r="G232" i="14"/>
  <c r="G231" i="14"/>
  <c r="G230" i="14"/>
  <c r="G229" i="14"/>
  <c r="G228" i="14"/>
  <c r="G227" i="14"/>
  <c r="G226" i="14"/>
  <c r="G225" i="14"/>
  <c r="G224" i="14"/>
  <c r="G223" i="14"/>
  <c r="G222" i="14"/>
  <c r="G221" i="14"/>
  <c r="G220" i="14"/>
  <c r="G219" i="14"/>
  <c r="G218" i="14"/>
  <c r="G217" i="14"/>
  <c r="G216" i="14"/>
  <c r="G215" i="14"/>
  <c r="G214" i="14"/>
  <c r="G213" i="14"/>
  <c r="G212" i="14"/>
  <c r="G211" i="14"/>
  <c r="G210" i="14"/>
  <c r="G209" i="14"/>
  <c r="G208" i="14"/>
  <c r="G207" i="14"/>
  <c r="G206" i="14"/>
  <c r="G205" i="14"/>
  <c r="G204" i="14"/>
  <c r="G203" i="14"/>
  <c r="G202" i="14"/>
  <c r="G201" i="14"/>
  <c r="G200" i="14"/>
  <c r="G199" i="14"/>
  <c r="G198" i="14"/>
  <c r="G197" i="14"/>
  <c r="G196" i="14"/>
  <c r="G195" i="14"/>
  <c r="G194" i="14"/>
  <c r="G193" i="14"/>
  <c r="G192" i="14"/>
  <c r="G191" i="14"/>
  <c r="G190" i="14"/>
  <c r="G189" i="14"/>
  <c r="G188" i="14"/>
  <c r="G187" i="14"/>
  <c r="G186" i="14"/>
  <c r="G185" i="14"/>
  <c r="G184" i="14"/>
  <c r="G183" i="14"/>
  <c r="G182" i="14"/>
  <c r="G181" i="14"/>
  <c r="G180" i="14"/>
  <c r="G179" i="14"/>
  <c r="G178" i="14"/>
  <c r="G177" i="14"/>
  <c r="G176" i="14"/>
  <c r="G175" i="14"/>
  <c r="G174" i="14"/>
  <c r="G173" i="14"/>
  <c r="G172" i="14"/>
  <c r="G171" i="14"/>
  <c r="G170" i="14"/>
  <c r="G169" i="14"/>
  <c r="G168" i="14"/>
  <c r="G167" i="14"/>
  <c r="G166" i="14"/>
  <c r="G165" i="14"/>
  <c r="G164" i="14"/>
  <c r="G163" i="14"/>
  <c r="G162" i="14"/>
  <c r="G161" i="14"/>
  <c r="G160" i="14"/>
  <c r="G159" i="14"/>
  <c r="G158" i="14"/>
  <c r="G157" i="14"/>
  <c r="G156" i="14"/>
  <c r="G155" i="14"/>
  <c r="G154" i="14"/>
  <c r="G153" i="14"/>
  <c r="G152" i="14"/>
  <c r="G151" i="14"/>
  <c r="G150" i="14"/>
  <c r="G149" i="14"/>
  <c r="G148" i="14"/>
  <c r="G147" i="14"/>
  <c r="G146" i="14"/>
  <c r="G145" i="14"/>
  <c r="G144" i="14"/>
  <c r="G143" i="14"/>
  <c r="G142" i="14"/>
  <c r="G141" i="14"/>
  <c r="G140" i="14"/>
  <c r="G139" i="14"/>
  <c r="G138" i="14"/>
  <c r="G137" i="14"/>
  <c r="G136" i="14"/>
  <c r="G135" i="14"/>
  <c r="G134" i="14"/>
  <c r="G133" i="14"/>
  <c r="G132" i="14"/>
  <c r="G131" i="14"/>
  <c r="G130" i="14"/>
  <c r="G129" i="14"/>
  <c r="G128" i="14"/>
  <c r="G127" i="14"/>
  <c r="G126" i="14"/>
  <c r="G125" i="14"/>
  <c r="G124" i="14"/>
  <c r="G123" i="14"/>
  <c r="G122" i="14"/>
  <c r="G121" i="14"/>
  <c r="G120" i="14"/>
  <c r="G119" i="14"/>
  <c r="G118" i="14"/>
  <c r="G117" i="14"/>
  <c r="G116" i="14"/>
  <c r="G115" i="14"/>
  <c r="G114" i="14"/>
  <c r="G113" i="14"/>
  <c r="G112" i="14"/>
  <c r="G111" i="14"/>
  <c r="G110" i="14"/>
  <c r="G109" i="14"/>
  <c r="G108" i="14"/>
  <c r="G107" i="14"/>
  <c r="G106" i="14"/>
  <c r="G105" i="14"/>
  <c r="G104" i="14"/>
  <c r="G103" i="14"/>
  <c r="G102" i="14"/>
  <c r="G101" i="14"/>
  <c r="G100" i="14"/>
  <c r="G99" i="14"/>
  <c r="G98" i="14"/>
  <c r="G97" i="14"/>
  <c r="G96" i="14"/>
  <c r="G95" i="14"/>
  <c r="G94" i="14"/>
  <c r="G93" i="14"/>
  <c r="G92" i="14"/>
  <c r="G91" i="14"/>
  <c r="G90" i="14"/>
  <c r="G89" i="14"/>
  <c r="G88" i="14"/>
  <c r="G87" i="14"/>
  <c r="G86" i="14"/>
  <c r="G85" i="14"/>
  <c r="G84" i="14"/>
  <c r="G83" i="14"/>
  <c r="G82" i="14"/>
  <c r="G81" i="14"/>
  <c r="G80" i="14"/>
  <c r="G79" i="14"/>
  <c r="G78" i="14"/>
  <c r="G77" i="14"/>
  <c r="G76" i="14"/>
  <c r="G75" i="14"/>
  <c r="G74" i="14"/>
  <c r="G73" i="14"/>
  <c r="G72" i="14"/>
  <c r="G71" i="14"/>
  <c r="G70" i="14"/>
  <c r="G69" i="14"/>
  <c r="G68" i="14"/>
  <c r="G67" i="14"/>
  <c r="G66" i="14"/>
  <c r="G65" i="14"/>
  <c r="G64" i="14"/>
  <c r="G63" i="14"/>
  <c r="G62" i="14"/>
  <c r="G61" i="14"/>
  <c r="G60" i="14"/>
  <c r="G59" i="14"/>
  <c r="G58" i="14"/>
  <c r="G57" i="14"/>
  <c r="G56" i="14"/>
  <c r="G55" i="14"/>
  <c r="G54" i="14"/>
  <c r="G53" i="14"/>
  <c r="G52" i="14"/>
  <c r="G51" i="14"/>
  <c r="G50" i="14"/>
  <c r="G49" i="14"/>
  <c r="G48" i="14"/>
  <c r="G47" i="14"/>
  <c r="G46" i="14"/>
  <c r="G45" i="14"/>
  <c r="G44" i="14"/>
  <c r="G43" i="14"/>
  <c r="G42" i="14"/>
  <c r="G41" i="14"/>
  <c r="G40" i="14"/>
  <c r="G39" i="14"/>
  <c r="G38" i="14"/>
  <c r="G37" i="14"/>
  <c r="G36" i="14"/>
  <c r="G35" i="14"/>
  <c r="G34" i="14"/>
  <c r="G33" i="14"/>
  <c r="G32" i="14"/>
  <c r="G31" i="14"/>
  <c r="G30" i="14"/>
  <c r="G29" i="14"/>
  <c r="G28" i="14"/>
  <c r="G27" i="14"/>
  <c r="G26" i="14"/>
  <c r="G25" i="14"/>
  <c r="G24" i="14"/>
  <c r="G23" i="14"/>
  <c r="G22" i="14"/>
  <c r="G21" i="14"/>
  <c r="G20" i="14"/>
  <c r="G19" i="14"/>
  <c r="G18" i="14"/>
  <c r="G17" i="14"/>
  <c r="G16" i="14"/>
  <c r="G15" i="14"/>
  <c r="G14" i="14"/>
  <c r="G13" i="14"/>
  <c r="G12" i="14"/>
  <c r="G11" i="14"/>
  <c r="B2" i="3" a="1"/>
  <c r="AA18" i="26" l="1" a="1"/>
  <c r="AA18" i="26" s="1"/>
  <c r="AB18" i="26" a="1"/>
  <c r="AB18" i="26" s="1"/>
  <c r="Z18" i="26" a="1"/>
  <c r="Z18" i="26" s="1"/>
  <c r="Y18" i="26" a="1"/>
  <c r="Y18" i="26" s="1"/>
  <c r="X18" i="26" a="1"/>
  <c r="X18" i="26" s="1"/>
  <c r="AD21" i="26" a="1"/>
  <c r="AD21" i="26" s="1"/>
  <c r="B2" i="3"/>
  <c r="B7" i="3"/>
  <c r="B3" i="3"/>
  <c r="T4" i="14" a="1"/>
  <c r="T4" i="14" l="1"/>
  <c r="B4" i="3"/>
  <c r="B5" i="3" a="1"/>
  <c r="X4" i="14"/>
  <c r="S17" i="14" a="1"/>
  <c r="S12" i="14" a="1"/>
  <c r="S18" i="14" a="1"/>
  <c r="S19" i="14" a="1"/>
  <c r="S15" i="14" a="1"/>
  <c r="X10" i="14" a="1"/>
  <c r="AE17" i="14" a="1"/>
  <c r="S10" i="14" a="1"/>
  <c r="S20" i="14" a="1"/>
  <c r="AE20" i="14" a="1"/>
  <c r="S14" i="14" a="1"/>
  <c r="AE25" i="14" a="1"/>
  <c r="AE11" i="14" a="1"/>
  <c r="S16" i="14" a="1"/>
  <c r="S13" i="14" a="1"/>
  <c r="AE24" i="14" a="1"/>
  <c r="S11" i="14" a="1"/>
  <c r="U10" i="14" a="1"/>
  <c r="AE23" i="14" a="1"/>
  <c r="AE22" i="14" a="1"/>
  <c r="AE13" i="14" a="1"/>
  <c r="AE18" i="14" a="1"/>
  <c r="AE14" i="14" a="1"/>
  <c r="AE15" i="14" a="1"/>
  <c r="AE25" i="14" l="1"/>
  <c r="AE18" i="14"/>
  <c r="AE24" i="14"/>
  <c r="AE14" i="14"/>
  <c r="AE11" i="14"/>
  <c r="AE23" i="14"/>
  <c r="AE13" i="14"/>
  <c r="AE22" i="14"/>
  <c r="AE20" i="14"/>
  <c r="AE15" i="14"/>
  <c r="AE17" i="14"/>
  <c r="X10" i="14"/>
  <c r="S20" i="14"/>
  <c r="S18" i="14"/>
  <c r="S15" i="14"/>
  <c r="S16" i="14"/>
  <c r="S13" i="14"/>
  <c r="S19" i="14"/>
  <c r="S17" i="14"/>
  <c r="S10" i="14"/>
  <c r="U10" i="14"/>
  <c r="S11" i="14"/>
  <c r="S14" i="14"/>
  <c r="S12" i="14"/>
  <c r="B5" i="3"/>
  <c r="AE21" i="14" a="1"/>
  <c r="AE19" i="14" a="1"/>
  <c r="AE12" i="14" a="1"/>
  <c r="AE16" i="14" a="1"/>
  <c r="AE19" i="14" l="1"/>
  <c r="AE12" i="14"/>
  <c r="AE16" i="14"/>
  <c r="AE21" i="14"/>
  <c r="B10" i="3"/>
  <c r="J26" i="3" a="1"/>
  <c r="B6" i="3" a="1"/>
  <c r="P27" i="3" a="1"/>
  <c r="B11" i="3"/>
  <c r="P28" i="3" a="1"/>
  <c r="P25" i="3" a="1"/>
  <c r="J26" i="3" l="1"/>
  <c r="B6" i="3"/>
  <c r="P27" i="3"/>
  <c r="P25" i="3"/>
  <c r="P28" i="3"/>
  <c r="AA20" i="26" l="1"/>
  <c r="Y20" i="26"/>
  <c r="AB20"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8" authorId="0" shapeId="0" xr:uid="{C75AE23E-A5F4-467D-AAEB-3C7DB20ACC0F}">
      <text>
        <r>
          <rPr>
            <sz val="9"/>
            <color indexed="81"/>
            <rFont val="Tahoma"/>
            <family val="2"/>
          </rPr>
          <t>Internal Variable:aBaseDir (base path for which other file/path can be taken relative to [. (default)], will be applied to file/paths without a root start )
[--base-dir]</t>
        </r>
      </text>
    </comment>
    <comment ref="A9" authorId="0" shapeId="0" xr:uid="{7B6C16F1-86D4-4AB9-BDC1-9C561733800F}">
      <text>
        <r>
          <rPr>
            <sz val="9"/>
            <color indexed="81"/>
            <rFont val="Tahoma"/>
            <family val="2"/>
          </rPr>
          <t>Internal Variable:aPMMLFileName (path to pmml xml file )
[--pmml]</t>
        </r>
      </text>
    </comment>
    <comment ref="A10" authorId="0" shapeId="0" xr:uid="{1B5E9ED9-D8A5-4A3C-83AD-A8C74DB4FB0C}">
      <text>
        <r>
          <rPr>
            <sz val="9"/>
            <color indexed="81"/>
            <rFont val="Tahoma"/>
            <family val="2"/>
          </rPr>
          <t>Internal Variable:aInputFileType (input type [delimited (default) | HDF5] )
[--input-type]</t>
        </r>
      </text>
    </comment>
    <comment ref="A11" authorId="0" shapeId="0" xr:uid="{1874D5AF-2E75-4D8B-ACEA-3E7E3E7E021B}">
      <text>
        <r>
          <rPr>
            <sz val="9"/>
            <color indexed="81"/>
            <rFont val="Tahoma"/>
            <family val="2"/>
          </rPr>
          <t>Internal Variable:aInputFileName (path to input text file )
[--input]</t>
        </r>
      </text>
    </comment>
    <comment ref="A12" authorId="0" shapeId="0" xr:uid="{CE356B70-DAB5-4ED6-8301-253CE39C0075}">
      <text>
        <r>
          <rPr>
            <sz val="9"/>
            <color indexed="81"/>
            <rFont val="Tahoma"/>
            <family val="2"/>
          </rPr>
          <t>Internal Variable:aInputSchemaFileName ((for non HDF5 input data) path to input schema file, which follows type defined by --input-schema-type )
[--input-schema]</t>
        </r>
      </text>
    </comment>
    <comment ref="A13" authorId="0" shapeId="0" xr:uid="{8E8FBB97-B39F-4955-91AB-818050F613FE}">
      <text>
        <r>
          <rPr>
            <sz val="9"/>
            <color indexed="81"/>
            <rFont val="Tahoma"/>
            <family val="2"/>
          </rPr>
          <t>Internal Variable:aInputSchemaRecordSetName ((for non HDF5 input data) the name of the row set element in the input schema )
[--input-schema-recordset-element| --input-schema-rowset-element| --input-HDF5-DataSet]</t>
        </r>
      </text>
    </comment>
    <comment ref="A14" authorId="0" shapeId="0" xr:uid="{72A80295-33B6-4658-A052-FF476C7C545C}">
      <text>
        <r>
          <rPr>
            <sz val="9"/>
            <color indexed="81"/>
            <rFont val="Tahoma"/>
            <family val="2"/>
          </rPr>
          <t>Internal Variable:aOutputHDF5DataSetName ((for HDF5 output data) the output will be a new HDF5 file with Compound Dataset in /&lt;dataset name&gt; )
[--output-HDF5-dataset-name]</t>
        </r>
      </text>
    </comment>
    <comment ref="A15" authorId="0" shapeId="0" xr:uid="{58F824B4-F648-4C8E-9E3C-2A0F819A2E5F}">
      <text>
        <r>
          <rPr>
            <sz val="9"/>
            <color indexed="81"/>
            <rFont val="Tahoma"/>
            <family val="2"/>
          </rPr>
          <t>Internal Variable:aOutputFileName (path to output text file [HDF5 input will return HDF5 output if not tagged] )
[--output]</t>
        </r>
      </text>
    </comment>
    <comment ref="A16" authorId="0" shapeId="0" xr:uid="{2D145DAE-92D4-4903-A475-FB299E11ABA6}">
      <text>
        <r>
          <rPr>
            <sz val="9"/>
            <color indexed="81"/>
            <rFont val="Tahoma"/>
            <family val="2"/>
          </rPr>
          <t>Internal Variable:aOutputFileType (output type [delimited (default, csv) | HDF5] )
[--output-type]</t>
        </r>
      </text>
    </comment>
    <comment ref="A17" authorId="0" shapeId="0" xr:uid="{80237817-2FCD-46B3-A31D-BD2080022785}">
      <text>
        <r>
          <rPr>
            <sz val="9"/>
            <color indexed="81"/>
            <rFont val="Tahoma"/>
            <family val="2"/>
          </rPr>
          <t>Internal Variable:aOutputInputFieldNameSuffix ((when copying input data) suffix on input field names to avoid duplicates )
[--output-input-fields-suffix]</t>
        </r>
      </text>
    </comment>
    <comment ref="A18" authorId="0" shapeId="0" xr:uid="{E9570E16-5A08-44AB-AA5B-028856A35CAD}">
      <text>
        <r>
          <rPr>
            <sz val="9"/>
            <color indexed="81"/>
            <rFont val="Tahoma"/>
            <family val="2"/>
          </rPr>
          <t>Internal Variable:aOutputCompositeFieldDlm (the composite name delimiter for output names (as with a suffix or feature) ['-' default] )
[--output-field-composite-name-dlm]</t>
        </r>
      </text>
    </comment>
    <comment ref="A19" authorId="0" shapeId="0" xr:uid="{BCF8913B-E508-4183-8584-AF057C92DBE9}">
      <text>
        <r>
          <rPr>
            <sz val="9"/>
            <color indexed="81"/>
            <rFont val="Tahoma"/>
            <family val="2"/>
          </rPr>
          <t>Internal Variable:aInputSchemaType ((for non HDF5 input data) input schema type [xsd (default) | xml | json] )
[--input-schema-type]</t>
        </r>
      </text>
    </comment>
    <comment ref="A20" authorId="0" shapeId="0" xr:uid="{D1B3134D-A520-4312-9E79-C4380DB11E96}">
      <text>
        <r>
          <rPr>
            <sz val="9"/>
            <color indexed="81"/>
            <rFont val="Tahoma"/>
            <family val="2"/>
          </rPr>
          <t>Internal Variable:help (command line help invocation )
[--help]</t>
        </r>
      </text>
    </comment>
    <comment ref="A21" authorId="0" shapeId="0" xr:uid="{CCE4589B-D3CB-4EBB-8B58-97460052094B}">
      <text>
        <r>
          <rPr>
            <sz val="9"/>
            <color indexed="81"/>
            <rFont val="Tahoma"/>
            <family val="2"/>
          </rPr>
          <t>Internal Variable:verbose (cmd-line verbose can only be turned off when tagged [--verbose defaults to true, tag --no-verbose to invert] )
[--no-verbose]</t>
        </r>
      </text>
    </comment>
    <comment ref="A22" authorId="0" shapeId="0" xr:uid="{3357B7EC-01A7-40F7-A3AA-2838354CB9F8}">
      <text>
        <r>
          <rPr>
            <sz val="9"/>
            <color indexed="81"/>
            <rFont val="Tahoma"/>
            <family val="2"/>
          </rPr>
          <t>Internal Variable:bCheckForHeaderRow ((for non HDF5 input data) check if input has header row to skip [defaults --input-check-for-header, tag --no-input-check-for-header to invert] )
[--no-input-check-for-header]</t>
        </r>
      </text>
    </comment>
    <comment ref="A23" authorId="0" shapeId="0" xr:uid="{A2D9B2B2-97FB-4C5B-A4B3-5D422CAA2D0D}">
      <text>
        <r>
          <rPr>
            <sz val="9"/>
            <color indexed="81"/>
            <rFont val="Tahoma"/>
            <family val="2"/>
          </rPr>
          <t>Internal Variable:bInputHasHeaderRow ((for non HDF5 input data) input text file has header row to skip [defaults to false if not present, tag for true] )
[--input-has-header]</t>
        </r>
      </text>
    </comment>
    <comment ref="A24" authorId="0" shapeId="0" xr:uid="{BCF583C0-1B35-49EA-903E-87F48A31028C}">
      <text>
        <r>
          <rPr>
            <sz val="9"/>
            <color indexed="81"/>
            <rFont val="Tahoma"/>
            <family val="2"/>
          </rPr>
          <t>Internal Variable:aInputFileDlm ((for non HDF5 input data) input text file delimiter )
[--input-dlm]</t>
        </r>
      </text>
    </comment>
    <comment ref="A25" authorId="0" shapeId="0" xr:uid="{CA2D91A7-F0A3-4B18-80B1-3A1B306A75F2}">
      <text>
        <r>
          <rPr>
            <sz val="9"/>
            <color indexed="81"/>
            <rFont val="Tahoma"/>
            <family val="2"/>
          </rPr>
          <t>Internal Variable:aOutputHDF5FixedStringLength ((for HDF5 output data) as of HDF-Java 1.10.5/1.11.4, HDF-Java cannot write CompoundDS with variable Length strings, used fixed string Length (-1 for variable when available) )
[--output-HDF5-strings-with-fixed-Length]</t>
        </r>
      </text>
    </comment>
    <comment ref="A26" authorId="0" shapeId="0" xr:uid="{22426248-0C1E-4A68-B53E-93933FD84272}">
      <text>
        <r>
          <rPr>
            <sz val="9"/>
            <color indexed="81"/>
            <rFont val="Tahoma"/>
            <family val="2"/>
          </rPr>
          <t>Internal Variable:bOutputHeaderRow ((for non HDF5 output data) flag to output header row [defaults to false if not present, tag for true] )
[--output-header]</t>
        </r>
      </text>
    </comment>
    <comment ref="A27" authorId="0" shapeId="0" xr:uid="{3C7DA7A4-F81C-40B9-9A0C-B69AA5FC67F1}">
      <text>
        <r>
          <rPr>
            <sz val="9"/>
            <color indexed="81"/>
            <rFont val="Tahoma"/>
            <family val="2"/>
          </rPr>
          <t>Internal Variable:bOutputInputFields (turn off the input data copy [defaults --output-input-fields to true, tag --no-output-input-fields to invert] )
[--no-output-input-fields]</t>
        </r>
      </text>
    </comment>
    <comment ref="A28" authorId="0" shapeId="0" xr:uid="{F7B9E068-C6F1-4B64-84DF-AC0219EE7350}">
      <text>
        <r>
          <rPr>
            <sz val="9"/>
            <color indexed="81"/>
            <rFont val="Tahoma"/>
            <family val="2"/>
          </rPr>
          <t>Internal Variable:aOutputFileDlm ((for non HDF5 output data) output text file delimiter )
[--output-dlm]</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<sst xmlns="http://schemas.openxmlformats.org/spreadsheetml/2006/main" count="12739" uniqueCount="304">
  <si>
    <t>sepal_length</t>
  </si>
  <si>
    <t>sepal_width</t>
  </si>
  <si>
    <t>petal_length</t>
  </si>
  <si>
    <t>petal_width</t>
  </si>
  <si>
    <t>class</t>
  </si>
  <si>
    <t>Iris-setosa</t>
  </si>
  <si>
    <t>Iris-versicolor</t>
  </si>
  <si>
    <t>Iris-virginica</t>
  </si>
  <si>
    <t>CleanAsNMToken</t>
  </si>
  <si>
    <t>PMML File Location</t>
  </si>
  <si>
    <t>Fetch File As String</t>
  </si>
  <si>
    <t>Handle Major</t>
  </si>
  <si>
    <t>XSD File Location</t>
  </si>
  <si>
    <t>Model Tag</t>
  </si>
  <si>
    <t>Handle (Major.Minor)</t>
  </si>
  <si>
    <t>Minor String Change</t>
  </si>
  <si>
    <t>Cached Header</t>
  </si>
  <si>
    <t>Loop Count</t>
  </si>
  <si>
    <t>Summary of Java command line arguments for JniPMML</t>
  </si>
  <si>
    <t>Running Java</t>
  </si>
  <si>
    <t>Java Internals</t>
  </si>
  <si>
    <t>System Class Path</t>
  </si>
  <si>
    <t>C:\HDF5\HDFView\3.1.0\lib\hdfobject.jar</t>
  </si>
  <si>
    <t>C:\HDF5\HDFView\3.1.0\lib\jarhdf5-1.10.5.jar</t>
  </si>
  <si>
    <t>C:\HDF5\HDFView\3.1.0\lib\jarhdf-4.2.14.jar</t>
  </si>
  <si>
    <t>Keys/Flags</t>
  </si>
  <si>
    <t>Values</t>
  </si>
  <si>
    <t>Parameters</t>
  </si>
  <si>
    <t>help</t>
  </si>
  <si>
    <t>[--help]</t>
  </si>
  <si>
    <t>boolean</t>
  </si>
  <si>
    <t>verbose</t>
  </si>
  <si>
    <t>[--no-verbose]</t>
  </si>
  <si>
    <t>cmd-line verbose can only be turned off when tagged [--verbose defaults to true, tag --no-verbose to invert]</t>
  </si>
  <si>
    <t>aPMMLFileName</t>
  </si>
  <si>
    <t>[--pmml]</t>
  </si>
  <si>
    <t>path to pmml xml file</t>
  </si>
  <si>
    <t>java.lang.String</t>
  </si>
  <si>
    <t>null</t>
  </si>
  <si>
    <t>aInputFileType</t>
  </si>
  <si>
    <t>[--input-type]</t>
  </si>
  <si>
    <t>input type [delimited (default) | HDF5]</t>
  </si>
  <si>
    <t>check</t>
  </si>
  <si>
    <t>aInputFileName</t>
  </si>
  <si>
    <t>[--input]</t>
  </si>
  <si>
    <t>path to input text file</t>
  </si>
  <si>
    <t>aInputSchemaFileName</t>
  </si>
  <si>
    <t>[--input-schema]</t>
  </si>
  <si>
    <t>(for non HDF5 input data) path to input schema file, which follows type defined by --input-schema-type</t>
  </si>
  <si>
    <t>aInputSchemaRecordSetName</t>
  </si>
  <si>
    <t>[--input-schema-recordset-element| --input-schema-rowset-element| --input-HDF5-DataSet]</t>
  </si>
  <si>
    <t>(for non HDF5 input data) the name of the row set element in the input schema</t>
  </si>
  <si>
    <t>aInputSchemaType</t>
  </si>
  <si>
    <t>[--input-schema-type]</t>
  </si>
  <si>
    <t>(for non HDF5 input data) input schema type [xsd (default) | xml | json]</t>
  </si>
  <si>
    <t>xsd</t>
  </si>
  <si>
    <t>bCheckForHeaderRow</t>
  </si>
  <si>
    <t>[--no-input-check-for-header]</t>
  </si>
  <si>
    <t>(for non HDF5 input data) check if input has header row to skip [defaults --input-check-for-header, tag --no-input-check-for-header to invert]</t>
  </si>
  <si>
    <t>bInputHasHeaderRow</t>
  </si>
  <si>
    <t>[--input-has-header]</t>
  </si>
  <si>
    <t>(for non HDF5 input data) input text file has header row to skip [defaults to false if not present, tag for true]</t>
  </si>
  <si>
    <t>aInputFileDlm</t>
  </si>
  <si>
    <t>[--input-dlm]</t>
  </si>
  <si>
    <t>(for non HDF5 input data) input text file delimiter</t>
  </si>
  <si>
    <t>,</t>
  </si>
  <si>
    <t>aOutputFileName</t>
  </si>
  <si>
    <t>[--output]</t>
  </si>
  <si>
    <t>path to output text file [HDF5 input will return HDF5 output if not tagged]</t>
  </si>
  <si>
    <t>aOutputFileType</t>
  </si>
  <si>
    <t>[--output-type]</t>
  </si>
  <si>
    <t>output type [delimited (default, csv) | HDF5]</t>
  </si>
  <si>
    <t>aOutputHDF5FixedStringLength</t>
  </si>
  <si>
    <t>int</t>
  </si>
  <si>
    <t>bOutputHeaderRow</t>
  </si>
  <si>
    <t>[--output-header]</t>
  </si>
  <si>
    <t>(for non HDF5 output data) flag to output header row [defaults to false if not present, tag for true]</t>
  </si>
  <si>
    <t>aOutputHDF5DataSetName</t>
  </si>
  <si>
    <t>[--output-HDF5-dataset-name]</t>
  </si>
  <si>
    <t>(for HDF5 output data) the output will be a new HDF5 file with Compound Dataset in /&lt;dataset name&gt;</t>
  </si>
  <si>
    <t>OutputRecordSet</t>
  </si>
  <si>
    <t>bOutputInputFields</t>
  </si>
  <si>
    <t>[--no-output-input-fields]</t>
  </si>
  <si>
    <t>turn off the input data copy [defaults --output-input-fields to true, tag --no-output-input-fields to invert]</t>
  </si>
  <si>
    <t>aOutputInputFieldNameSuffix</t>
  </si>
  <si>
    <t>[--output-input-fields-suffix]</t>
  </si>
  <si>
    <t>(when copying input data) suffix on input field names to avoid duplicates</t>
  </si>
  <si>
    <t>Input</t>
  </si>
  <si>
    <t>aOutputCompositeFieldDlm</t>
  </si>
  <si>
    <t>[--output-field-composite-name-dlm]</t>
  </si>
  <si>
    <t>the composite name delimiter for output names (as with a suffix or feature) ['-' default]</t>
  </si>
  <si>
    <t>-</t>
  </si>
  <si>
    <t>aOutputFileDlm</t>
  </si>
  <si>
    <t>[--output-dlm]</t>
  </si>
  <si>
    <t>(for non HDF5 output data) output text file delimiter</t>
  </si>
  <si>
    <t>InputDlm</t>
  </si>
  <si>
    <t>--input</t>
  </si>
  <si>
    <t>Cmd Line Arg</t>
  </si>
  <si>
    <t>Key/Flag</t>
  </si>
  <si>
    <t>Description</t>
  </si>
  <si>
    <t>Type</t>
  </si>
  <si>
    <t>Order</t>
  </si>
  <si>
    <t>Arity</t>
  </si>
  <si>
    <t>Default Value</t>
  </si>
  <si>
    <t>Required</t>
  </si>
  <si>
    <t>command line help invocation</t>
  </si>
  <si>
    <t>--pmml</t>
  </si>
  <si>
    <t>--input-has-header</t>
  </si>
  <si>
    <t>--input-schema-type</t>
  </si>
  <si>
    <t>--output</t>
  </si>
  <si>
    <t>--output-type</t>
  </si>
  <si>
    <t>HDF5</t>
  </si>
  <si>
    <t>--output-HDF5-strings-with-fixed-length</t>
  </si>
  <si>
    <t xml:space="preserve">Cmd Builder             </t>
  </si>
  <si>
    <t>Combined Arguments   &gt;&gt;&gt;</t>
  </si>
  <si>
    <t>[--output-HDF5-strings-with-fixed-Length]</t>
  </si>
  <si>
    <t>(for HDF5 output data) as of HDF-Java 1.10.5/1.11.4, HDF-Java cannot write CompoundDS with variable Length strings, used fixed string Length (-1 for variable when available)</t>
  </si>
  <si>
    <t>Original Values</t>
  </si>
  <si>
    <t>+ eps</t>
  </si>
  <si>
    <t>ID</t>
  </si>
  <si>
    <t>Age</t>
  </si>
  <si>
    <t>Employment</t>
  </si>
  <si>
    <t>Private</t>
  </si>
  <si>
    <t>Consultant</t>
  </si>
  <si>
    <t>SelfEmp</t>
  </si>
  <si>
    <t>PSLocal</t>
  </si>
  <si>
    <t>PSState</t>
  </si>
  <si>
    <t>PSFederal</t>
  </si>
  <si>
    <t>Unemployed</t>
  </si>
  <si>
    <t>NA</t>
  </si>
  <si>
    <t>Volunteer</t>
  </si>
  <si>
    <t>Education</t>
  </si>
  <si>
    <t>College</t>
  </si>
  <si>
    <t>Associate</t>
  </si>
  <si>
    <t>HSgrad</t>
  </si>
  <si>
    <t>Bachelor</t>
  </si>
  <si>
    <t>Yr12</t>
  </si>
  <si>
    <t>Vocational</t>
  </si>
  <si>
    <t>Master</t>
  </si>
  <si>
    <t>Yr11</t>
  </si>
  <si>
    <t>Yr10</t>
  </si>
  <si>
    <t>Doctorate</t>
  </si>
  <si>
    <t>Yr9</t>
  </si>
  <si>
    <t>Yr5t6</t>
  </si>
  <si>
    <t>Professional</t>
  </si>
  <si>
    <t>Yr7t8</t>
  </si>
  <si>
    <t>Preschool</t>
  </si>
  <si>
    <t>Yr1t4</t>
  </si>
  <si>
    <t>Marital</t>
  </si>
  <si>
    <t>Unmarried</t>
  </si>
  <si>
    <t>Absent</t>
  </si>
  <si>
    <t>Divorced</t>
  </si>
  <si>
    <t>Married</t>
  </si>
  <si>
    <t>Widowed</t>
  </si>
  <si>
    <t>Married-spouse-absent</t>
  </si>
  <si>
    <t>Occupation</t>
  </si>
  <si>
    <t>Service</t>
  </si>
  <si>
    <t>Transport</t>
  </si>
  <si>
    <t>Clerical</t>
  </si>
  <si>
    <t>Repair</t>
  </si>
  <si>
    <t>Executive</t>
  </si>
  <si>
    <t>Machinist</t>
  </si>
  <si>
    <t>Sales</t>
  </si>
  <si>
    <t>Support</t>
  </si>
  <si>
    <t>Cleaner</t>
  </si>
  <si>
    <t>Farming</t>
  </si>
  <si>
    <t>Protective</t>
  </si>
  <si>
    <t>Home</t>
  </si>
  <si>
    <t>Military</t>
  </si>
  <si>
    <t>Income</t>
  </si>
  <si>
    <t>Gender</t>
  </si>
  <si>
    <t>Female</t>
  </si>
  <si>
    <t>Male</t>
  </si>
  <si>
    <t>Deductions</t>
  </si>
  <si>
    <t>Hours</t>
  </si>
  <si>
    <t>IGNORE_Accounts</t>
  </si>
  <si>
    <t>UnitedStates</t>
  </si>
  <si>
    <t>Jamaica</t>
  </si>
  <si>
    <t>Philippines</t>
  </si>
  <si>
    <t>Mexico</t>
  </si>
  <si>
    <t>Cuba</t>
  </si>
  <si>
    <t>Malaysia</t>
  </si>
  <si>
    <t>Germany</t>
  </si>
  <si>
    <t>Vietnam</t>
  </si>
  <si>
    <t>India</t>
  </si>
  <si>
    <t>Indonesia</t>
  </si>
  <si>
    <t>Ireland</t>
  </si>
  <si>
    <t>Iran</t>
  </si>
  <si>
    <t>England</t>
  </si>
  <si>
    <t>Portugal</t>
  </si>
  <si>
    <t>Guatemala</t>
  </si>
  <si>
    <t>China</t>
  </si>
  <si>
    <t>Poland</t>
  </si>
  <si>
    <t>Nicaragua</t>
  </si>
  <si>
    <t>Singapore</t>
  </si>
  <si>
    <t>Hungary</t>
  </si>
  <si>
    <t>Italy</t>
  </si>
  <si>
    <t>Yugoslavia</t>
  </si>
  <si>
    <t>Thailand</t>
  </si>
  <si>
    <t>Taiwan</t>
  </si>
  <si>
    <t>NewZealand</t>
  </si>
  <si>
    <t>Fiji</t>
  </si>
  <si>
    <t>Columbia</t>
  </si>
  <si>
    <t>Hong</t>
  </si>
  <si>
    <t>Greece</t>
  </si>
  <si>
    <t>Scotland</t>
  </si>
  <si>
    <t>Ecuador</t>
  </si>
  <si>
    <t>Japan</t>
  </si>
  <si>
    <t>Canada</t>
  </si>
  <si>
    <t>RISK_Adjustment</t>
  </si>
  <si>
    <t>TARGET_Adjusted</t>
  </si>
  <si>
    <t>Handle</t>
  </si>
  <si>
    <t>Cached Headers</t>
  </si>
  <si>
    <t>&lt;&lt;To randomize, point to column H</t>
  </si>
  <si>
    <t>Audit2</t>
  </si>
  <si>
    <t>aBaseDir</t>
  </si>
  <si>
    <t>[--base-dir]</t>
  </si>
  <si>
    <t>base path for which other file/path can be taken relative to [. (default)], will be applied to file/paths without a root start</t>
  </si>
  <si>
    <t>.</t>
  </si>
  <si>
    <t>--base-dir</t>
  </si>
  <si>
    <t>DEF</t>
  </si>
  <si>
    <t>String Cleaning</t>
  </si>
  <si>
    <t>&lt;&lt;&lt;for an XML NMTOKEN which cannot start with characters like .-0-9, but also not contain spaces or other usual characters</t>
  </si>
  <si>
    <t>Input String</t>
  </si>
  <si>
    <t>Implementation</t>
  </si>
  <si>
    <t>C#</t>
  </si>
  <si>
    <t>Java</t>
  </si>
  <si>
    <t>Result</t>
  </si>
  <si>
    <t>CleanStringWithRegex</t>
  </si>
  <si>
    <t>RegexToFind</t>
  </si>
  <si>
    <t>RegexToReplaceWith</t>
  </si>
  <si>
    <t>Hey</t>
  </si>
  <si>
    <t>huh?</t>
  </si>
  <si>
    <t xml:space="preserve">   ~!@#$%^&amp;*()+`1234567890-=[]\{}|;'",./&lt;&gt;? Hey,what!x   -xxxxa.a.b.c:…...z..z..zzz    </t>
  </si>
  <si>
    <t>AddIn Assembly Info</t>
  </si>
  <si>
    <t>Path</t>
  </si>
  <si>
    <t>Resources\WDS-JniPMML-0.5.0.jar</t>
  </si>
  <si>
    <t>test\data\IrisMultinomReg.xml</t>
  </si>
  <si>
    <t>test\data\Iris.csv</t>
  </si>
  <si>
    <t>test\output\output.h5</t>
  </si>
  <si>
    <t>--input-schema</t>
  </si>
  <si>
    <t>test\data\Iris_Input.xsd</t>
  </si>
  <si>
    <t>CleanAsToken</t>
  </si>
  <si>
    <t>CleanAsNMTokenXSD</t>
  </si>
  <si>
    <t>&lt;&lt;&lt;like CleanAsNMToken, but where first character is not treated differently</t>
  </si>
  <si>
    <t>Example List Object</t>
  </si>
  <si>
    <t>x</t>
  </si>
  <si>
    <t>y</t>
  </si>
  <si>
    <t>A</t>
  </si>
  <si>
    <t>B</t>
  </si>
  <si>
    <t>C</t>
  </si>
  <si>
    <t>D</t>
  </si>
  <si>
    <t>For ListObjects</t>
  </si>
  <si>
    <t>&lt;&lt;&lt; uses example below, which has had an XmlMap added to it using the macro Tab-&gt;WDS-&gt;JniPMML-&gt;"Add XmlMap To Selected ListObject"</t>
  </si>
  <si>
    <t>XmlMapSchema</t>
  </si>
  <si>
    <t>&lt;&lt;&lt; returns the XSD from the XmlMap'd ListObject</t>
  </si>
  <si>
    <t>To Calc?</t>
  </si>
  <si>
    <t>PMML File</t>
  </si>
  <si>
    <t>Tag</t>
  </si>
  <si>
    <t>An XmlMap'd and Exportable Table/ListObject</t>
  </si>
  <si>
    <t>Cache I/O Headers</t>
  </si>
  <si>
    <t>IrisMultinom</t>
  </si>
  <si>
    <t>Return Header</t>
  </si>
  <si>
    <t>Single Row</t>
  </si>
  <si>
    <t>Multiple Rows</t>
  </si>
  <si>
    <t>Loaded String</t>
  </si>
  <si>
    <t>As a test on memory leaks, use a randomized value below and run the aaaa macro.  Then observe memory use in taskmgr. Memory use may grow until the garbage collector catches up.</t>
  </si>
  <si>
    <t>Using the Audit dataset</t>
  </si>
  <si>
    <t>Using the Iris dataset</t>
  </si>
  <si>
    <t>Complex Return Value</t>
  </si>
  <si>
    <t>Randomized, Originals in column P</t>
  </si>
  <si>
    <t>Expanded Complex Values</t>
  </si>
  <si>
    <t>XXXX</t>
  </si>
  <si>
    <t>X</t>
  </si>
  <si>
    <t>Treatment</t>
  </si>
  <si>
    <t>Critical Values</t>
  </si>
  <si>
    <t>Title</t>
  </si>
  <si>
    <t>Tag As Missing</t>
  </si>
  <si>
    <t>Raw Input</t>
  </si>
  <si>
    <t>Start</t>
  </si>
  <si>
    <t>Step</t>
  </si>
  <si>
    <t>Stop</t>
  </si>
  <si>
    <t># Critical Values</t>
  </si>
  <si>
    <t># Artificials</t>
  </si>
  <si>
    <t>Variable Base Name</t>
  </si>
  <si>
    <t># of Scores To Use</t>
  </si>
  <si>
    <t>Functional Output</t>
  </si>
  <si>
    <t>Matrix Multiplication Output</t>
  </si>
  <si>
    <t>Override</t>
  </si>
  <si>
    <t>Row</t>
  </si>
  <si>
    <t>For Categorical Example</t>
  </si>
  <si>
    <t>Override Formula</t>
  </si>
  <si>
    <t>E</t>
  </si>
  <si>
    <t>Y</t>
  </si>
  <si>
    <t>Z</t>
  </si>
  <si>
    <t>Check if not 0</t>
  </si>
  <si>
    <t>Hats</t>
  </si>
  <si>
    <t>CriticalValues</t>
  </si>
  <si>
    <t>CleanLimits</t>
  </si>
  <si>
    <t>CoefficientValues</t>
  </si>
  <si>
    <t>Audit1</t>
  </si>
  <si>
    <t>&lt;?xml version="1.0"?&gt;_x000D_
                        &lt;xs:schema xmlns:xs="http://www.w3.org/2001/XMLSchema" _x000D_
                            xmlns:xi="http://www.w3.org/2001/XInclude" _x000D_
                            xmlns:wds="http://WDataSci.com"_x000D_
                            attributeFormDefault="unqualified" _x000D_
                            elementFormDefault="qualified"&gt;   _x000D_
            &lt;xs:simpleType name="Nbr"&gt;_x000D_
                &lt;xs:union memberTypes="xs:decimal xs:integer xs:negativeInteger xs:nonNegativeInteger xs:positiveInteger xs:nonPositiveInteger xs:long xs:int xs:short xs:byte xs:unsignedLong xs:unsignedShort xs:unsignedInt xs:unsignedByte xs:float xs:double"/&gt;_x000D_
            &lt;/xs:simpleType&gt;_x000D_
            &lt;xs:simpleType name="Dbl"&gt;_x000D_
                &lt;xs:union memberTypes="xs:decimal xs:long xs:int xs:short xs:byte xs:unsignedLong xs:unsignedShort xs:unsignedInt xs:unsignedByte xs:float xs:double"/&gt;_x000D_
            &lt;/xs:simpleType&gt;_x000D_
            &lt;xs:simpleType name="Lng"&gt;_x000D_
                &lt;xs:union memberTypes="xs:long"/&gt;_x000D_
            &lt;/xs:simpleType&gt;_x000D_
            &lt;xs:simpleType name="Int"&gt;_x000D_
                &lt;xs:union memberTypes="xs:integer xs:negativeInteger xs:nonNegativeInteger xs:positiveInteger xs:nonPositiveInteger xs:int xs:short xs:unsignedShort xs:unsignedInt"/&gt;_x000D_
            &lt;/xs:simpleType&gt;_x000D_
            &lt;xs:simpleType name="VLS"&gt;_x000D_
                &lt;xs:union memberTypes="xs:token xs:NMTOKEN xs:normalizedString xs:string"/&gt;_x000D_
            &lt;/xs:simpleType&gt;_x000D_
            &lt;xs:simpleType name="Str1"&gt;&lt;xs:restriction base="xs:string"&gt;&lt;xs:whiteSpace value="collapse"/&gt;&lt;xs:maxLength value="1"/&gt;&lt;/xs:restriction&gt;&lt;/xs:simpleType&gt;_x000D_
            &lt;xs:simpleType name="Str2"&gt;&lt;xs:restriction base="xs:string"&gt;&lt;xs:whiteSpace value="collapse"/&gt;&lt;xs:maxLength value="2"/&gt;&lt;/xs:restriction&gt;&lt;/xs:simpleType&gt;_x000D_
            &lt;xs:simpleType name="Str3"&gt;&lt;xs:restriction base="xs:string"&gt;&lt;xs:whiteSpace value="collapse"/&gt;&lt;xs:maxLength value="3"/&gt;&lt;/xs:restriction&gt;&lt;/xs:simpleType&gt;_x000D_
            &lt;xs:simpleType name="Str4"&gt;&lt;xs:restriction base="xs:string"&gt;&lt;xs:whiteSpace value="collapse"/&gt;&lt;xs:maxLength value="4"/&gt;&lt;/xs:restriction&gt;&lt;/xs:simpleType&gt;_x000D_
            &lt;xs:simpleType name="Str5"&gt;&lt;xs:restriction base="xs:string"&gt;&lt;xs:whiteSpace value="collapse"/&gt;&lt;xs:maxLength value="5"/&gt;&lt;/xs:restriction&gt;&lt;/xs:simpleType&gt;_x000D_
            &lt;xs:simpleType name="Str6"&gt;&lt;xs:restriction base="xs:string"&gt;&lt;xs:whiteSpace value="collapse"/&gt;&lt;xs:maxLength value="6"/&gt;&lt;/xs:restriction&gt;&lt;/xs:simpleType&gt;_x000D_
            &lt;xs:simpleType name="Str7"&gt;&lt;xs:restriction base="xs:string"&gt;&lt;xs:whiteSpace value="collapse"/&gt;&lt;xs:maxLength value="7"/&gt;&lt;/xs:restriction&gt;&lt;/xs:simpleType&gt;_x000D_
            &lt;xs:simpleType name="Str8"&gt;&lt;xs:restriction base="xs:string"&gt;&lt;xs:whiteSpace value="collapse"/&gt;&lt;xs:maxLength value="8"/&gt;&lt;/xs:restriction&gt;&lt;/xs:simpleType&gt;_x000D_
            &lt;xs:simpleType name="Str9"&gt;&lt;xs:restriction base="xs:string"&gt;&lt;xs:whiteSpace value="collapse"/&gt;&lt;xs:maxLength value="9"/&gt;&lt;/xs:restriction&gt;&lt;/xs:simpleType&gt;_x000D_
            &lt;xs:simpleType name="Str10"&gt;&lt;xs:restriction base="xs:string"&gt;&lt;xs:whiteSpace value="collapse"/&gt;&lt;xs:maxLength value="10"/&gt;&lt;/xs:restriction&gt;&lt;/xs:simpleType&gt;_x000D_
            &lt;xs:simpleType name="Str11"&gt;&lt;xs:restriction base="xs:string"&gt;&lt;xs:whiteSpace value="collapse"/&gt;&lt;xs:maxLength value="11"/&gt;&lt;/xs:restriction&gt;&lt;/xs:simpleType&gt;_x000D_
            &lt;xs:simpleType name="Str12"&gt;&lt;xs:restriction base="xs:string"&gt;&lt;xs:whiteSpace value="collapse"/&gt;&lt;xs:maxLength value="12"/&gt;&lt;/xs:restriction&gt;&lt;/xs:simpleType&gt;_x000D_
            &lt;xs:simpleType name="Str13"&gt;&lt;xs:restriction base="xs:string"&gt;&lt;xs:whiteSpace value="collapse"/&gt;&lt;xs:maxLength value="13"/&gt;&lt;/xs:restriction&gt;&lt;/xs:simpleType&gt;_x000D_
            &lt;xs:simpleType name="Str14"&gt;&lt;xs:restriction base="xs:string"&gt;&lt;xs:whiteSpace value="collapse"/&gt;&lt;xs:maxLength value="14"/&gt;&lt;/xs:restriction&gt;&lt;/xs:simpleType&gt;_x000D_
            &lt;xs:simpleType name="Str15"&gt;&lt;xs:restriction base="xs:string"&gt;&lt;xs:whiteSpace value="collapse"/&gt;&lt;xs:maxLength value="15"/&gt;&lt;/xs:restriction&gt;&lt;/xs:simpleType&gt;_x000D_
            &lt;xs:simpleType name="Str16"&gt;&lt;xs:restriction base="xs:string"&gt;&lt;xs:whiteSpace value="collapse"/&gt;&lt;xs:maxLength value="16"/&gt;&lt;/xs:restriction&gt;&lt;/xs:simpleType&gt;_x000D_
            &lt;xs:simpleType name="Str17"&gt;&lt;xs:restriction base="xs:string"&gt;&lt;xs:whiteSpace value="collapse"/&gt;&lt;xs:maxLength value="17"/&gt;&lt;/xs:restriction&gt;&lt;/xs:simpleType&gt;_x000D_
            &lt;xs:simpleType name="Str18"&gt;&lt;xs:restriction base="xs:string"&gt;&lt;xs:whiteSpace value="collapse"/&gt;&lt;xs:maxLength value="18"/&gt;&lt;/xs:restriction&gt;&lt;/xs:simpleType&gt;_x000D_
            &lt;xs:simpleType name="Str19"&gt;&lt;xs:restriction base="xs:string"&gt;&lt;xs:whiteSpace value="collapse"/&gt;&lt;xs:maxLength value="19"/&gt;&lt;/xs:restriction&gt;&lt;/xs:simpleType&gt;_x000D_
            &lt;xs:simpleType name="Str20"&gt;&lt;xs:restriction base="xs:string"&gt;&lt;xs:whiteSpace value="collapse"/&gt;&lt;xs:maxLength value="20"/&gt;&lt;/xs:restriction&gt;&lt;/xs:simpleType&gt;_x000D_
            &lt;xs:simpleType name="Str21"&gt;&lt;xs:restriction base="xs:string"&gt;&lt;xs:whiteSpace value="collapse"/&gt;&lt;xs:maxLength value="21"/&gt;&lt;/xs:restriction&gt;&lt;/xs:simpleType&gt;_x000D_
            &lt;xs:simpleType name="Str22"&gt;&lt;xs:restriction base="xs:string"&gt;&lt;xs:whiteSpace value="collapse"/&gt;&lt;xs:maxLength value="22"/&gt;&lt;/xs:restriction&gt;&lt;/xs:simpleType&gt;_x000D_
            &lt;xs:simpleType name="Str23"&gt;&lt;xs:restriction base="xs:string"&gt;&lt;xs:whiteSpace value="collapse"/&gt;&lt;xs:maxLength value="23"/&gt;&lt;/xs:restriction&gt;&lt;/xs:simpleType&gt;_x000D_
            &lt;xs:simpleType name="Str24"&gt;&lt;xs:restriction base="xs:string"&gt;&lt;xs:whiteSpace value="collapse"/&gt;&lt;xs:maxLength value="24"/&gt;&lt;/xs:restriction&gt;&lt;/xs:simpleType&gt;_x000D_
            &lt;xs:simpleType name="Str25"&gt;&lt;xs:restriction base="xs:string"&gt;&lt;xs:whiteSpace value="collapse"/&gt;&lt;xs:maxLength value="25"/&gt;&lt;/xs:restriction&gt;&lt;/xs:simpleType&gt;_x000D_
            &lt;xs:simpleType name="Str26"&gt;&lt;xs:restriction base="xs:string"&gt;&lt;xs:whiteSpace value="collapse"/&gt;&lt;xs:maxLength value="26"/&gt;&lt;/xs:restriction&gt;&lt;/xs:simpleType&gt;_x000D_
            &lt;xs:simpleType name="Str27"&gt;&lt;xs:restriction base="xs:string"&gt;&lt;xs:whiteSpace value="collapse"/&gt;&lt;xs:maxLength value="27"/&gt;&lt;/xs:restriction&gt;&lt;/xs:simpleType&gt;_x000D_
            &lt;xs:simpleType name="Str28"&gt;&lt;xs:restriction base="xs:string"&gt;&lt;xs:whiteSpace value="collapse"/&gt;&lt;xs:maxLength value="28"/&gt;&lt;/xs:restriction&gt;&lt;/xs:simpleType&gt;_x000D_
            &lt;xs:simpleType name="Str29"&gt;&lt;xs:restriction base="xs:string"&gt;&lt;xs:whiteSpace value="collapse"/&gt;&lt;xs:maxLength value="29"/&gt;&lt;/xs:restriction&gt;&lt;/xs:simpleType&gt;_x000D_
            &lt;xs:simpleType name="Str30"&gt;&lt;xs:restriction base="xs:string"&gt;&lt;xs:whiteSpace value="collapse"/&gt;&lt;xs:maxLength value="30"/&gt;&lt;/xs:restriction&gt;&lt;/xs:simpleType&gt;_x000D_
            &lt;xs:simpleType name="Str31"&gt;&lt;xs:restriction base="xs:string"&gt;&lt;xs:whiteSpace value="collapse"/&gt;&lt;xs:maxLength value="31"/&gt;&lt;/xs:restriction&gt;&lt;/xs:simpleType&gt;_x000D_
            &lt;xs:simpleType name="Str32"&gt;&lt;xs:restriction base="xs:string"&gt;&lt;xs:whiteSpace value="collapse"/&gt;&lt;xs:maxLength value="32"/&gt;&lt;/xs:restriction&gt;&lt;/xs:simpleType&gt;_x000D_
            &lt;xs:simpleType name="Str33"&gt;&lt;xs:restriction base="xs:string"&gt;&lt;xs:whiteSpace value="collapse"/&gt;&lt;xs:maxLength value="33"/&gt;&lt;/xs:restriction&gt;&lt;/xs:simpleType&gt;_x000D_
            &lt;xs:simpleType name="Str34"&gt;&lt;xs:restriction base="xs:string"&gt;&lt;xs:whiteSpace value="collapse"/&gt;&lt;xs:maxLength value="34"/&gt;&lt;/xs:restriction&gt;&lt;/xs:simpleType&gt;_x000D_
            &lt;xs:simpleType name="Str35"&gt;&lt;xs:restriction base="xs:string"&gt;&lt;xs:whiteSpace value="collapse"/&gt;&lt;xs:maxLength value="35"/&gt;&lt;/xs:restriction&gt;&lt;/xs:simpleType&gt;_x000D_
            &lt;xs:simpleType name="Str36"&gt;&lt;xs:restriction base="xs:string"&gt;&lt;xs:whiteSpace value="collapse"/&gt;&lt;xs:maxLength value="36"/&gt;&lt;/xs:restriction&gt;&lt;/xs:simpleType&gt;_x000D_
            &lt;xs:simpleType name="Str37"&gt;&lt;xs:restriction base="xs:string"&gt;&lt;xs:whiteSpace value="collapse"/&gt;&lt;xs:maxLength value="37"/&gt;&lt;/xs:restriction&gt;&lt;/xs:simpleType&gt;_x000D_
            &lt;xs:simpleType name="Str38"&gt;&lt;xs:restriction base="xs:string"&gt;&lt;xs:whiteSpace value="collapse"/&gt;&lt;xs:maxLength value="38"/&gt;&lt;/xs:restriction&gt;&lt;/xs:simpleType&gt;_x000D_
            &lt;xs:simpleType name="Str39"&gt;&lt;xs:restriction base="xs:string"&gt;&lt;xs:whiteSpace value="collapse"/&gt;&lt;xs:maxLength value="39"/&gt;&lt;/xs:restriction&gt;&lt;/xs:simpleType&gt;_x000D_
            &lt;xs:simpleType name="Str40"&gt;&lt;xs:restriction base="xs:string"&gt;&lt;xs:whiteSpace value="collapse"/&gt;&lt;xs:maxLength value="40"/&gt;&lt;/xs:restriction&gt;&lt;/xs:simpleType&gt;_x000D_
            &lt;xs:simpleType name="Str64"&gt;&lt;xs:restriction base="xs:string"&gt;&lt;xs:whiteSpace value="collapse"/&gt;&lt;xs:maxLength value="64"/&gt;&lt;/xs:restriction&gt;&lt;/xs:simpleType&gt;_x000D_
            &lt;xs:simpleType name="Str128"&gt;&lt;xs:restriction base="xs:string"&gt;&lt;xs:whiteSpace value="collapse"/&gt;&lt;xs:maxLength value="128"/&gt;&lt;/xs:restriction&gt;&lt;/xs:simpleType&gt;_x000D_
            &lt;xs:simpleType name="Str256"&gt;&lt;xs:restriction base="xs:string"&gt;&lt;xs:whiteSpace value="collapse"/&gt;&lt;xs:maxLength value="256"/&gt;&lt;/xs:restriction&gt;&lt;/xs:simpleType&gt;_x000D_
            &lt;xs:simpleType name="Str512"&gt;&lt;xs:restriction base="xs:string"&gt;&lt;xs:whiteSpace value="collapse"/&gt;&lt;xs:maxLength value="512"/&gt;&lt;/xs:restriction&gt;&lt;/xs:simpleType&gt;_x000D_
            &lt;xs:simpleType name="Str1024"&gt;&lt;xs:restriction base="xs:string"&gt;&lt;xs:whiteSpace value="collapse"/&gt;&lt;xs:maxLength value="1024"/&gt;&lt;/xs:restriction&gt;&lt;/xs:simpleType&gt;_x000D_
            &lt;xs:simpleType name="Str"&gt;_x000D_
                &lt;xs:union memberTypes="Str1 Str2 Str3 Str4 Str5 Str6 Str7 Str8 Str9 Str10 Str11 Str12 Str13 Str14 Str15 Str16 Str17 Str18 Str19 Str20 Str21 Str22 Str23 Str24 Str25 Str26 Str27 Str28 Str29 Str30 Str31 Str32 Str33 Str34 Str35 Str36 Str37 Str38 Str39 Str40 Str64 Str128 Str256 Str512 Str1024"/&gt;_x000D_
            &lt;/xs:simpleType&gt;_x000D_
            &lt;xs:simpleType name="VLS1"&gt;&lt;xs:restriction base="xs:string"&gt;&lt;xs:whiteSpace value="collapse"/&gt;&lt;xs:maxLength value="1"/&gt;&lt;/xs:restriction&gt;&lt;/xs:simpleType&gt;_x000D_
            &lt;xs:simpleType name="VLS2"&gt;&lt;xs:restriction base="xs:string"&gt;&lt;xs:whiteSpace value="collapse"/&gt;&lt;xs:maxLength value="2"/&gt;&lt;/xs:restriction&gt;&lt;/xs:simpleType&gt;_x000D_
            &lt;xs:simpleType name="VLS3"&gt;&lt;xs:restriction base="xs:string"&gt;&lt;xs:whiteSpace value="collapse"/&gt;&lt;xs:maxLength value="3"/&gt;&lt;/xs:restriction&gt;&lt;/xs:simpleType&gt;_x000D_
            &lt;xs:simpleType name="VLS4"&gt;&lt;xs:restriction base="xs:string"&gt;&lt;xs:whiteSpace value="collapse"/&gt;&lt;xs:maxLength value="4"/&gt;&lt;/xs:restriction&gt;&lt;/xs:simpleType&gt;_x000D_
            &lt;xs:simpleType name="VLS5"&gt;&lt;xs:restriction base="xs:string"&gt;&lt;xs:whiteSpace value="collapse"/&gt;&lt;xs:maxLength value="5"/&gt;&lt;/xs:restriction&gt;&lt;/xs:simpleType&gt;_x000D_
            &lt;xs:simpleType name="VLS6"&gt;&lt;xs:restriction base="xs:string"&gt;&lt;xs:whiteSpace value="collapse"/&gt;&lt;xs:maxLength value="6"/&gt;&lt;/xs:restriction&gt;&lt;/xs:simpleType&gt;_x000D_
            &lt;xs:simpleType name="VLS7"&gt;&lt;xs:restriction base="xs:string"&gt;&lt;xs:whiteSpace value="collapse"/&gt;&lt;xs:maxLength value="7"/&gt;&lt;/xs:restriction&gt;&lt;/xs:simpleType&gt;_x000D_
            &lt;xs:simpleType name="VLS8"&gt;&lt;xs:restriction base="xs:string"&gt;&lt;xs:whiteSpace value="collapse"/&gt;&lt;xs:maxLength value="8"/&gt;&lt;/xs:restriction&gt;&lt;/xs:simpleType&gt;_x000D_
            &lt;xs:simpleType name="VLS9"&gt;&lt;xs:restriction base="xs:string"&gt;&lt;xs:whiteSpace value="collapse"/&gt;&lt;xs:maxLength value="9"/&gt;&lt;/xs:restriction&gt;&lt;/xs:simpleType&gt;_x000D_
            &lt;xs:simpleType name="VLS10"&gt;&lt;xs:restriction base="xs:string"&gt;&lt;xs:whiteSpace value="collapse"/&gt;&lt;xs:maxLength value="10"/&gt;&lt;/xs:restriction&gt;&lt;/xs:simpleType&gt;_x000D_
            &lt;xs:simpleType name="VLS11"&gt;&lt;xs:restriction base="xs:string"&gt;&lt;xs:whiteSpace value="collapse"/&gt;&lt;xs:maxLength value="11"/&gt;&lt;/xs:restriction&gt;&lt;/xs:simpleType&gt;_x000D_
            &lt;xs:simpleType name="VLS12"&gt;&lt;xs:restriction base="xs:string"&gt;&lt;xs:whiteSpace value="collapse"/&gt;&lt;xs:maxLength value="12"/&gt;&lt;/xs:restriction&gt;&lt;/xs:simpleType&gt;_x000D_
            &lt;xs:simpleType name="VLS13"&gt;&lt;xs:restriction base="xs:string"&gt;&lt;xs:whiteSpace value="collapse"/&gt;&lt;xs:maxLength value="13"/&gt;&lt;/xs:restriction&gt;&lt;/xs:simpleType&gt;_x000D_
            &lt;xs:simpleType name="VLS14"&gt;&lt;xs:restriction base="xs:string"&gt;&lt;xs:whiteSpace value="collapse"/&gt;&lt;xs:maxLength value="14"/&gt;&lt;/xs:restriction&gt;&lt;/xs:simpleType&gt;_x000D_
            &lt;xs:simpleType name="VLS15"&gt;&lt;xs:restriction base="xs:string"&gt;&lt;xs:whiteSpace value="collapse"/&gt;&lt;xs:maxLength value="15"/&gt;&lt;/xs:restriction&gt;&lt;/xs:simpleType&gt;_x000D_
            &lt;xs:simpleType name="VLS16"&gt;&lt;xs:restriction base="xs:string"&gt;&lt;xs:whiteSpace value="collapse"/&gt;&lt;xs:maxLength value="16"/&gt;&lt;/xs:restriction&gt;&lt;/xs:simpleType&gt;_x000D_
            &lt;xs:simpleType name="VLS17"&gt;&lt;xs:restriction base="xs:string"&gt;&lt;xs:whiteSpace value="collapse"/&gt;&lt;xs:maxLength value="17"/&gt;&lt;/xs:restriction&gt;&lt;/xs:simpleType&gt;_x000D_
            &lt;xs:simpleType name="VLS18"&gt;&lt;xs:restriction base="xs:string"&gt;&lt;xs:whiteSpace value="collapse"/&gt;&lt;xs:maxLength value="18"/&gt;&lt;/xs:restriction&gt;&lt;/xs:simpleType&gt;_x000D_
            &lt;xs:simpleType name="VLS19"&gt;&lt;xs:restriction base="xs:string"&gt;&lt;xs:whiteSpace value="collapse"/&gt;&lt;xs:maxLength value="19"/&gt;&lt;/xs:restriction&gt;&lt;/xs:simpleType&gt;_x000D_
            &lt;xs:simpleType name="VLS20"&gt;&lt;xs:restriction base="xs:string"&gt;&lt;xs:whiteSpace value="collapse"/&gt;&lt;xs:maxLength value="20"/&gt;&lt;/xs:restriction&gt;&lt;/xs:simpleType&gt;_x000D_
            &lt;xs:simpleType name="VLS21"&gt;&lt;xs:restriction base="xs:string"&gt;&lt;xs:whiteSpace value="collapse"/&gt;&lt;xs:maxLength value="21"/&gt;&lt;/xs:restriction&gt;&lt;/xs:simpleType&gt;_x000D_
            &lt;xs:simpleType name="VLS22"&gt;&lt;xs:restriction base="xs:string"&gt;&lt;xs:whiteSpace value="collapse"/&gt;&lt;xs:maxLength value="22"/&gt;&lt;/xs:restriction&gt;&lt;/xs:simpleType&gt;_x000D_
            &lt;xs:simpleType name="VLS23"&gt;&lt;xs:restriction base="xs:string"&gt;&lt;xs:whiteSpace value="collapse"/&gt;&lt;xs:maxLength value="23"/&gt;&lt;/xs:restriction&gt;&lt;/xs:simpleType&gt;_x000D_
            &lt;xs:simpleType name="VLS24"&gt;&lt;xs:restriction base="xs:string"&gt;&lt;xs:whiteSpace value="collapse"/&gt;&lt;xs:maxLength value="24"/&gt;&lt;/xs:restriction&gt;&lt;/xs:simpleType&gt;_x000D_
            &lt;xs:simpleType name="VLS25"&gt;&lt;xs:restriction base="xs:string"&gt;&lt;xs:whiteSpace value="collapse"/&gt;&lt;xs:maxLength value="25"/&gt;&lt;/xs:restriction&gt;&lt;/xs:simpleType&gt;_x000D_
            &lt;xs:simpleType name="VLS26"&gt;&lt;xs:restriction base="xs:string"&gt;&lt;xs:whiteSpace value="collapse"/&gt;&lt;xs:maxLength value="26"/&gt;&lt;/xs:restriction&gt;&lt;/xs:simpleType&gt;_x000D_
            &lt;xs:simpleType name="VLS27"&gt;&lt;xs:restriction base="xs:string"&gt;&lt;xs:whiteSpace value="collapse"/&gt;&lt;xs:maxLength value="27"/&gt;&lt;/xs:restriction&gt;&lt;/xs:simpleType&gt;_x000D_
            &lt;xs:simpleType name="VLS28"&gt;&lt;xs:restriction base="xs:string"&gt;&lt;xs:whiteSpace value="collapse"/&gt;&lt;xs:maxLength value="28"/&gt;&lt;/xs:restriction&gt;&lt;/xs:simpleType&gt;_x000D_
            &lt;xs:simpleType name="VLS29"&gt;&lt;xs:restriction base="xs:string"&gt;&lt;xs:whiteSpace value="collapse"/&gt;&lt;xs:maxLength value="29"/&gt;&lt;/xs:restriction&gt;&lt;/xs:simpleType&gt;_x000D_
            &lt;xs:simpleType name="VLS30"&gt;&lt;xs:restriction base="xs:string"&gt;&lt;xs:whiteSpace value="collapse"/&gt;&lt;xs:maxLength value="30"/&gt;&lt;/xs:restriction&gt;&lt;/xs:simpleType&gt;_x000D_
            &lt;xs:simpleType name="VLS31"&gt;&lt;xs:restriction base="xs:string"&gt;&lt;xs:whiteSpace value="collapse"/&gt;&lt;xs:maxLength value="31"/&gt;&lt;/xs:restriction&gt;&lt;/xs:simpleType&gt;_x000D_
            &lt;xs:simpleType name="VLS32"&gt;&lt;xs:restriction base="xs:string"&gt;&lt;xs:whiteSpace value="collapse"/&gt;&lt;xs:maxLength value="32"/&gt;&lt;/xs:restriction&gt;&lt;/xs:simpleType&gt;_x000D_
            &lt;xs:simpleType name="VLS33"&gt;&lt;xs:restriction base="xs:string"&gt;&lt;xs:whiteSpace value="collapse"/&gt;&lt;xs:maxLength value="33"/&gt;&lt;/xs:restriction&gt;&lt;/xs:simpleType&gt;_x000D_
            &lt;xs:simpleType name="VLS34"&gt;&lt;xs:restriction base="xs:string"&gt;&lt;xs:whiteSpace value="collapse"/&gt;&lt;xs:maxLength value="34"/&gt;&lt;/xs:restriction&gt;&lt;/xs:simpleType&gt;_x000D_
            &lt;xs:simpleType name="VLS35"&gt;&lt;xs:restriction base="xs:string"&gt;&lt;xs:whiteSpace value="collapse"/&gt;&lt;xs:maxLength value="35"/&gt;&lt;/xs:restriction&gt;&lt;/xs:simpleType&gt;_x000D_
            &lt;xs:simpleType name="VLS36"&gt;&lt;xs:restriction base="xs:string"&gt;&lt;xs:whiteSpace value="collapse"/&gt;&lt;xs:maxLength value="36"/&gt;&lt;/xs:restriction&gt;&lt;/xs:simpleType&gt;_x000D_
            &lt;xs:simpleType name="VLS37"&gt;&lt;xs:restriction base="xs:string"&gt;&lt;xs:whiteSpace value="collapse"/&gt;&lt;xs:maxLength value="37"/&gt;&lt;/xs:restriction&gt;&lt;/xs:simpleType&gt;_x000D_
            &lt;xs:simpleType name="VLS38"&gt;&lt;xs:restriction base="xs:string"&gt;&lt;xs:whiteSpace value="collapse"/&gt;&lt;xs:maxLength value="38"/&gt;&lt;/xs:restriction&gt;&lt;/xs:simpleType&gt;_x000D_
            &lt;xs:simpleType name="VLS39"&gt;&lt;xs:restriction base="xs:string"&gt;&lt;xs:whiteSpace value="collapse"/&gt;&lt;xs:maxLength value="39"/&gt;&lt;/xs:restriction&gt;&lt;/xs:simpleType&gt;_x000D_
            &lt;xs:simpleType name="VLS40"&gt;&lt;xs:restriction base="xs:string"&gt;&lt;xs:whiteSpace value="collapse"/&gt;&lt;xs:maxLength value="40"/&gt;&lt;/xs:restriction&gt;&lt;/xs:simpleType&gt;_x000D_
            &lt;xs:simpleType name="VLS64"&gt;&lt;xs:restriction base="xs:string"&gt;&lt;xs:whiteSpace value="collapse"/&gt;&lt;xs:maxLength value="64"/&gt;&lt;/xs:restriction&gt;&lt;/xs:simpleType&gt;_x000D_
            &lt;xs:simpleType name="VLS128"&gt;&lt;xs:restriction base="xs:string"&gt;&lt;xs:whiteSpace value="collapse"/&gt;&lt;xs:maxLength value="128"/&gt;&lt;/xs:restriction&gt;&lt;/xs:simpleType&gt;_x000D_
            &lt;xs:simpleType name="VLS256"&gt;&lt;xs:restriction base="xs:string"&gt;&lt;xs:whiteSpace value="collapse"/&gt;&lt;xs:maxLength value="256"/&gt;&lt;/xs:restriction&gt;&lt;/xs:simpleType&gt;_x000D_
            &lt;xs:simpleType name="VLS512"&gt;&lt;xs:restriction base="xs:string"&gt;&lt;xs:whiteSpace value="collapse"/&gt;&lt;xs:maxLength value="512"/&gt;&lt;/xs:restriction&gt;&lt;/xs:simpleType&gt;_x000D_
            &lt;xs:simpleType name="VLS1024"&gt;&lt;xs:restriction base="xs:string"&gt;&lt;xs:whiteSpace value="collapse"/&gt;&lt;xs:maxLength value="1024"/&gt;&lt;/xs:restriction&gt;&lt;/xs:simpleType&gt;_x000D_
            &lt;xs:simpleType name="Dbl_List"&gt;&lt;xs:list itemType="Dbl"/&gt;&lt;/xs:simpleType&gt;_x000D_
            &lt;xs:simpleType name="Int_List"&gt;&lt;xs:list itemType="Int"/&gt;&lt;/xs:simpleType&gt;_x000D_
            &lt;xs:simpleType name="Lng_List"&gt;&lt;xs:list itemType="Lng"/&gt;&lt;/xs:simpleType&gt;_x000D_
            &lt;xs:simpleType name="VLS_List"&gt;&lt;xs:list itemType="VLS"/&gt;&lt;/xs:simpleType&gt;_x000D_
            &lt;xs:simpleType name="Str_List"&gt;&lt;xs:list itemType="Str"/&gt;&lt;/xs:simpleType&gt; _x000D_
&lt;xs:element name="RecordSet"&gt;&lt;xs:complexType&gt;&lt;xs:sequence&gt;&lt;xs:element name="Record" maxOccurs="unbounded"&gt;&lt;xs:complexType&gt;&lt;xs:sequence&gt;&lt;xs:element name="ID" type="Int"/&gt;&lt;xs:element name="x" type="VLS"/&gt;&lt;xs:element name="y" type="Int"/&gt;&lt;xs:element name="Hey" type="Dbl"/&gt;&lt;/xs:sequence&gt;&lt;/xs:complexType&gt;&lt;/xs:element&gt;&lt;/xs:sequence&gt;&lt;/xs:complexType&gt;&lt;/xs:element&gt;
&lt;/xs:schema&gt;</t>
  </si>
  <si>
    <t>&lt;xs:schema xmlns:xs="http://www.w3.org/2001/XMLSchema" xmlns:xi="http://www.w3.org/2001/XInclude" xmlns:wds="http://WDataSci.com" attributeFormDefault="unqualified" elementFormDefault="qualified"&gt;
	&lt;xs:simpleType name="Nbr"&gt;
		&lt;xs:union memberTypes="xs:decimal xs:integer xs:negativeInteger xs:nonNegativeInteger xs:positiveInteger xs:nonPositiveInteger xs:long xs:int xs:short xs:byte xs:unsignedLong xs:unsignedShort xs:unsignedInt xs:unsignedByte xs:float xs:double"/&gt;
	&lt;/xs:simpleType&gt;
	&lt;xs:simpleType name="Dbl"&gt;
		&lt;xs:union memberTypes="xs:decimal xs:long xs:int xs:short xs:byte xs:unsignedLong xs:unsignedShort xs:unsignedInt xs:unsignedByte xs:float xs:double"/&gt;
	&lt;/xs:simpleType&gt;
	&lt;xs:simpleType name="Lng"&gt;
		&lt;xs:union memberTypes="xs:long"/&gt;
	&lt;/xs:simpleType&gt;
	&lt;xs:simpleType name="Int"&gt;
		&lt;xs:union memberTypes="xs:integer xs:negativeInteger xs:nonNegativeInteger xs:positiveInteger xs:nonPositiveInteger xs:int xs:short xs:unsignedShort xs:unsignedInt"/&gt;
	&lt;/xs:simpleType&gt;
	&lt;xs:simpleType name="VLS"&gt;
		&lt;xs:union memberTypes="xs:token xs:NMTOKEN xs:normalizedString xs:string"/&gt;
	&lt;/xs:simpleType&gt;	&lt;xs:simpleType name="Dbl_List"&gt;&lt;xs:list itemType="Dbl"/&gt;&lt;/xs:simpleType&gt;
	&lt;xs:simpleType name="Int_List"&gt;&lt;xs:list itemType="Int"/&gt;&lt;/xs:simpleType&gt;
	&lt;xs:simpleType name="Lng_List"&gt;&lt;xs:list itemType="Lng"/&gt;&lt;/xs:simpleType&gt;
	&lt;xs:simpleType name="VLS_List"&gt;&lt;xs:list itemType="VLS"/&gt;&lt;/xs:simpleType&gt;
	&lt;xs:simpleType name="Str_List"&gt;&lt;xs:list itemType="Str"/&gt;&lt;/xs:simpleType&gt;
	&lt;xs:element name="RecordSet"&gt;&lt;xs:complexType&gt;&lt;xs:sequence&gt;&lt;xs:element name="Record" maxOccurs="unbounded"&gt;&lt;xs:complexType&gt;&lt;xs:sequence&gt;&lt;xs:element name="ID" type="Int"/&gt;&lt;xs:element name="x" type="VLS"/&gt;&lt;xs:element name="y" type="Int"/&gt;&lt;xs:element name="Hey" type="Dbl"/&gt;&lt;/xs:sequence&gt;&lt;/xs:complexType&gt;&lt;/xs:element&gt;&lt;/xs:sequence&gt;&lt;/xs:complexType&gt;&lt;/xs:element&gt;
&lt;/xs:schema&gt;</t>
  </si>
  <si>
    <t>&lt;xs:schema xmlns:xs="http://www.w3.org/2001/XMLSchema" xmlns:xi="http://www.w3.org/2001/XInclude" xmlns:wds="http://WDataSci.com" attributeFormDefault="unqualified" elementFormDefault="qualified"&gt;
	&lt;xs:simpleType name="Nbr"&gt;
		&lt;xs:union memberTypes="xs:decimal xs:integer xs:negativeInteger xs:nonNegativeInteger xs:positiveInteger xs:nonPositiveInteger xs:long xs:int xs:short xs:byte xs:unsignedLong xs:unsignedShort xs:unsignedInt xs:unsignedByte xs:float xs:double"/&gt;
	&lt;/xs:simpleType&gt;
	&lt;xs:simpleType name="Dbl"&gt;
		&lt;xs:union memberTypes="xs:decimal xs:long xs:int xs:short xs:byte xs:unsignedLong xs:unsignedShort xs:unsignedInt xs:unsignedByte xs:float xs:double"/&gt;
	&lt;/xs:simpleType&gt;
	&lt;xs:simpleType name="Lng"&gt;
		&lt;xs:union memberTypes="xs:long"/&gt;
	&lt;/xs:simpleType&gt;
	&lt;xs:simpleType name="Int"&gt;
		&lt;xs:union memberTypes="xs:integer xs:negativeInteger xs:nonNegativeInteger xs:positiveInteger xs:nonPositiveInteger xs:int xs:short xs:unsignedShort xs:unsignedInt"/&gt;
	&lt;/xs:simpleType&gt;
	&lt;xs:simpleType name="VLS"&gt;
		&lt;xs:union memberTypes="xs:token xs:NMTOKEN xs:normalizedString xs:string"/&gt;
	&lt;/xs:simpleType&gt;	&lt;xs:simpleType name="Dbl_List"&gt;&lt;xs:list itemType="Dbl"/&gt;&lt;/xs:simpleType&gt;
	&lt;xs:simpleType name="Int_List"&gt;&lt;xs:list itemType="Int"/&gt;&lt;/xs:simpleType&gt;
	&lt;xs:simpleType name="Lng_List"&gt;&lt;xs:list itemType="Lng"/&gt;&lt;/xs:simpleType&gt;
	&lt;xs:simpleType name="VLS_List"&gt;&lt;xs:list itemType="VLS"/&gt;&lt;/xs:simpleType&gt;
	&lt;xs:element name="RecordSet"&gt;&lt;xs:complexType&gt;&lt;xs:sequence&gt;&lt;xs:element name="Record" maxOccurs="unbounded"&gt;&lt;xs:complexType&gt;&lt;xs:sequence&gt;&lt;xs:element name="ID" type="Int"/&gt;&lt;xs:element name="x" type="VLS"/&gt;&lt;xs:element name="y" type="Int"/&gt;&lt;xs:element name="Hey" type="Dbl"/&gt;&lt;/xs:sequence&gt;&lt;/xs:complexType&gt;&lt;/xs:element&gt;&lt;/xs:sequence&gt;&lt;/xs:complexType&gt;&lt;/xs:element&gt;
&lt;/xs:schema&gt;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</si>
</sst>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b/>
      <sz val="11"/>
      <color theme="0"/>
      <name val="Calibri"/>
      <family val="2"/>
      <scheme val="minor"/>
    </font>
    <font>
      <b/>
      <sz val="11"/>
      <color theme="1"/>
      <name val="Calibri"/>
      <family val="2"/>
      <scheme val="minor"/>
    </font>
    <font>
      <sz val="9"/>
      <color indexed="81"/>
      <name val="Tahoma"/>
      <family val="2"/>
    </font>
    <font>
      <b/>
      <sz val="8"/>
      <color theme="0"/>
      <name val="Calibri"/>
      <family val="2"/>
      <scheme val="minor"/>
    </font>
  </fonts>
  <fills count="8">
    <fill>
      <patternFill patternType="none"/>
    </fill>
    <fill>
      <patternFill patternType="gray125"/>
    </fill>
    <fill>
      <patternFill patternType="solid">
        <fgColor theme="4" tint="0.79998168889431442"/>
        <bgColor theme="4" tint="0.79998168889431442"/>
      </patternFill>
    </fill>
    <fill>
      <patternFill patternType="solid">
        <fgColor theme="4"/>
        <bgColor theme="4"/>
      </patternFill>
    </fill>
    <fill>
      <patternFill patternType="solid">
        <fgColor rgb="FF90EE90"/>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theme="9" tint="0.59999389629810485"/>
        <bgColor indexed="64"/>
      </patternFill>
    </fill>
  </fills>
  <borders count="3">
    <border>
      <left/>
      <right/>
      <top/>
      <bottom/>
      <diagonal/>
    </border>
    <border>
      <left/>
      <right/>
      <top style="thin">
        <color theme="4" tint="0.39997558519241921"/>
      </top>
      <bottom/>
      <diagonal/>
    </border>
    <border>
      <left/>
      <right/>
      <top style="thin">
        <color theme="4" tint="0.39997558519241921"/>
      </top>
      <bottom style="thin">
        <color theme="4" tint="0.39997558519241921"/>
      </bottom>
      <diagonal/>
    </border>
  </borders>
  <cellStyleXfs count="1">
    <xf numFmtId="0" fontId="0" fillId="0" borderId="0"/>
  </cellStyleXfs>
  <cellXfs count="45">
    <xf numFmtId="0" fontId="0" fillId="0" borderId="0" xfId="0"/>
    <xf numFmtId="0" fontId="0" fillId="0" borderId="0" xfId="0" quotePrefix="1"/>
    <xf numFmtId="0" fontId="0" fillId="2" borderId="1" xfId="0" applyFont="1" applyFill="1" applyBorder="1"/>
    <xf numFmtId="0" fontId="0" fillId="0" borderId="1" xfId="0" applyFont="1" applyBorder="1"/>
    <xf numFmtId="49" fontId="0" fillId="2" borderId="1" xfId="0" applyNumberFormat="1" applyFont="1" applyFill="1" applyBorder="1"/>
    <xf numFmtId="49" fontId="0" fillId="0" borderId="1" xfId="0" applyNumberFormat="1" applyFont="1" applyBorder="1"/>
    <xf numFmtId="0" fontId="1" fillId="3" borderId="0" xfId="0" applyFont="1" applyFill="1" applyBorder="1"/>
    <xf numFmtId="0" fontId="0" fillId="0" borderId="0" xfId="0"/>
    <xf numFmtId="0" fontId="0" fillId="0" borderId="0" xfId="0"/>
    <xf numFmtId="0" fontId="0" fillId="0" borderId="0" xfId="0"/>
    <xf numFmtId="49" fontId="1" fillId="3" borderId="0" xfId="0" applyNumberFormat="1" applyFont="1" applyFill="1" applyBorder="1"/>
    <xf numFmtId="0" fontId="0" fillId="0" borderId="0" xfId="0"/>
    <xf numFmtId="49" fontId="0" fillId="0" borderId="0" xfId="0" applyNumberFormat="1"/>
    <xf numFmtId="0" fontId="0" fillId="0" borderId="0" xfId="0"/>
    <xf numFmtId="0" fontId="0" fillId="0" borderId="0" xfId="0"/>
    <xf numFmtId="0" fontId="0" fillId="0" borderId="2" xfId="0" applyFont="1" applyBorder="1"/>
    <xf numFmtId="0" fontId="0" fillId="2" borderId="2" xfId="0" applyFont="1" applyFill="1" applyBorder="1"/>
    <xf numFmtId="0" fontId="0" fillId="0" borderId="0" xfId="0"/>
    <xf numFmtId="0" fontId="0" fillId="0" borderId="0" xfId="0" applyAlignment="1">
      <alignment wrapText="1"/>
    </xf>
    <xf numFmtId="0" fontId="0" fillId="0" borderId="0" xfId="0"/>
    <xf numFmtId="0" fontId="0" fillId="0" borderId="0" xfId="0"/>
    <xf numFmtId="0" fontId="0" fillId="0" borderId="0" xfId="0"/>
    <xf numFmtId="0" fontId="0" fillId="0" borderId="0" xfId="0"/>
    <xf numFmtId="0" fontId="0" fillId="0" borderId="0" xfId="0"/>
    <xf numFmtId="0" fontId="0" fillId="5" borderId="0" xfId="0" applyFill="1"/>
    <xf numFmtId="0" fontId="0" fillId="6" borderId="0" xfId="0" applyFill="1"/>
    <xf numFmtId="0" fontId="0" fillId="0" borderId="0" xfId="0"/>
    <xf numFmtId="0" fontId="0" fillId="0" borderId="0" xfId="0" applyAlignment="1">
      <alignment horizontal="left"/>
    </xf>
    <xf numFmtId="0" fontId="0" fillId="0" borderId="0" xfId="0"/>
    <xf numFmtId="0" fontId="0" fillId="5" borderId="0" xfId="0" applyFill="1" applyAlignment="1">
      <alignment wrapText="1"/>
    </xf>
    <xf numFmtId="0" fontId="0" fillId="0" borderId="0" xfId="0"/>
    <xf numFmtId="0" fontId="0" fillId="0" borderId="0" xfId="0"/>
    <xf numFmtId="0" fontId="4" fillId="3" borderId="0" xfId="0" applyFont="1" applyFill="1" applyBorder="1"/>
    <xf numFmtId="49" fontId="4" fillId="3" borderId="0" xfId="0" applyNumberFormat="1" applyFont="1" applyFill="1" applyBorder="1"/>
    <xf numFmtId="0" fontId="0" fillId="0" borderId="0" xfId="0"/>
    <xf numFmtId="0" fontId="0" fillId="0" borderId="0" xfId="0"/>
    <xf numFmtId="0" fontId="0" fillId="0" borderId="0" xfId="0"/>
    <xf numFmtId="0" fontId="0" fillId="0" borderId="0" xfId="0"/>
    <xf numFmtId="0" fontId="0" fillId="7" borderId="0" xfId="0" applyFill="1"/>
    <xf numFmtId="0" fontId="0" fillId="0" borderId="0" xfId="0"/>
    <xf numFmtId="0" fontId="0" fillId="0" borderId="0" xfId="0"/>
    <xf numFmtId="0" fontId="0" fillId="0" borderId="0" xfId="0" applyAlignment="1">
      <alignment horizontal="left"/>
    </xf>
    <xf numFmtId="0" fontId="0" fillId="0" borderId="0" xfId="0"/>
    <xf numFmtId="0" fontId="2" fillId="0" borderId="0" xfId="0" applyFont="1" applyAlignment="1">
      <alignment horizontal="left"/>
    </xf>
    <xf numFmtId="0" fontId="0" fillId="4" borderId="0" xfId="0" applyFill="1" applyAlignment="1">
      <alignment horizontal="left"/>
    </xf>
  </cellXfs>
  <cellStyles count="1">
    <cellStyle name="Normal" xfId="0" builtinId="0"/>
  </cellStyles>
  <dxfs count="26">
    <dxf>
      <fill>
        <patternFill>
          <bgColor theme="9" tint="0.39994506668294322"/>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numFmt numFmtId="30" formatCode="@"/>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numFmt numFmtId="30" formatCode="@"/>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8"/>
        <color theme="0"/>
        <name val="Calibri"/>
        <family val="2"/>
        <scheme val="minor"/>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numFmt numFmtId="30" formatCode="@"/>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8"/>
        <color theme="0"/>
        <name val="Calibri"/>
        <family val="2"/>
        <scheme val="minor"/>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rtdsrv.3c84a581dcc54144876183baa38c097d">
      <tp>
        <v>-1</v>
        <stp/>
        <stp>a9a3e3a9-77cd-44e1-b237-2a8ddd4e86a0</stp>
        <tr r="B5" s="3"/>
      </tp>
    </main>
    <main first="rtdsrv.3c84a581dcc54144876183baa38c097d">
      <tp>
        <v>-1</v>
        <stp/>
        <stp>50cbb0cb-aa98-477e-8e3d-c22b44e8ef79</stp>
        <tr r="X3" s="14"/>
      </tp>
    </main>
    <main first="rtdsrv.3c84a581dcc54144876183baa38c097d">
      <tp>
        <v>-1</v>
        <stp/>
        <stp>4ff704b2-9d82-4548-a475-585cc1cfa439</stp>
        <tr r="T3" s="14"/>
      </tp>
      <tp>
        <v>-1</v>
        <stp/>
        <stp>e8efd5fb-e570-4193-b296-09261b1ccb3a</stp>
        <tr r="H3" s="24"/>
      </tp>
    </main>
  </volType>
</volTypes>
</file>

<file path=xl/xmlMaps.xml><?xml version="1.0" encoding="utf-8"?>
<MapInfo xmlns="http://schemas.openxmlformats.org/spreadsheetml/2006/main" SelectionNamespaces="">
  <Schema ID="Schema1">
    <xs:schema xmlns:xs="http://www.w3.org/2001/XMLSchema" xmlns:xi="http://www.w3.org/2001/XInclude" xmlns:wds="https://github.com/wdatasci/WDS-ModelSpec" xmlns="" attributeFormDefault="unqualified" elementFormDefault="qualified">
      <xs:simpleType name="Nbr">
        <xs:union memberTypes="xs:decimal xs:integer xs:negativeInteger xs:nonNegativeInteger xs:positiveInteger xs:nonPositiveInteger xs:long xs:int xs:short xs:byte xs:unsignedLong xs:unsignedShort xs:unsignedInt xs:unsignedByte xs:float xs:double"/>
      </xs:simpleType>
      <xs:simpleType name="Dbl">
        <xs:union memberTypes="xs:decimal xs:long xs:int xs:short xs:byte xs:unsignedLong xs:unsignedShort xs:unsignedInt xs:unsignedByte xs:float xs:double"/>
      </xs:simpleType>
      <xs:simpleType name="Lng">
        <xs:union memberTypes="xs:long"/>
      </xs:simpleType>
      <xs:simpleType name="Int">
        <xs:union memberTypes="xs:integer xs:negativeInteger xs:nonNegativeInteger xs:positiveInteger xs:nonPositiveInteger xs:int xs:short xs:unsignedShort xs:unsignedInt"/>
      </xs:simpleType>
      <xs:simpleType name="VLS">
        <xs:union memberTypes="xs:token xs:NMTOKEN xs:normalizedString xs:string"/>
      </xs:simpleType>
      <xs:simpleType name="Str1">
        <xs:restriction base="xs:string">
          <xs:whiteSpace value="collapse"/>
          <xs:maxLength value="1"/>
        </xs:restriction>
      </xs:simpleType>
      <xs:simpleType name="Str2">
        <xs:restriction base="xs:string">
          <xs:whiteSpace value="collapse"/>
          <xs:maxLength value="2"/>
        </xs:restriction>
      </xs:simpleType>
      <xs:simpleType name="Str3">
        <xs:restriction base="xs:string">
          <xs:whiteSpace value="collapse"/>
          <xs:maxLength value="3"/>
        </xs:restriction>
      </xs:simpleType>
      <xs:simpleType name="Str4">
        <xs:restriction base="xs:string">
          <xs:whiteSpace value="collapse"/>
          <xs:maxLength value="4"/>
        </xs:restriction>
      </xs:simpleType>
      <xs:simpleType name="Str5">
        <xs:restriction base="xs:string">
          <xs:whiteSpace value="collapse"/>
          <xs:maxLength value="5"/>
        </xs:restriction>
      </xs:simpleType>
      <xs:simpleType name="Str6">
        <xs:restriction base="xs:string">
          <xs:whiteSpace value="collapse"/>
          <xs:maxLength value="6"/>
        </xs:restriction>
      </xs:simpleType>
      <xs:simpleType name="Str7">
        <xs:restriction base="xs:string">
          <xs:whiteSpace value="collapse"/>
          <xs:maxLength value="7"/>
        </xs:restriction>
      </xs:simpleType>
      <xs:simpleType name="Str8">
        <xs:restriction base="xs:string">
          <xs:whiteSpace value="collapse"/>
          <xs:maxLength value="8"/>
        </xs:restriction>
      </xs:simpleType>
      <xs:simpleType name="Str9">
        <xs:restriction base="xs:string">
          <xs:whiteSpace value="collapse"/>
          <xs:maxLength value="9"/>
        </xs:restriction>
      </xs:simpleType>
      <xs:simpleType name="Str10">
        <xs:restriction base="xs:string">
          <xs:whiteSpace value="collapse"/>
          <xs:maxLength value="10"/>
        </xs:restriction>
      </xs:simpleType>
      <xs:simpleType name="Str11">
        <xs:restriction base="xs:string">
          <xs:whiteSpace value="collapse"/>
          <xs:maxLength value="11"/>
        </xs:restriction>
      </xs:simpleType>
      <xs:simpleType name="Str12">
        <xs:restriction base="xs:string">
          <xs:whiteSpace value="collapse"/>
          <xs:maxLength value="12"/>
        </xs:restriction>
      </xs:simpleType>
      <xs:simpleType name="Str16">
        <xs:restriction base="xs:string">
          <xs:whiteSpace value="collapse"/>
          <xs:maxLength value="16"/>
        </xs:restriction>
      </xs:simpleType>
      <xs:simpleType name="Str32">
        <xs:restriction base="xs:string">
          <xs:whiteSpace value="collapse"/>
          <xs:maxLength value="32"/>
        </xs:restriction>
      </xs:simpleType>
      <xs:simpleType name="Str64">
        <xs:restriction base="xs:string">
          <xs:whiteSpace value="collapse"/>
          <xs:maxLength value="64"/>
        </xs:restriction>
      </xs:simpleType>
      <xs:simpleType name="Str128">
        <xs:restriction base="xs:string">
          <xs:whiteSpace value="collapse"/>
          <xs:maxLength value="128"/>
        </xs:restriction>
      </xs:simpleType>
      <xs:simpleType name="Str256">
        <xs:restriction base="xs:string">
          <xs:whiteSpace value="collapse"/>
          <xs:maxLength value="256"/>
        </xs:restriction>
      </xs:simpleType>
      <xs:simpleType name="Str512">
        <xs:restriction base="xs:string">
          <xs:whiteSpace value="collapse"/>
          <xs:maxLength value="512"/>
        </xs:restriction>
      </xs:simpleType>
      <xs:simpleType name="Str1024">
        <xs:restriction base="xs:string">
          <xs:whiteSpace value="collapse"/>
          <xs:maxLength value="1024"/>
        </xs:restriction>
      </xs:simpleType>
      <xs:simpleType name="Str">
        <xs:union memberTypes="Str1 Str2 Str3 Str4 Str5 Str6 Str7 Str8 Str9 Str10 Str11 Str12 Str16 Str32 Str64 Str128 Str256 Str512 Str1024"/>
      </xs:simpleType>
      <xs:simpleType name="Str_List">
        <xs:list itemType="Str"/>
      </xs:simpleType>
      <xs:simpleType name="VLS_List">
        <xs:list itemType="VLS"/>
      </xs:simpleType>
      <xs:simpleType name="Dbl_List">
        <xs:list itemType="Dbl"/>
      </xs:simpleType>
      <xs:simpleType name="Int_List">
        <xs:list itemType="Int"/>
      </xs:simpleType>
      <xs:simpleType name="Lng_List">
        <xs:list itemType="Lng"/>
      </xs:simpleType>
      <xs:element name="RecordSet">
        <xs:complexType>
          <xs:sequence>
            <xs:element name="Record" maxOccurs="unbounded">
              <xs:complexType>
                <xs:sequence>
                  <xs:element name="sepal_length" type="Dbl" wds:DTyp="Dbl"/>
                  <xs:element name="sepal_width" type="Dbl" wds:DTyp="Dbl"/>
                  <xs:element name="petal_length" type="Dbl" wds:DTyp="Dbl"/>
                  <xs:element name="petal_width" type="Dbl" wds:DTyp="Dbl"/>
                  <xs:element name="class" type="VLS" wds:StringMaxLength="20"/>
                </xs:sequence>
              </xs:complexType>
            </xs:element>
          </xs:sequence>
        </xs:complexType>
      </xs:element>
    </xs:schema>
  </Schema>
  <Schema ID="Schema2">
    <xs:schema xmlns:xs="http://www.w3.org/2001/XMLSchema" xmlns:xi="http://www.w3.org/2001/XInclude" xmlns:wds="http://WDataSci.com" xmlns="" attributeFormDefault="unqualified" elementFormDefault="qualified">
      <xs:simpleType name="Nbr">
        <xs:union memberTypes="xs:decimal xs:integer xs:negativeInteger xs:nonNegativeInteger xs:positiveInteger xs:nonPositiveInteger xs:long xs:int xs:short xs:byte xs:unsignedLong xs:unsignedShort xs:unsignedInt xs:unsignedByte xs:float xs:double"/>
      </xs:simpleType>
      <xs:simpleType name="Dbl">
        <xs:union memberTypes="xs:decimal xs:long xs:int xs:short xs:byte xs:unsignedLong xs:unsignedShort xs:unsignedInt xs:unsignedByte xs:float xs:double"/>
      </xs:simpleType>
      <xs:simpleType name="Lng">
        <xs:union memberTypes="xs:long"/>
      </xs:simpleType>
      <xs:simpleType name="Int">
        <xs:union memberTypes="xs:integer xs:negativeInteger xs:nonNegativeInteger xs:positiveInteger xs:nonPositiveInteger xs:int xs:short xs:unsignedShort xs:unsignedInt"/>
      </xs:simpleType>
      <xs:simpleType name="VLS">
        <xs:union memberTypes="xs:token xs:NMTOKEN xs:normalizedString xs:string"/>
      </xs:simpleType>
      <xs:simpleType name="Str1">
        <xs:restriction base="xs:string">
          <xs:whiteSpace value="collapse"/>
          <xs:maxLength value="1"/>
        </xs:restriction>
      </xs:simpleType>
      <xs:simpleType name="Str2">
        <xs:restriction base="xs:string">
          <xs:whiteSpace value="collapse"/>
          <xs:maxLength value="2"/>
        </xs:restriction>
      </xs:simpleType>
      <xs:simpleType name="Str3">
        <xs:restriction base="xs:string">
          <xs:whiteSpace value="collapse"/>
          <xs:maxLength value="3"/>
        </xs:restriction>
      </xs:simpleType>
      <xs:simpleType name="Str4">
        <xs:restriction base="xs:string">
          <xs:whiteSpace value="collapse"/>
          <xs:maxLength value="4"/>
        </xs:restriction>
      </xs:simpleType>
      <xs:simpleType name="Str5">
        <xs:restriction base="xs:string">
          <xs:whiteSpace value="collapse"/>
          <xs:maxLength value="5"/>
        </xs:restriction>
      </xs:simpleType>
      <xs:simpleType name="Str6">
        <xs:restriction base="xs:string">
          <xs:whiteSpace value="collapse"/>
          <xs:maxLength value="6"/>
        </xs:restriction>
      </xs:simpleType>
      <xs:simpleType name="Str7">
        <xs:restriction base="xs:string">
          <xs:whiteSpace value="collapse"/>
          <xs:maxLength value="7"/>
        </xs:restriction>
      </xs:simpleType>
      <xs:simpleType name="Str8">
        <xs:restriction base="xs:string">
          <xs:whiteSpace value="collapse"/>
          <xs:maxLength value="8"/>
        </xs:restriction>
      </xs:simpleType>
      <xs:simpleType name="Str9">
        <xs:restriction base="xs:string">
          <xs:whiteSpace value="collapse"/>
          <xs:maxLength value="9"/>
        </xs:restriction>
      </xs:simpleType>
      <xs:simpleType name="Str10">
        <xs:restriction base="xs:string">
          <xs:whiteSpace value="collapse"/>
          <xs:maxLength value="10"/>
        </xs:restriction>
      </xs:simpleType>
      <xs:simpleType name="Str11">
        <xs:restriction base="xs:string">
          <xs:whiteSpace value="collapse"/>
          <xs:maxLength value="11"/>
        </xs:restriction>
      </xs:simpleType>
      <xs:simpleType name="Str12">
        <xs:restriction base="xs:string">
          <xs:whiteSpace value="collapse"/>
          <xs:maxLength value="12"/>
        </xs:restriction>
      </xs:simpleType>
      <xs:simpleType name="Str16">
        <xs:restriction base="xs:string">
          <xs:whiteSpace value="collapse"/>
          <xs:maxLength value="16"/>
        </xs:restriction>
      </xs:simpleType>
      <xs:simpleType name="Str32">
        <xs:restriction base="xs:string">
          <xs:whiteSpace value="collapse"/>
          <xs:maxLength value="32"/>
        </xs:restriction>
      </xs:simpleType>
      <xs:simpleType name="Str64">
        <xs:restriction base="xs:string">
          <xs:whiteSpace value="collapse"/>
          <xs:maxLength value="64"/>
        </xs:restriction>
      </xs:simpleType>
      <xs:simpleType name="Str128">
        <xs:restriction base="xs:string">
          <xs:whiteSpace value="collapse"/>
          <xs:maxLength value="128"/>
        </xs:restriction>
      </xs:simpleType>
      <xs:simpleType name="Str256">
        <xs:restriction base="xs:string">
          <xs:whiteSpace value="collapse"/>
          <xs:maxLength value="256"/>
        </xs:restriction>
      </xs:simpleType>
      <xs:simpleType name="Str512">
        <xs:restriction base="xs:string">
          <xs:whiteSpace value="collapse"/>
          <xs:maxLength value="512"/>
        </xs:restriction>
      </xs:simpleType>
      <xs:simpleType name="Str1024">
        <xs:restriction base="xs:string">
          <xs:whiteSpace value="collapse"/>
          <xs:maxLength value="1024"/>
        </xs:restriction>
      </xs:simpleType>
      <xs:simpleType name="Str">
        <xs:union memberTypes="Str1 Str2 Str3 Str4 Str5 Str6 Str7 Str8 Str9 Str10 Str11 Str12 Str16 Str32 Str64 Str128 Str256 Str512 Str1024"/>
      </xs:simpleType>
      <xs:simpleType name="Dbl_List">
        <xs:list itemType="Dbl"/>
      </xs:simpleType>
      <xs:simpleType name="Int_List">
        <xs:list itemType="Int"/>
      </xs:simpleType>
      <xs:simpleType name="Lng_List">
        <xs:list itemType="Lng"/>
      </xs:simpleType>
      <xs:simpleType name="VLS_List">
        <xs:list itemType="VLS"/>
      </xs:simpleType>
      <xs:simpleType name="Str_List">
        <xs:list itemType="Str"/>
      </xs:simpleType>
      <xs:element name="RecordSet">
        <xs:complexType>
          <xs:sequence>
            <xs:element name="Record" maxOccurs="unbounded">
              <xs:complexType>
                <xs:sequence>
                  <xs:element name="sepal_length" type="Dbl"/>
                  <xs:element name="sepal_width" type="Dbl"/>
                  <xs:element name="petal_length" type="Dbl"/>
                  <xs:element name="petal_width" type="Dbl"/>
                  <xs:element name="class" type="VLS"/>
                </xs:sequence>
              </xs:complexType>
            </xs:element>
          </xs:sequence>
        </xs:complexType>
      </xs:element>
    </xs:schema>
  </Schema>
  <Schema ID="Schema3">
    <xs:schema xmlns:xs="http://www.w3.org/2001/XMLSchema" xmlns:xi="http://www.w3.org/2001/XInclude" xmlns:wds="https://github.com/wdatasci/WDS-ModelSpec" xmlns="" attributeFormDefault="unqualified" elementFormDefault="qualified">
      <xs:simpleType name="Nbr">
        <xs:union memberTypes="xs:decimal xs:integer xs:negativeInteger xs:nonNegativeInteger xs:positiveInteger xs:nonPositiveInteger xs:long xs:int xs:short xs:byte xs:unsignedLong xs:unsignedShort xs:unsignedInt xs:unsignedByte xs:float xs:double"/>
      </xs:simpleType>
      <xs:simpleType name="Dbl">
        <xs:union memberTypes="xs:decimal xs:long xs:int xs:short xs:byte xs:unsignedLong xs:unsignedShort xs:unsignedInt xs:unsignedByte xs:float xs:double"/>
      </xs:simpleType>
      <xs:simpleType name="Lng">
        <xs:union memberTypes="xs:long"/>
      </xs:simpleType>
      <xs:simpleType name="Int">
        <xs:union memberTypes="xs:integer xs:negativeInteger xs:nonNegativeInteger xs:positiveInteger xs:nonPositiveInteger xs:int xs:short xs:unsignedShort xs:unsignedInt"/>
      </xs:simpleType>
      <xs:simpleType name="VLS">
        <xs:union memberTypes="xs:token xs:NMTOKEN xs:normalizedString xs:string"/>
      </xs:simpleType>
      <xs:simpleType name="Str1">
        <xs:restriction base="xs:string">
          <xs:whiteSpace value="collapse"/>
          <xs:maxLength value="1"/>
        </xs:restriction>
      </xs:simpleType>
      <xs:simpleType name="Str2">
        <xs:restriction base="xs:string">
          <xs:whiteSpace value="collapse"/>
          <xs:maxLength value="2"/>
        </xs:restriction>
      </xs:simpleType>
      <xs:simpleType name="Str3">
        <xs:restriction base="xs:string">
          <xs:whiteSpace value="collapse"/>
          <xs:maxLength value="3"/>
        </xs:restriction>
      </xs:simpleType>
      <xs:simpleType name="Str4">
        <xs:restriction base="xs:string">
          <xs:whiteSpace value="collapse"/>
          <xs:maxLength value="4"/>
        </xs:restriction>
      </xs:simpleType>
      <xs:simpleType name="Str5">
        <xs:restriction base="xs:string">
          <xs:whiteSpace value="collapse"/>
          <xs:maxLength value="5"/>
        </xs:restriction>
      </xs:simpleType>
      <xs:simpleType name="Str6">
        <xs:restriction base="xs:string">
          <xs:whiteSpace value="collapse"/>
          <xs:maxLength value="6"/>
        </xs:restriction>
      </xs:simpleType>
      <xs:simpleType name="Str7">
        <xs:restriction base="xs:string">
          <xs:whiteSpace value="collapse"/>
          <xs:maxLength value="7"/>
        </xs:restriction>
      </xs:simpleType>
      <xs:simpleType name="Str8">
        <xs:restriction base="xs:string">
          <xs:whiteSpace value="collapse"/>
          <xs:maxLength value="8"/>
        </xs:restriction>
      </xs:simpleType>
      <xs:simpleType name="Str9">
        <xs:restriction base="xs:string">
          <xs:whiteSpace value="collapse"/>
          <xs:maxLength value="9"/>
        </xs:restriction>
      </xs:simpleType>
      <xs:simpleType name="Str10">
        <xs:restriction base="xs:string">
          <xs:whiteSpace value="collapse"/>
          <xs:maxLength value="10"/>
        </xs:restriction>
      </xs:simpleType>
      <xs:simpleType name="Str11">
        <xs:restriction base="xs:string">
          <xs:whiteSpace value="collapse"/>
          <xs:maxLength value="11"/>
        </xs:restriction>
      </xs:simpleType>
      <xs:simpleType name="Str12">
        <xs:restriction base="xs:string">
          <xs:whiteSpace value="collapse"/>
          <xs:maxLength value="12"/>
        </xs:restriction>
      </xs:simpleType>
      <xs:simpleType name="Str16">
        <xs:restriction base="xs:string">
          <xs:whiteSpace value="collapse"/>
          <xs:maxLength value="16"/>
        </xs:restriction>
      </xs:simpleType>
      <xs:simpleType name="Str32">
        <xs:restriction base="xs:string">
          <xs:whiteSpace value="collapse"/>
          <xs:maxLength value="32"/>
        </xs:restriction>
      </xs:simpleType>
      <xs:simpleType name="Str64">
        <xs:restriction base="xs:string">
          <xs:whiteSpace value="collapse"/>
          <xs:maxLength value="64"/>
        </xs:restriction>
      </xs:simpleType>
      <xs:simpleType name="Str128">
        <xs:restriction base="xs:string">
          <xs:whiteSpace value="collapse"/>
          <xs:maxLength value="128"/>
        </xs:restriction>
      </xs:simpleType>
      <xs:simpleType name="Str256">
        <xs:restriction base="xs:string">
          <xs:whiteSpace value="collapse"/>
          <xs:maxLength value="256"/>
        </xs:restriction>
      </xs:simpleType>
      <xs:simpleType name="Str512">
        <xs:restriction base="xs:string">
          <xs:whiteSpace value="collapse"/>
          <xs:maxLength value="512"/>
        </xs:restriction>
      </xs:simpleType>
      <xs:simpleType name="Str1024">
        <xs:restriction base="xs:string">
          <xs:whiteSpace value="collapse"/>
          <xs:maxLength value="1024"/>
        </xs:restriction>
      </xs:simpleType>
      <xs:simpleType name="Str">
        <xs:union memberTypes="Str1 Str2 Str3 Str4 Str5 Str6 Str7 Str8 Str9 Str10 Str11 Str12 Str16 Str32 Str64 Str128 Str256 Str512 Str1024"/>
      </xs:simpleType>
      <xs:simpleType name="Str_List">
        <xs:list itemType="Str"/>
      </xs:simpleType>
      <xs:simpleType name="VLS_List">
        <xs:list itemType="VLS"/>
      </xs:simpleType>
      <xs:simpleType name="Dbl_List">
        <xs:list itemType="Dbl"/>
      </xs:simpleType>
      <xs:simpleType name="Int_List">
        <xs:list itemType="Int"/>
      </xs:simpleType>
      <xs:simpleType name="Lng_List">
        <xs:list itemType="Lng"/>
      </xs:simpleType>
      <xs:element name="RecordSet">
        <xs:complexType>
          <xs:sequence>
            <xs:element name="Record" maxOccurs="unbounded">
              <xs:complexType>
                <xs:sequence>
                  <xs:element name="sepal_length" type="Dbl" wds:DTyp="Dbl"/>
                  <xs:element name="sepal_width" type="Dbl" wds:DTyp="Dbl"/>
                  <xs:element name="petal_length" type="Dbl" wds:DTyp="Dbl"/>
                  <xs:element name="petal_width" type="Dbl" wds:DTyp="Dbl"/>
                  <xs:element name="class" type="VLS" wds:StringMaxLength="20"/>
                </xs:sequence>
              </xs:complexType>
            </xs:element>
          </xs:sequence>
        </xs:complexType>
      </xs:element>
    </xs:schema>
  </Schema>
  <Schema ID="Schema4">
    <xs:schema xmlns:xs="http://www.w3.org/2001/XMLSchema" xmlns:xi="http://www.w3.org/2001/XInclude" xmlns:wds="http://WDataSci.com" xmlns="" attributeFormDefault="unqualified" elementFormDefault="qualified">
      <xs:simpleType name="Nbr">
        <xs:union memberTypes="xs:decimal xs:integer xs:negativeInteger xs:nonNegativeInteger xs:positiveInteger xs:nonPositiveInteger xs:long xs:int xs:short xs:byte xs:unsignedLong xs:unsignedShort xs:unsignedInt xs:unsignedByte xs:float xs:double"/>
      </xs:simpleType>
      <xs:simpleType name="Dbl">
        <xs:union memberTypes="xs:decimal xs:long xs:int xs:short xs:byte xs:unsignedLong xs:unsignedShort xs:unsignedInt xs:unsignedByte xs:float xs:double"/>
      </xs:simpleType>
      <xs:simpleType name="Lng">
        <xs:union memberTypes="xs:long"/>
      </xs:simpleType>
      <xs:simpleType name="Int">
        <xs:union memberTypes="xs:integer xs:negativeInteger xs:nonNegativeInteger xs:positiveInteger xs:nonPositiveInteger xs:int xs:short xs:unsignedShort xs:unsignedInt"/>
      </xs:simpleType>
      <xs:simpleType name="VLS">
        <xs:union memberTypes="xs:token xs:NMTOKEN xs:normalizedString xs:string"/>
      </xs:simpleType>
      <xs:simpleType name="Str1">
        <xs:restriction base="xs:string">
          <xs:whiteSpace value="collapse"/>
          <xs:maxLength value="1"/>
        </xs:restriction>
      </xs:simpleType>
      <xs:simpleType name="Str2">
        <xs:restriction base="xs:string">
          <xs:whiteSpace value="collapse"/>
          <xs:maxLength value="2"/>
        </xs:restriction>
      </xs:simpleType>
      <xs:simpleType name="Str3">
        <xs:restriction base="xs:string">
          <xs:whiteSpace value="collapse"/>
          <xs:maxLength value="3"/>
        </xs:restriction>
      </xs:simpleType>
      <xs:simpleType name="Str4">
        <xs:restriction base="xs:string">
          <xs:whiteSpace value="collapse"/>
          <xs:maxLength value="4"/>
        </xs:restriction>
      </xs:simpleType>
      <xs:simpleType name="Str5">
        <xs:restriction base="xs:string">
          <xs:whiteSpace value="collapse"/>
          <xs:maxLength value="5"/>
        </xs:restriction>
      </xs:simpleType>
      <xs:simpleType name="Str6">
        <xs:restriction base="xs:string">
          <xs:whiteSpace value="collapse"/>
          <xs:maxLength value="6"/>
        </xs:restriction>
      </xs:simpleType>
      <xs:simpleType name="Str7">
        <xs:restriction base="xs:string">
          <xs:whiteSpace value="collapse"/>
          <xs:maxLength value="7"/>
        </xs:restriction>
      </xs:simpleType>
      <xs:simpleType name="Str8">
        <xs:restriction base="xs:string">
          <xs:whiteSpace value="collapse"/>
          <xs:maxLength value="8"/>
        </xs:restriction>
      </xs:simpleType>
      <xs:simpleType name="Str9">
        <xs:restriction base="xs:string">
          <xs:whiteSpace value="collapse"/>
          <xs:maxLength value="9"/>
        </xs:restriction>
      </xs:simpleType>
      <xs:simpleType name="Str10">
        <xs:restriction base="xs:string">
          <xs:whiteSpace value="collapse"/>
          <xs:maxLength value="10"/>
        </xs:restriction>
      </xs:simpleType>
      <xs:simpleType name="Str11">
        <xs:restriction base="xs:string">
          <xs:whiteSpace value="collapse"/>
          <xs:maxLength value="11"/>
        </xs:restriction>
      </xs:simpleType>
      <xs:simpleType name="Str12">
        <xs:restriction base="xs:string">
          <xs:whiteSpace value="collapse"/>
          <xs:maxLength value="12"/>
        </xs:restriction>
      </xs:simpleType>
      <xs:simpleType name="Str16">
        <xs:restriction base="xs:string">
          <xs:whiteSpace value="collapse"/>
          <xs:maxLength value="16"/>
        </xs:restriction>
      </xs:simpleType>
      <xs:simpleType name="Str32">
        <xs:restriction base="xs:string">
          <xs:whiteSpace value="collapse"/>
          <xs:maxLength value="32"/>
        </xs:restriction>
      </xs:simpleType>
      <xs:simpleType name="Str64">
        <xs:restriction base="xs:string">
          <xs:whiteSpace value="collapse"/>
          <xs:maxLength value="64"/>
        </xs:restriction>
      </xs:simpleType>
      <xs:simpleType name="Str128">
        <xs:restriction base="xs:string">
          <xs:whiteSpace value="collapse"/>
          <xs:maxLength value="128"/>
        </xs:restriction>
      </xs:simpleType>
      <xs:simpleType name="Str256">
        <xs:restriction base="xs:string">
          <xs:whiteSpace value="collapse"/>
          <xs:maxLength value="256"/>
        </xs:restriction>
      </xs:simpleType>
      <xs:simpleType name="Str512">
        <xs:restriction base="xs:string">
          <xs:whiteSpace value="collapse"/>
          <xs:maxLength value="512"/>
        </xs:restriction>
      </xs:simpleType>
      <xs:simpleType name="Str1024">
        <xs:restriction base="xs:string">
          <xs:whiteSpace value="collapse"/>
          <xs:maxLength value="1024"/>
        </xs:restriction>
      </xs:simpleType>
      <xs:simpleType name="Str">
        <xs:union memberTypes="Str1 Str2 Str3 Str4 Str5 Str6 Str7 Str8 Str9 Str10 Str11 Str12 Str16 Str32 Str64 Str128 Str256 Str512 Str1024"/>
      </xs:simpleType>
      <xs:simpleType name="Dbl_List">
        <xs:list itemType="Dbl"/>
      </xs:simpleType>
      <xs:simpleType name="Int_List">
        <xs:list itemType="Int"/>
      </xs:simpleType>
      <xs:simpleType name="Lng_List">
        <xs:list itemType="Lng"/>
      </xs:simpleType>
      <xs:simpleType name="VLS_List">
        <xs:list itemType="VLS"/>
      </xs:simpleType>
      <xs:simpleType name="Str_List">
        <xs:list itemType="Str"/>
      </xs:simpleType>
      <xs:element name="RecordSet">
        <xs:complexType>
          <xs:sequence>
            <xs:element name="Record" maxOccurs="unbounded">
              <xs:complexType>
                <xs:sequence>
                  <xs:element name="ID" type="Int"/>
                  <xs:element name="Age" type="Int"/>
                  <xs:element name="Employment" type="VLS"/>
                  <xs:element name="Education" type="VLS"/>
                  <xs:element name="Marital" type="VLS"/>
                  <xs:element name="Occupation" type="VLS"/>
                  <xs:element name="Income" type="Dbl"/>
                  <xs:element name="Gender" type="VLS"/>
                  <xs:element name="Deductions" type="Dbl"/>
                  <xs:element name="Hours" type="Int"/>
                  <xs:element name="IGNORE_Accounts" type="VLS"/>
                  <xs:element name="RISK_Adjustment" type="Int"/>
                  <xs:element name="TARGET_Adjusted" type="Int"/>
                </xs:sequence>
              </xs:complexType>
            </xs:element>
          </xs:sequence>
        </xs:complexType>
      </xs:element>
    </xs:schema>
  </Schema>
  <Schema ID="Schema5">
    <xs:schema xmlns:xs="http://www.w3.org/2001/XMLSchema" xmlns:xi="http://www.w3.org/2001/XInclude" xmlns:wds="http://WDataSci.com" xmlns="" attributeFormDefault="unqualified" elementFormDefault="qualified">
      <xs:simpleType name="Nbr">
        <xs:union memberTypes="xs:decimal xs:integer xs:negativeInteger xs:nonNegativeInteger xs:positiveInteger xs:nonPositiveInteger xs:long xs:int xs:short xs:byte xs:unsignedLong xs:unsignedShort xs:unsignedInt xs:unsignedByte xs:float xs:double"/>
      </xs:simpleType>
      <xs:simpleType name="Dbl">
        <xs:union memberTypes="xs:decimal xs:long xs:int xs:short xs:byte xs:unsignedLong xs:unsignedShort xs:unsignedInt xs:unsignedByte xs:float xs:double"/>
      </xs:simpleType>
      <xs:simpleType name="Lng">
        <xs:union memberTypes="xs:long"/>
      </xs:simpleType>
      <xs:simpleType name="Int">
        <xs:union memberTypes="xs:integer xs:negativeInteger xs:nonNegativeInteger xs:positiveInteger xs:nonPositiveInteger xs:int xs:short xs:unsignedShort xs:unsignedInt"/>
      </xs:simpleType>
      <xs:simpleType name="VLS">
        <xs:union memberTypes="xs:token xs:NMTOKEN xs:normalizedString xs:string"/>
      </xs:simpleType>
      <xs:simpleType name="Str1">
        <xs:restriction base="xs:string">
          <xs:whiteSpace value="collapse"/>
          <xs:maxLength value="1"/>
        </xs:restriction>
      </xs:simpleType>
      <xs:simpleType name="Str2">
        <xs:restriction base="xs:string">
          <xs:whiteSpace value="collapse"/>
          <xs:maxLength value="2"/>
        </xs:restriction>
      </xs:simpleType>
      <xs:simpleType name="Str3">
        <xs:restriction base="xs:string">
          <xs:whiteSpace value="collapse"/>
          <xs:maxLength value="3"/>
        </xs:restriction>
      </xs:simpleType>
      <xs:simpleType name="Str4">
        <xs:restriction base="xs:string">
          <xs:whiteSpace value="collapse"/>
          <xs:maxLength value="4"/>
        </xs:restriction>
      </xs:simpleType>
      <xs:simpleType name="Str5">
        <xs:restriction base="xs:string">
          <xs:whiteSpace value="collapse"/>
          <xs:maxLength value="5"/>
        </xs:restriction>
      </xs:simpleType>
      <xs:simpleType name="Str6">
        <xs:restriction base="xs:string">
          <xs:whiteSpace value="collapse"/>
          <xs:maxLength value="6"/>
        </xs:restriction>
      </xs:simpleType>
      <xs:simpleType name="Str7">
        <xs:restriction base="xs:string">
          <xs:whiteSpace value="collapse"/>
          <xs:maxLength value="7"/>
        </xs:restriction>
      </xs:simpleType>
      <xs:simpleType name="Str8">
        <xs:restriction base="xs:string">
          <xs:whiteSpace value="collapse"/>
          <xs:maxLength value="8"/>
        </xs:restriction>
      </xs:simpleType>
      <xs:simpleType name="Str9">
        <xs:restriction base="xs:string">
          <xs:whiteSpace value="collapse"/>
          <xs:maxLength value="9"/>
        </xs:restriction>
      </xs:simpleType>
      <xs:simpleType name="Str10">
        <xs:restriction base="xs:string">
          <xs:whiteSpace value="collapse"/>
          <xs:maxLength value="10"/>
        </xs:restriction>
      </xs:simpleType>
      <xs:simpleType name="Str11">
        <xs:restriction base="xs:string">
          <xs:whiteSpace value="collapse"/>
          <xs:maxLength value="11"/>
        </xs:restriction>
      </xs:simpleType>
      <xs:simpleType name="Str12">
        <xs:restriction base="xs:string">
          <xs:whiteSpace value="collapse"/>
          <xs:maxLength value="12"/>
        </xs:restriction>
      </xs:simpleType>
      <xs:simpleType name="Str16">
        <xs:restriction base="xs:string">
          <xs:whiteSpace value="collapse"/>
          <xs:maxLength value="16"/>
        </xs:restriction>
      </xs:simpleType>
      <xs:simpleType name="Str32">
        <xs:restriction base="xs:string">
          <xs:whiteSpace value="collapse"/>
          <xs:maxLength value="32"/>
        </xs:restriction>
      </xs:simpleType>
      <xs:simpleType name="Str64">
        <xs:restriction base="xs:string">
          <xs:whiteSpace value="collapse"/>
          <xs:maxLength value="64"/>
        </xs:restriction>
      </xs:simpleType>
      <xs:simpleType name="Str128">
        <xs:restriction base="xs:string">
          <xs:whiteSpace value="collapse"/>
          <xs:maxLength value="128"/>
        </xs:restriction>
      </xs:simpleType>
      <xs:simpleType name="Str256">
        <xs:restriction base="xs:string">
          <xs:whiteSpace value="collapse"/>
          <xs:maxLength value="256"/>
        </xs:restriction>
      </xs:simpleType>
      <xs:simpleType name="Str512">
        <xs:restriction base="xs:string">
          <xs:whiteSpace value="collapse"/>
          <xs:maxLength value="512"/>
        </xs:restriction>
      </xs:simpleType>
      <xs:simpleType name="Str1024">
        <xs:restriction base="xs:string">
          <xs:whiteSpace value="collapse"/>
          <xs:maxLength value="1024"/>
        </xs:restriction>
      </xs:simpleType>
      <xs:simpleType name="Str">
        <xs:union memberTypes="Str1 Str2 Str3 Str4 Str5 Str6 Str7 Str8 Str9 Str10 Str11 Str12 Str16 Str32 Str64 Str128 Str256 Str512 Str1024"/>
      </xs:simpleType>
      <xs:simpleType name="Dbl_List">
        <xs:list itemType="Dbl"/>
      </xs:simpleType>
      <xs:simpleType name="Int_List">
        <xs:list itemType="Int"/>
      </xs:simpleType>
      <xs:simpleType name="Lng_List">
        <xs:list itemType="Lng"/>
      </xs:simpleType>
      <xs:simpleType name="VLS_List">
        <xs:list itemType="VLS"/>
      </xs:simpleType>
      <xs:simpleType name="Str_List">
        <xs:list itemType="Str"/>
      </xs:simpleType>
      <xs:element name="RecordSet">
        <xs:complexType>
          <xs:sequence>
            <xs:element name="Record" maxOccurs="unbounded">
              <xs:complexType>
                <xs:sequence>
                  <xs:element name="ID" type="Int"/>
                  <xs:element name="x" type="VLS"/>
                  <xs:element name="y" type="Int"/>
                  <xs:element name="Hey" type="Dbl"/>
                </xs:sequence>
              </xs:complexType>
            </xs:element>
          </xs:sequence>
        </xs:complexType>
      </xs:element>
    </xs:schema>
  </Schema>
  <Map ID="30" Name="RecordSet_Map" RootElement="RecordSet" SchemaID="Schema1" ShowImportExportValidationErrors="false" AutoFit="true" Append="false" PreserveSortAFLayout="true" PreserveFormat="true"/>
  <Map ID="31" Name="RecordSet_Map1" RootElement="RecordSet" SchemaID="Schema2" ShowImportExportValidationErrors="false" AutoFit="true" Append="false" PreserveSortAFLayout="true" PreserveFormat="true"/>
  <Map ID="32" Name="RecordSet_Map2" RootElement="RecordSet" SchemaID="Schema3" ShowImportExportValidationErrors="false" AutoFit="true" Append="false" PreserveSortAFLayout="true" PreserveFormat="true"/>
  <Map ID="33" Name="RecordSet_Map3" RootElement="RecordSet" SchemaID="Schema4" ShowImportExportValidationErrors="false" AutoFit="true" Append="false" PreserveSortAFLayout="true" PreserveFormat="true"/>
  <Map ID="35" Name="RecordSet_Map4" RootElement="RecordSet" SchemaID="Schema5"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volatileDependencies" Target="volatileDependenci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ArtificialTreatments!$C$1</c:f>
          <c:strCache>
            <c:ptCount val="1"/>
            <c:pt idx="0">
              <c:v>Hats Test, CVs={-9,-3,3,4,5,6}, CLs={-100,9.7}</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ArtificialTreatments!$F$20</c:f>
              <c:strCache>
                <c:ptCount val="1"/>
                <c:pt idx="0">
                  <c:v>X0</c:v>
                </c:pt>
              </c:strCache>
            </c:strRef>
          </c:tx>
          <c:spPr>
            <a:ln w="19050" cap="rnd">
              <a:solidFill>
                <a:schemeClr val="accent1"/>
              </a:solidFill>
              <a:round/>
            </a:ln>
            <a:effectLst/>
          </c:spPr>
          <c:marker>
            <c:symbol val="none"/>
          </c:marker>
          <c:xVal>
            <c:numRef>
              <c:f>ArtificialTreatments!$B$21:$B$241</c:f>
              <c:numCache>
                <c:formatCode>General</c:formatCode>
                <c:ptCount val="221"/>
                <c:pt idx="0">
                  <c:v>-11</c:v>
                </c:pt>
                <c:pt idx="1">
                  <c:v>-10.9</c:v>
                </c:pt>
                <c:pt idx="2">
                  <c:v>-10.8</c:v>
                </c:pt>
                <c:pt idx="3">
                  <c:v>-10.700000000000001</c:v>
                </c:pt>
                <c:pt idx="4">
                  <c:v>-10.600000000000001</c:v>
                </c:pt>
                <c:pt idx="5">
                  <c:v>-10.500000000000002</c:v>
                </c:pt>
                <c:pt idx="6">
                  <c:v>-10.400000000000002</c:v>
                </c:pt>
                <c:pt idx="7">
                  <c:v>-10.300000000000002</c:v>
                </c:pt>
                <c:pt idx="8">
                  <c:v>-10.200000000000003</c:v>
                </c:pt>
                <c:pt idx="9">
                  <c:v>-10.100000000000003</c:v>
                </c:pt>
                <c:pt idx="10">
                  <c:v>-10.000000000000004</c:v>
                </c:pt>
                <c:pt idx="11">
                  <c:v>-9.9000000000000039</c:v>
                </c:pt>
                <c:pt idx="12">
                  <c:v>-9.8000000000000043</c:v>
                </c:pt>
                <c:pt idx="13">
                  <c:v>-9.7000000000000046</c:v>
                </c:pt>
                <c:pt idx="14">
                  <c:v>-9.600000000000005</c:v>
                </c:pt>
                <c:pt idx="15">
                  <c:v>-9.5000000000000053</c:v>
                </c:pt>
                <c:pt idx="16">
                  <c:v>-9.4000000000000057</c:v>
                </c:pt>
                <c:pt idx="17">
                  <c:v>-9.300000000000006</c:v>
                </c:pt>
                <c:pt idx="18">
                  <c:v>-9.2000000000000064</c:v>
                </c:pt>
                <c:pt idx="19">
                  <c:v>-9.1000000000000068</c:v>
                </c:pt>
                <c:pt idx="20">
                  <c:v>-9.0000000000000071</c:v>
                </c:pt>
                <c:pt idx="21">
                  <c:v>-8.9000000000000075</c:v>
                </c:pt>
                <c:pt idx="22">
                  <c:v>-8.8000000000000078</c:v>
                </c:pt>
                <c:pt idx="23">
                  <c:v>-8.7000000000000082</c:v>
                </c:pt>
                <c:pt idx="24">
                  <c:v>-8.6000000000000085</c:v>
                </c:pt>
                <c:pt idx="25">
                  <c:v>-8.5000000000000089</c:v>
                </c:pt>
                <c:pt idx="26">
                  <c:v>-8.4000000000000092</c:v>
                </c:pt>
                <c:pt idx="27">
                  <c:v>-8.3000000000000096</c:v>
                </c:pt>
                <c:pt idx="28">
                  <c:v>-8.2000000000000099</c:v>
                </c:pt>
                <c:pt idx="29">
                  <c:v>-8.1000000000000103</c:v>
                </c:pt>
                <c:pt idx="30">
                  <c:v>-8.0000000000000107</c:v>
                </c:pt>
                <c:pt idx="31">
                  <c:v>-7.900000000000011</c:v>
                </c:pt>
                <c:pt idx="32">
                  <c:v>-7.8000000000000114</c:v>
                </c:pt>
                <c:pt idx="33">
                  <c:v>-7.7000000000000117</c:v>
                </c:pt>
                <c:pt idx="34">
                  <c:v>-7.6000000000000121</c:v>
                </c:pt>
                <c:pt idx="35">
                  <c:v>-7.5000000000000124</c:v>
                </c:pt>
                <c:pt idx="36">
                  <c:v>-7.4000000000000128</c:v>
                </c:pt>
                <c:pt idx="37">
                  <c:v>-7.3000000000000131</c:v>
                </c:pt>
                <c:pt idx="38">
                  <c:v>-7.2000000000000135</c:v>
                </c:pt>
                <c:pt idx="39">
                  <c:v>-7.1000000000000139</c:v>
                </c:pt>
                <c:pt idx="40">
                  <c:v>-7.0000000000000142</c:v>
                </c:pt>
                <c:pt idx="41">
                  <c:v>-6.9000000000000146</c:v>
                </c:pt>
                <c:pt idx="42">
                  <c:v>-6.8000000000000149</c:v>
                </c:pt>
                <c:pt idx="43">
                  <c:v>-6.7000000000000153</c:v>
                </c:pt>
                <c:pt idx="44">
                  <c:v>-6.6000000000000156</c:v>
                </c:pt>
                <c:pt idx="45">
                  <c:v>-6.500000000000016</c:v>
                </c:pt>
                <c:pt idx="46">
                  <c:v>-6.4000000000000163</c:v>
                </c:pt>
                <c:pt idx="47">
                  <c:v>-6.3000000000000167</c:v>
                </c:pt>
                <c:pt idx="48">
                  <c:v>-6.2000000000000171</c:v>
                </c:pt>
                <c:pt idx="49">
                  <c:v>-6.1000000000000174</c:v>
                </c:pt>
                <c:pt idx="50">
                  <c:v>-6.0000000000000178</c:v>
                </c:pt>
                <c:pt idx="51">
                  <c:v>-5.9000000000000181</c:v>
                </c:pt>
                <c:pt idx="52">
                  <c:v>-5.8000000000000185</c:v>
                </c:pt>
                <c:pt idx="53">
                  <c:v>-5.7000000000000188</c:v>
                </c:pt>
                <c:pt idx="54">
                  <c:v>-5.6000000000000192</c:v>
                </c:pt>
                <c:pt idx="55">
                  <c:v>-5.5000000000000195</c:v>
                </c:pt>
                <c:pt idx="56">
                  <c:v>-5.4000000000000199</c:v>
                </c:pt>
                <c:pt idx="57">
                  <c:v>-5.3000000000000203</c:v>
                </c:pt>
                <c:pt idx="58">
                  <c:v>-5.2000000000000206</c:v>
                </c:pt>
                <c:pt idx="59">
                  <c:v>-5.100000000000021</c:v>
                </c:pt>
                <c:pt idx="60">
                  <c:v>-5.0000000000000213</c:v>
                </c:pt>
                <c:pt idx="61">
                  <c:v>-4.9000000000000217</c:v>
                </c:pt>
                <c:pt idx="62">
                  <c:v>-4.800000000000022</c:v>
                </c:pt>
                <c:pt idx="63">
                  <c:v>-4.7000000000000224</c:v>
                </c:pt>
                <c:pt idx="64">
                  <c:v>-4.6000000000000227</c:v>
                </c:pt>
                <c:pt idx="65">
                  <c:v>-4.5000000000000231</c:v>
                </c:pt>
                <c:pt idx="66">
                  <c:v>-4.4000000000000234</c:v>
                </c:pt>
                <c:pt idx="67">
                  <c:v>-4.3000000000000238</c:v>
                </c:pt>
                <c:pt idx="68">
                  <c:v>-4.2000000000000242</c:v>
                </c:pt>
                <c:pt idx="69">
                  <c:v>-4.1000000000000245</c:v>
                </c:pt>
                <c:pt idx="70">
                  <c:v>-4.0000000000000249</c:v>
                </c:pt>
                <c:pt idx="71">
                  <c:v>-3.9000000000000248</c:v>
                </c:pt>
                <c:pt idx="72">
                  <c:v>-3.8000000000000247</c:v>
                </c:pt>
                <c:pt idx="73">
                  <c:v>-3.7000000000000246</c:v>
                </c:pt>
                <c:pt idx="74">
                  <c:v>-3.6000000000000245</c:v>
                </c:pt>
                <c:pt idx="75">
                  <c:v>-3.5000000000000244</c:v>
                </c:pt>
                <c:pt idx="76">
                  <c:v>-3.4000000000000243</c:v>
                </c:pt>
                <c:pt idx="77">
                  <c:v>-3.3000000000000242</c:v>
                </c:pt>
                <c:pt idx="78">
                  <c:v>-3.2000000000000242</c:v>
                </c:pt>
                <c:pt idx="79">
                  <c:v>-3.1000000000000241</c:v>
                </c:pt>
                <c:pt idx="80">
                  <c:v>-3.000000000000024</c:v>
                </c:pt>
                <c:pt idx="81">
                  <c:v>-2.9000000000000239</c:v>
                </c:pt>
                <c:pt idx="82">
                  <c:v>-2.8000000000000238</c:v>
                </c:pt>
                <c:pt idx="83">
                  <c:v>-2.7000000000000237</c:v>
                </c:pt>
                <c:pt idx="84">
                  <c:v>-2.6000000000000236</c:v>
                </c:pt>
                <c:pt idx="85">
                  <c:v>-2.5000000000000235</c:v>
                </c:pt>
                <c:pt idx="86">
                  <c:v>-2.4000000000000234</c:v>
                </c:pt>
                <c:pt idx="87">
                  <c:v>-2.3000000000000234</c:v>
                </c:pt>
                <c:pt idx="88">
                  <c:v>-2.2000000000000233</c:v>
                </c:pt>
                <c:pt idx="89">
                  <c:v>-2.1000000000000232</c:v>
                </c:pt>
                <c:pt idx="90">
                  <c:v>-2.0000000000000231</c:v>
                </c:pt>
                <c:pt idx="91">
                  <c:v>-1.900000000000023</c:v>
                </c:pt>
                <c:pt idx="92">
                  <c:v>-1.8000000000000229</c:v>
                </c:pt>
                <c:pt idx="93">
                  <c:v>-1.7000000000000228</c:v>
                </c:pt>
                <c:pt idx="94">
                  <c:v>-1.6000000000000227</c:v>
                </c:pt>
                <c:pt idx="95">
                  <c:v>-1.5000000000000226</c:v>
                </c:pt>
                <c:pt idx="96">
                  <c:v>-1.4000000000000226</c:v>
                </c:pt>
                <c:pt idx="97">
                  <c:v>-1.3000000000000225</c:v>
                </c:pt>
                <c:pt idx="98">
                  <c:v>-1.2000000000000224</c:v>
                </c:pt>
                <c:pt idx="99">
                  <c:v>-1.1000000000000223</c:v>
                </c:pt>
                <c:pt idx="100">
                  <c:v>-1.0000000000000222</c:v>
                </c:pt>
                <c:pt idx="101">
                  <c:v>-0.90000000000002223</c:v>
                </c:pt>
                <c:pt idx="102">
                  <c:v>-0.80000000000002225</c:v>
                </c:pt>
                <c:pt idx="103">
                  <c:v>-0.70000000000002227</c:v>
                </c:pt>
                <c:pt idx="104">
                  <c:v>-0.60000000000002229</c:v>
                </c:pt>
                <c:pt idx="105">
                  <c:v>-0.50000000000002232</c:v>
                </c:pt>
                <c:pt idx="106">
                  <c:v>-0.40000000000002234</c:v>
                </c:pt>
                <c:pt idx="107">
                  <c:v>-0.30000000000002236</c:v>
                </c:pt>
                <c:pt idx="108">
                  <c:v>-0.20000000000002235</c:v>
                </c:pt>
                <c:pt idx="109">
                  <c:v>-0.10000000000002235</c:v>
                </c:pt>
                <c:pt idx="110">
                  <c:v>-2.2343238370581275E-14</c:v>
                </c:pt>
                <c:pt idx="111">
                  <c:v>9.9999999999977662E-2</c:v>
                </c:pt>
                <c:pt idx="112">
                  <c:v>0.19999999999997767</c:v>
                </c:pt>
                <c:pt idx="113">
                  <c:v>0.29999999999997767</c:v>
                </c:pt>
                <c:pt idx="114">
                  <c:v>0.39999999999997771</c:v>
                </c:pt>
                <c:pt idx="115">
                  <c:v>0.49999999999997768</c:v>
                </c:pt>
                <c:pt idx="116">
                  <c:v>0.59999999999997766</c:v>
                </c:pt>
                <c:pt idx="117">
                  <c:v>0.69999999999997764</c:v>
                </c:pt>
                <c:pt idx="118">
                  <c:v>0.79999999999997762</c:v>
                </c:pt>
                <c:pt idx="119">
                  <c:v>0.8999999999999776</c:v>
                </c:pt>
                <c:pt idx="120">
                  <c:v>0.99999999999997757</c:v>
                </c:pt>
                <c:pt idx="121">
                  <c:v>1.0999999999999777</c:v>
                </c:pt>
                <c:pt idx="122">
                  <c:v>1.1999999999999778</c:v>
                </c:pt>
                <c:pt idx="123">
                  <c:v>1.2999999999999778</c:v>
                </c:pt>
                <c:pt idx="124">
                  <c:v>1.3999999999999779</c:v>
                </c:pt>
                <c:pt idx="125">
                  <c:v>1.499999999999978</c:v>
                </c:pt>
                <c:pt idx="126">
                  <c:v>1.5999999999999781</c:v>
                </c:pt>
                <c:pt idx="127">
                  <c:v>1.6999999999999782</c:v>
                </c:pt>
                <c:pt idx="128">
                  <c:v>1.7999999999999783</c:v>
                </c:pt>
                <c:pt idx="129">
                  <c:v>1.8999999999999784</c:v>
                </c:pt>
                <c:pt idx="130">
                  <c:v>1.9999999999999785</c:v>
                </c:pt>
                <c:pt idx="131">
                  <c:v>2.0999999999999783</c:v>
                </c:pt>
                <c:pt idx="132">
                  <c:v>2.1999999999999784</c:v>
                </c:pt>
                <c:pt idx="133">
                  <c:v>2.2999999999999785</c:v>
                </c:pt>
                <c:pt idx="134">
                  <c:v>2.3999999999999786</c:v>
                </c:pt>
                <c:pt idx="135">
                  <c:v>2.4999999999999787</c:v>
                </c:pt>
                <c:pt idx="136">
                  <c:v>2.5999999999999788</c:v>
                </c:pt>
                <c:pt idx="137">
                  <c:v>2.6999999999999789</c:v>
                </c:pt>
                <c:pt idx="138">
                  <c:v>2.799999999999979</c:v>
                </c:pt>
                <c:pt idx="139">
                  <c:v>2.899999999999979</c:v>
                </c:pt>
                <c:pt idx="140">
                  <c:v>2.9999999999999791</c:v>
                </c:pt>
                <c:pt idx="141">
                  <c:v>3.0999999999999792</c:v>
                </c:pt>
                <c:pt idx="142">
                  <c:v>3.1999999999999793</c:v>
                </c:pt>
                <c:pt idx="143">
                  <c:v>3.2999999999999794</c:v>
                </c:pt>
                <c:pt idx="144">
                  <c:v>3.3999999999999795</c:v>
                </c:pt>
                <c:pt idx="145">
                  <c:v>3.4999999999999796</c:v>
                </c:pt>
                <c:pt idx="146">
                  <c:v>3.5999999999999797</c:v>
                </c:pt>
                <c:pt idx="147">
                  <c:v>3.6999999999999797</c:v>
                </c:pt>
                <c:pt idx="148">
                  <c:v>3.7999999999999798</c:v>
                </c:pt>
                <c:pt idx="149">
                  <c:v>3.8999999999999799</c:v>
                </c:pt>
                <c:pt idx="150">
                  <c:v>3.99999999999998</c:v>
                </c:pt>
                <c:pt idx="151">
                  <c:v>4.0999999999999801</c:v>
                </c:pt>
                <c:pt idx="152">
                  <c:v>4.1999999999999797</c:v>
                </c:pt>
                <c:pt idx="153">
                  <c:v>4.2999999999999794</c:v>
                </c:pt>
                <c:pt idx="154">
                  <c:v>4.399999999999979</c:v>
                </c:pt>
                <c:pt idx="155">
                  <c:v>4.4999999999999787</c:v>
                </c:pt>
                <c:pt idx="156">
                  <c:v>4.5999999999999783</c:v>
                </c:pt>
                <c:pt idx="157">
                  <c:v>4.699999999999978</c:v>
                </c:pt>
                <c:pt idx="158">
                  <c:v>4.7999999999999776</c:v>
                </c:pt>
                <c:pt idx="159">
                  <c:v>4.8999999999999773</c:v>
                </c:pt>
                <c:pt idx="160">
                  <c:v>4.9999999999999769</c:v>
                </c:pt>
                <c:pt idx="161">
                  <c:v>5.0999999999999766</c:v>
                </c:pt>
                <c:pt idx="162">
                  <c:v>5.1999999999999762</c:v>
                </c:pt>
                <c:pt idx="163">
                  <c:v>5.2999999999999758</c:v>
                </c:pt>
                <c:pt idx="164">
                  <c:v>5.3999999999999755</c:v>
                </c:pt>
                <c:pt idx="165">
                  <c:v>5.4999999999999751</c:v>
                </c:pt>
                <c:pt idx="166">
                  <c:v>5.5999999999999748</c:v>
                </c:pt>
                <c:pt idx="167">
                  <c:v>5.6999999999999744</c:v>
                </c:pt>
                <c:pt idx="168">
                  <c:v>5.7999999999999741</c:v>
                </c:pt>
                <c:pt idx="169">
                  <c:v>5.8999999999999737</c:v>
                </c:pt>
                <c:pt idx="170">
                  <c:v>5.9999999999999734</c:v>
                </c:pt>
                <c:pt idx="171">
                  <c:v>6.099999999999973</c:v>
                </c:pt>
                <c:pt idx="172">
                  <c:v>6.1999999999999726</c:v>
                </c:pt>
                <c:pt idx="173">
                  <c:v>6.2999999999999723</c:v>
                </c:pt>
                <c:pt idx="174">
                  <c:v>6.3999999999999719</c:v>
                </c:pt>
                <c:pt idx="175">
                  <c:v>6.4999999999999716</c:v>
                </c:pt>
                <c:pt idx="176">
                  <c:v>6.5999999999999712</c:v>
                </c:pt>
                <c:pt idx="177">
                  <c:v>6.6999999999999709</c:v>
                </c:pt>
                <c:pt idx="178">
                  <c:v>6.7999999999999705</c:v>
                </c:pt>
                <c:pt idx="179">
                  <c:v>6.8999999999999702</c:v>
                </c:pt>
                <c:pt idx="180">
                  <c:v>6.9999999999999698</c:v>
                </c:pt>
                <c:pt idx="181">
                  <c:v>7.0999999999999694</c:v>
                </c:pt>
                <c:pt idx="182">
                  <c:v>7.1999999999999691</c:v>
                </c:pt>
                <c:pt idx="183">
                  <c:v>7.2999999999999687</c:v>
                </c:pt>
                <c:pt idx="184">
                  <c:v>7.3999999999999684</c:v>
                </c:pt>
                <c:pt idx="185">
                  <c:v>7.499999999999968</c:v>
                </c:pt>
                <c:pt idx="186">
                  <c:v>7.5999999999999677</c:v>
                </c:pt>
                <c:pt idx="187">
                  <c:v>7.6999999999999673</c:v>
                </c:pt>
                <c:pt idx="188">
                  <c:v>7.799999999999967</c:v>
                </c:pt>
                <c:pt idx="189">
                  <c:v>7.8999999999999666</c:v>
                </c:pt>
                <c:pt idx="190">
                  <c:v>7.9999999999999662</c:v>
                </c:pt>
                <c:pt idx="191">
                  <c:v>8.0999999999999659</c:v>
                </c:pt>
                <c:pt idx="192">
                  <c:v>8.1999999999999655</c:v>
                </c:pt>
                <c:pt idx="193">
                  <c:v>8.2999999999999652</c:v>
                </c:pt>
                <c:pt idx="194">
                  <c:v>8.3999999999999648</c:v>
                </c:pt>
                <c:pt idx="195">
                  <c:v>8.4999999999999645</c:v>
                </c:pt>
                <c:pt idx="196">
                  <c:v>8.5999999999999641</c:v>
                </c:pt>
                <c:pt idx="197">
                  <c:v>8.6999999999999638</c:v>
                </c:pt>
                <c:pt idx="198">
                  <c:v>8.7999999999999634</c:v>
                </c:pt>
                <c:pt idx="199">
                  <c:v>8.8999999999999631</c:v>
                </c:pt>
                <c:pt idx="200">
                  <c:v>8.9999999999999627</c:v>
                </c:pt>
                <c:pt idx="201">
                  <c:v>9.0999999999999623</c:v>
                </c:pt>
                <c:pt idx="202">
                  <c:v>9.199999999999962</c:v>
                </c:pt>
                <c:pt idx="203">
                  <c:v>9.2999999999999616</c:v>
                </c:pt>
                <c:pt idx="204">
                  <c:v>9.3999999999999613</c:v>
                </c:pt>
                <c:pt idx="205">
                  <c:v>9.4999999999999609</c:v>
                </c:pt>
                <c:pt idx="206">
                  <c:v>9.5999999999999606</c:v>
                </c:pt>
                <c:pt idx="207">
                  <c:v>9.6999999999999602</c:v>
                </c:pt>
                <c:pt idx="208">
                  <c:v>9.7999999999999599</c:v>
                </c:pt>
                <c:pt idx="209">
                  <c:v>9.8999999999999595</c:v>
                </c:pt>
                <c:pt idx="210">
                  <c:v>9.9999999999999591</c:v>
                </c:pt>
                <c:pt idx="211">
                  <c:v>10.099999999999959</c:v>
                </c:pt>
                <c:pt idx="212">
                  <c:v>10.199999999999958</c:v>
                </c:pt>
                <c:pt idx="213">
                  <c:v>10.299999999999958</c:v>
                </c:pt>
                <c:pt idx="214">
                  <c:v>10.399999999999958</c:v>
                </c:pt>
                <c:pt idx="215">
                  <c:v>10.499999999999957</c:v>
                </c:pt>
                <c:pt idx="216">
                  <c:v>10.599999999999957</c:v>
                </c:pt>
                <c:pt idx="217">
                  <c:v>10.699999999999957</c:v>
                </c:pt>
                <c:pt idx="218">
                  <c:v>10.799999999999956</c:v>
                </c:pt>
                <c:pt idx="219">
                  <c:v>10.899999999999956</c:v>
                </c:pt>
                <c:pt idx="220">
                  <c:v>10.999999999999956</c:v>
                </c:pt>
              </c:numCache>
            </c:numRef>
          </c:xVal>
          <c:yVal>
            <c:numRef>
              <c:f>ArtificialTreatments!$F$21:$F$241</c:f>
              <c:numCache>
                <c:formatCode>General</c:formatCode>
                <c:ptCount val="2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1</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numCache>
            </c:numRef>
          </c:yVal>
          <c:smooth val="0"/>
          <c:extLst>
            <c:ext xmlns:c16="http://schemas.microsoft.com/office/drawing/2014/chart" uri="{C3380CC4-5D6E-409C-BE32-E72D297353CC}">
              <c16:uniqueId val="{00000000-0B1D-48C5-A548-65EA566F20AE}"/>
            </c:ext>
          </c:extLst>
        </c:ser>
        <c:ser>
          <c:idx val="1"/>
          <c:order val="1"/>
          <c:tx>
            <c:strRef>
              <c:f>ArtificialTreatments!$G$20</c:f>
              <c:strCache>
                <c:ptCount val="1"/>
                <c:pt idx="0">
                  <c:v>X1</c:v>
                </c:pt>
              </c:strCache>
            </c:strRef>
          </c:tx>
          <c:spPr>
            <a:ln w="19050" cap="rnd">
              <a:solidFill>
                <a:schemeClr val="accent2"/>
              </a:solidFill>
              <a:round/>
            </a:ln>
            <a:effectLst/>
          </c:spPr>
          <c:marker>
            <c:symbol val="none"/>
          </c:marker>
          <c:xVal>
            <c:numRef>
              <c:f>ArtificialTreatments!$B$21:$B$241</c:f>
              <c:numCache>
                <c:formatCode>General</c:formatCode>
                <c:ptCount val="221"/>
                <c:pt idx="0">
                  <c:v>-11</c:v>
                </c:pt>
                <c:pt idx="1">
                  <c:v>-10.9</c:v>
                </c:pt>
                <c:pt idx="2">
                  <c:v>-10.8</c:v>
                </c:pt>
                <c:pt idx="3">
                  <c:v>-10.700000000000001</c:v>
                </c:pt>
                <c:pt idx="4">
                  <c:v>-10.600000000000001</c:v>
                </c:pt>
                <c:pt idx="5">
                  <c:v>-10.500000000000002</c:v>
                </c:pt>
                <c:pt idx="6">
                  <c:v>-10.400000000000002</c:v>
                </c:pt>
                <c:pt idx="7">
                  <c:v>-10.300000000000002</c:v>
                </c:pt>
                <c:pt idx="8">
                  <c:v>-10.200000000000003</c:v>
                </c:pt>
                <c:pt idx="9">
                  <c:v>-10.100000000000003</c:v>
                </c:pt>
                <c:pt idx="10">
                  <c:v>-10.000000000000004</c:v>
                </c:pt>
                <c:pt idx="11">
                  <c:v>-9.9000000000000039</c:v>
                </c:pt>
                <c:pt idx="12">
                  <c:v>-9.8000000000000043</c:v>
                </c:pt>
                <c:pt idx="13">
                  <c:v>-9.7000000000000046</c:v>
                </c:pt>
                <c:pt idx="14">
                  <c:v>-9.600000000000005</c:v>
                </c:pt>
                <c:pt idx="15">
                  <c:v>-9.5000000000000053</c:v>
                </c:pt>
                <c:pt idx="16">
                  <c:v>-9.4000000000000057</c:v>
                </c:pt>
                <c:pt idx="17">
                  <c:v>-9.300000000000006</c:v>
                </c:pt>
                <c:pt idx="18">
                  <c:v>-9.2000000000000064</c:v>
                </c:pt>
                <c:pt idx="19">
                  <c:v>-9.1000000000000068</c:v>
                </c:pt>
                <c:pt idx="20">
                  <c:v>-9.0000000000000071</c:v>
                </c:pt>
                <c:pt idx="21">
                  <c:v>-8.9000000000000075</c:v>
                </c:pt>
                <c:pt idx="22">
                  <c:v>-8.8000000000000078</c:v>
                </c:pt>
                <c:pt idx="23">
                  <c:v>-8.7000000000000082</c:v>
                </c:pt>
                <c:pt idx="24">
                  <c:v>-8.6000000000000085</c:v>
                </c:pt>
                <c:pt idx="25">
                  <c:v>-8.5000000000000089</c:v>
                </c:pt>
                <c:pt idx="26">
                  <c:v>-8.4000000000000092</c:v>
                </c:pt>
                <c:pt idx="27">
                  <c:v>-8.3000000000000096</c:v>
                </c:pt>
                <c:pt idx="28">
                  <c:v>-8.2000000000000099</c:v>
                </c:pt>
                <c:pt idx="29">
                  <c:v>-8.1000000000000103</c:v>
                </c:pt>
                <c:pt idx="30">
                  <c:v>-8.0000000000000107</c:v>
                </c:pt>
                <c:pt idx="31">
                  <c:v>-7.900000000000011</c:v>
                </c:pt>
                <c:pt idx="32">
                  <c:v>-7.8000000000000114</c:v>
                </c:pt>
                <c:pt idx="33">
                  <c:v>-7.7000000000000117</c:v>
                </c:pt>
                <c:pt idx="34">
                  <c:v>-7.6000000000000121</c:v>
                </c:pt>
                <c:pt idx="35">
                  <c:v>-7.5000000000000124</c:v>
                </c:pt>
                <c:pt idx="36">
                  <c:v>-7.4000000000000128</c:v>
                </c:pt>
                <c:pt idx="37">
                  <c:v>-7.3000000000000131</c:v>
                </c:pt>
                <c:pt idx="38">
                  <c:v>-7.2000000000000135</c:v>
                </c:pt>
                <c:pt idx="39">
                  <c:v>-7.1000000000000139</c:v>
                </c:pt>
                <c:pt idx="40">
                  <c:v>-7.0000000000000142</c:v>
                </c:pt>
                <c:pt idx="41">
                  <c:v>-6.9000000000000146</c:v>
                </c:pt>
                <c:pt idx="42">
                  <c:v>-6.8000000000000149</c:v>
                </c:pt>
                <c:pt idx="43">
                  <c:v>-6.7000000000000153</c:v>
                </c:pt>
                <c:pt idx="44">
                  <c:v>-6.6000000000000156</c:v>
                </c:pt>
                <c:pt idx="45">
                  <c:v>-6.500000000000016</c:v>
                </c:pt>
                <c:pt idx="46">
                  <c:v>-6.4000000000000163</c:v>
                </c:pt>
                <c:pt idx="47">
                  <c:v>-6.3000000000000167</c:v>
                </c:pt>
                <c:pt idx="48">
                  <c:v>-6.2000000000000171</c:v>
                </c:pt>
                <c:pt idx="49">
                  <c:v>-6.1000000000000174</c:v>
                </c:pt>
                <c:pt idx="50">
                  <c:v>-6.0000000000000178</c:v>
                </c:pt>
                <c:pt idx="51">
                  <c:v>-5.9000000000000181</c:v>
                </c:pt>
                <c:pt idx="52">
                  <c:v>-5.8000000000000185</c:v>
                </c:pt>
                <c:pt idx="53">
                  <c:v>-5.7000000000000188</c:v>
                </c:pt>
                <c:pt idx="54">
                  <c:v>-5.6000000000000192</c:v>
                </c:pt>
                <c:pt idx="55">
                  <c:v>-5.5000000000000195</c:v>
                </c:pt>
                <c:pt idx="56">
                  <c:v>-5.4000000000000199</c:v>
                </c:pt>
                <c:pt idx="57">
                  <c:v>-5.3000000000000203</c:v>
                </c:pt>
                <c:pt idx="58">
                  <c:v>-5.2000000000000206</c:v>
                </c:pt>
                <c:pt idx="59">
                  <c:v>-5.100000000000021</c:v>
                </c:pt>
                <c:pt idx="60">
                  <c:v>-5.0000000000000213</c:v>
                </c:pt>
                <c:pt idx="61">
                  <c:v>-4.9000000000000217</c:v>
                </c:pt>
                <c:pt idx="62">
                  <c:v>-4.800000000000022</c:v>
                </c:pt>
                <c:pt idx="63">
                  <c:v>-4.7000000000000224</c:v>
                </c:pt>
                <c:pt idx="64">
                  <c:v>-4.6000000000000227</c:v>
                </c:pt>
                <c:pt idx="65">
                  <c:v>-4.5000000000000231</c:v>
                </c:pt>
                <c:pt idx="66">
                  <c:v>-4.4000000000000234</c:v>
                </c:pt>
                <c:pt idx="67">
                  <c:v>-4.3000000000000238</c:v>
                </c:pt>
                <c:pt idx="68">
                  <c:v>-4.2000000000000242</c:v>
                </c:pt>
                <c:pt idx="69">
                  <c:v>-4.1000000000000245</c:v>
                </c:pt>
                <c:pt idx="70">
                  <c:v>-4.0000000000000249</c:v>
                </c:pt>
                <c:pt idx="71">
                  <c:v>-3.9000000000000248</c:v>
                </c:pt>
                <c:pt idx="72">
                  <c:v>-3.8000000000000247</c:v>
                </c:pt>
                <c:pt idx="73">
                  <c:v>-3.7000000000000246</c:v>
                </c:pt>
                <c:pt idx="74">
                  <c:v>-3.6000000000000245</c:v>
                </c:pt>
                <c:pt idx="75">
                  <c:v>-3.5000000000000244</c:v>
                </c:pt>
                <c:pt idx="76">
                  <c:v>-3.4000000000000243</c:v>
                </c:pt>
                <c:pt idx="77">
                  <c:v>-3.3000000000000242</c:v>
                </c:pt>
                <c:pt idx="78">
                  <c:v>-3.2000000000000242</c:v>
                </c:pt>
                <c:pt idx="79">
                  <c:v>-3.1000000000000241</c:v>
                </c:pt>
                <c:pt idx="80">
                  <c:v>-3.000000000000024</c:v>
                </c:pt>
                <c:pt idx="81">
                  <c:v>-2.9000000000000239</c:v>
                </c:pt>
                <c:pt idx="82">
                  <c:v>-2.8000000000000238</c:v>
                </c:pt>
                <c:pt idx="83">
                  <c:v>-2.7000000000000237</c:v>
                </c:pt>
                <c:pt idx="84">
                  <c:v>-2.6000000000000236</c:v>
                </c:pt>
                <c:pt idx="85">
                  <c:v>-2.5000000000000235</c:v>
                </c:pt>
                <c:pt idx="86">
                  <c:v>-2.4000000000000234</c:v>
                </c:pt>
                <c:pt idx="87">
                  <c:v>-2.3000000000000234</c:v>
                </c:pt>
                <c:pt idx="88">
                  <c:v>-2.2000000000000233</c:v>
                </c:pt>
                <c:pt idx="89">
                  <c:v>-2.1000000000000232</c:v>
                </c:pt>
                <c:pt idx="90">
                  <c:v>-2.0000000000000231</c:v>
                </c:pt>
                <c:pt idx="91">
                  <c:v>-1.900000000000023</c:v>
                </c:pt>
                <c:pt idx="92">
                  <c:v>-1.8000000000000229</c:v>
                </c:pt>
                <c:pt idx="93">
                  <c:v>-1.7000000000000228</c:v>
                </c:pt>
                <c:pt idx="94">
                  <c:v>-1.6000000000000227</c:v>
                </c:pt>
                <c:pt idx="95">
                  <c:v>-1.5000000000000226</c:v>
                </c:pt>
                <c:pt idx="96">
                  <c:v>-1.4000000000000226</c:v>
                </c:pt>
                <c:pt idx="97">
                  <c:v>-1.3000000000000225</c:v>
                </c:pt>
                <c:pt idx="98">
                  <c:v>-1.2000000000000224</c:v>
                </c:pt>
                <c:pt idx="99">
                  <c:v>-1.1000000000000223</c:v>
                </c:pt>
                <c:pt idx="100">
                  <c:v>-1.0000000000000222</c:v>
                </c:pt>
                <c:pt idx="101">
                  <c:v>-0.90000000000002223</c:v>
                </c:pt>
                <c:pt idx="102">
                  <c:v>-0.80000000000002225</c:v>
                </c:pt>
                <c:pt idx="103">
                  <c:v>-0.70000000000002227</c:v>
                </c:pt>
                <c:pt idx="104">
                  <c:v>-0.60000000000002229</c:v>
                </c:pt>
                <c:pt idx="105">
                  <c:v>-0.50000000000002232</c:v>
                </c:pt>
                <c:pt idx="106">
                  <c:v>-0.40000000000002234</c:v>
                </c:pt>
                <c:pt idx="107">
                  <c:v>-0.30000000000002236</c:v>
                </c:pt>
                <c:pt idx="108">
                  <c:v>-0.20000000000002235</c:v>
                </c:pt>
                <c:pt idx="109">
                  <c:v>-0.10000000000002235</c:v>
                </c:pt>
                <c:pt idx="110">
                  <c:v>-2.2343238370581275E-14</c:v>
                </c:pt>
                <c:pt idx="111">
                  <c:v>9.9999999999977662E-2</c:v>
                </c:pt>
                <c:pt idx="112">
                  <c:v>0.19999999999997767</c:v>
                </c:pt>
                <c:pt idx="113">
                  <c:v>0.29999999999997767</c:v>
                </c:pt>
                <c:pt idx="114">
                  <c:v>0.39999999999997771</c:v>
                </c:pt>
                <c:pt idx="115">
                  <c:v>0.49999999999997768</c:v>
                </c:pt>
                <c:pt idx="116">
                  <c:v>0.59999999999997766</c:v>
                </c:pt>
                <c:pt idx="117">
                  <c:v>0.69999999999997764</c:v>
                </c:pt>
                <c:pt idx="118">
                  <c:v>0.79999999999997762</c:v>
                </c:pt>
                <c:pt idx="119">
                  <c:v>0.8999999999999776</c:v>
                </c:pt>
                <c:pt idx="120">
                  <c:v>0.99999999999997757</c:v>
                </c:pt>
                <c:pt idx="121">
                  <c:v>1.0999999999999777</c:v>
                </c:pt>
                <c:pt idx="122">
                  <c:v>1.1999999999999778</c:v>
                </c:pt>
                <c:pt idx="123">
                  <c:v>1.2999999999999778</c:v>
                </c:pt>
                <c:pt idx="124">
                  <c:v>1.3999999999999779</c:v>
                </c:pt>
                <c:pt idx="125">
                  <c:v>1.499999999999978</c:v>
                </c:pt>
                <c:pt idx="126">
                  <c:v>1.5999999999999781</c:v>
                </c:pt>
                <c:pt idx="127">
                  <c:v>1.6999999999999782</c:v>
                </c:pt>
                <c:pt idx="128">
                  <c:v>1.7999999999999783</c:v>
                </c:pt>
                <c:pt idx="129">
                  <c:v>1.8999999999999784</c:v>
                </c:pt>
                <c:pt idx="130">
                  <c:v>1.9999999999999785</c:v>
                </c:pt>
                <c:pt idx="131">
                  <c:v>2.0999999999999783</c:v>
                </c:pt>
                <c:pt idx="132">
                  <c:v>2.1999999999999784</c:v>
                </c:pt>
                <c:pt idx="133">
                  <c:v>2.2999999999999785</c:v>
                </c:pt>
                <c:pt idx="134">
                  <c:v>2.3999999999999786</c:v>
                </c:pt>
                <c:pt idx="135">
                  <c:v>2.4999999999999787</c:v>
                </c:pt>
                <c:pt idx="136">
                  <c:v>2.5999999999999788</c:v>
                </c:pt>
                <c:pt idx="137">
                  <c:v>2.6999999999999789</c:v>
                </c:pt>
                <c:pt idx="138">
                  <c:v>2.799999999999979</c:v>
                </c:pt>
                <c:pt idx="139">
                  <c:v>2.899999999999979</c:v>
                </c:pt>
                <c:pt idx="140">
                  <c:v>2.9999999999999791</c:v>
                </c:pt>
                <c:pt idx="141">
                  <c:v>3.0999999999999792</c:v>
                </c:pt>
                <c:pt idx="142">
                  <c:v>3.1999999999999793</c:v>
                </c:pt>
                <c:pt idx="143">
                  <c:v>3.2999999999999794</c:v>
                </c:pt>
                <c:pt idx="144">
                  <c:v>3.3999999999999795</c:v>
                </c:pt>
                <c:pt idx="145">
                  <c:v>3.4999999999999796</c:v>
                </c:pt>
                <c:pt idx="146">
                  <c:v>3.5999999999999797</c:v>
                </c:pt>
                <c:pt idx="147">
                  <c:v>3.6999999999999797</c:v>
                </c:pt>
                <c:pt idx="148">
                  <c:v>3.7999999999999798</c:v>
                </c:pt>
                <c:pt idx="149">
                  <c:v>3.8999999999999799</c:v>
                </c:pt>
                <c:pt idx="150">
                  <c:v>3.99999999999998</c:v>
                </c:pt>
                <c:pt idx="151">
                  <c:v>4.0999999999999801</c:v>
                </c:pt>
                <c:pt idx="152">
                  <c:v>4.1999999999999797</c:v>
                </c:pt>
                <c:pt idx="153">
                  <c:v>4.2999999999999794</c:v>
                </c:pt>
                <c:pt idx="154">
                  <c:v>4.399999999999979</c:v>
                </c:pt>
                <c:pt idx="155">
                  <c:v>4.4999999999999787</c:v>
                </c:pt>
                <c:pt idx="156">
                  <c:v>4.5999999999999783</c:v>
                </c:pt>
                <c:pt idx="157">
                  <c:v>4.699999999999978</c:v>
                </c:pt>
                <c:pt idx="158">
                  <c:v>4.7999999999999776</c:v>
                </c:pt>
                <c:pt idx="159">
                  <c:v>4.8999999999999773</c:v>
                </c:pt>
                <c:pt idx="160">
                  <c:v>4.9999999999999769</c:v>
                </c:pt>
                <c:pt idx="161">
                  <c:v>5.0999999999999766</c:v>
                </c:pt>
                <c:pt idx="162">
                  <c:v>5.1999999999999762</c:v>
                </c:pt>
                <c:pt idx="163">
                  <c:v>5.2999999999999758</c:v>
                </c:pt>
                <c:pt idx="164">
                  <c:v>5.3999999999999755</c:v>
                </c:pt>
                <c:pt idx="165">
                  <c:v>5.4999999999999751</c:v>
                </c:pt>
                <c:pt idx="166">
                  <c:v>5.5999999999999748</c:v>
                </c:pt>
                <c:pt idx="167">
                  <c:v>5.6999999999999744</c:v>
                </c:pt>
                <c:pt idx="168">
                  <c:v>5.7999999999999741</c:v>
                </c:pt>
                <c:pt idx="169">
                  <c:v>5.8999999999999737</c:v>
                </c:pt>
                <c:pt idx="170">
                  <c:v>5.9999999999999734</c:v>
                </c:pt>
                <c:pt idx="171">
                  <c:v>6.099999999999973</c:v>
                </c:pt>
                <c:pt idx="172">
                  <c:v>6.1999999999999726</c:v>
                </c:pt>
                <c:pt idx="173">
                  <c:v>6.2999999999999723</c:v>
                </c:pt>
                <c:pt idx="174">
                  <c:v>6.3999999999999719</c:v>
                </c:pt>
                <c:pt idx="175">
                  <c:v>6.4999999999999716</c:v>
                </c:pt>
                <c:pt idx="176">
                  <c:v>6.5999999999999712</c:v>
                </c:pt>
                <c:pt idx="177">
                  <c:v>6.6999999999999709</c:v>
                </c:pt>
                <c:pt idx="178">
                  <c:v>6.7999999999999705</c:v>
                </c:pt>
                <c:pt idx="179">
                  <c:v>6.8999999999999702</c:v>
                </c:pt>
                <c:pt idx="180">
                  <c:v>6.9999999999999698</c:v>
                </c:pt>
                <c:pt idx="181">
                  <c:v>7.0999999999999694</c:v>
                </c:pt>
                <c:pt idx="182">
                  <c:v>7.1999999999999691</c:v>
                </c:pt>
                <c:pt idx="183">
                  <c:v>7.2999999999999687</c:v>
                </c:pt>
                <c:pt idx="184">
                  <c:v>7.3999999999999684</c:v>
                </c:pt>
                <c:pt idx="185">
                  <c:v>7.499999999999968</c:v>
                </c:pt>
                <c:pt idx="186">
                  <c:v>7.5999999999999677</c:v>
                </c:pt>
                <c:pt idx="187">
                  <c:v>7.6999999999999673</c:v>
                </c:pt>
                <c:pt idx="188">
                  <c:v>7.799999999999967</c:v>
                </c:pt>
                <c:pt idx="189">
                  <c:v>7.8999999999999666</c:v>
                </c:pt>
                <c:pt idx="190">
                  <c:v>7.9999999999999662</c:v>
                </c:pt>
                <c:pt idx="191">
                  <c:v>8.0999999999999659</c:v>
                </c:pt>
                <c:pt idx="192">
                  <c:v>8.1999999999999655</c:v>
                </c:pt>
                <c:pt idx="193">
                  <c:v>8.2999999999999652</c:v>
                </c:pt>
                <c:pt idx="194">
                  <c:v>8.3999999999999648</c:v>
                </c:pt>
                <c:pt idx="195">
                  <c:v>8.4999999999999645</c:v>
                </c:pt>
                <c:pt idx="196">
                  <c:v>8.5999999999999641</c:v>
                </c:pt>
                <c:pt idx="197">
                  <c:v>8.6999999999999638</c:v>
                </c:pt>
                <c:pt idx="198">
                  <c:v>8.7999999999999634</c:v>
                </c:pt>
                <c:pt idx="199">
                  <c:v>8.8999999999999631</c:v>
                </c:pt>
                <c:pt idx="200">
                  <c:v>8.9999999999999627</c:v>
                </c:pt>
                <c:pt idx="201">
                  <c:v>9.0999999999999623</c:v>
                </c:pt>
                <c:pt idx="202">
                  <c:v>9.199999999999962</c:v>
                </c:pt>
                <c:pt idx="203">
                  <c:v>9.2999999999999616</c:v>
                </c:pt>
                <c:pt idx="204">
                  <c:v>9.3999999999999613</c:v>
                </c:pt>
                <c:pt idx="205">
                  <c:v>9.4999999999999609</c:v>
                </c:pt>
                <c:pt idx="206">
                  <c:v>9.5999999999999606</c:v>
                </c:pt>
                <c:pt idx="207">
                  <c:v>9.6999999999999602</c:v>
                </c:pt>
                <c:pt idx="208">
                  <c:v>9.7999999999999599</c:v>
                </c:pt>
                <c:pt idx="209">
                  <c:v>9.8999999999999595</c:v>
                </c:pt>
                <c:pt idx="210">
                  <c:v>9.9999999999999591</c:v>
                </c:pt>
                <c:pt idx="211">
                  <c:v>10.099999999999959</c:v>
                </c:pt>
                <c:pt idx="212">
                  <c:v>10.199999999999958</c:v>
                </c:pt>
                <c:pt idx="213">
                  <c:v>10.299999999999958</c:v>
                </c:pt>
                <c:pt idx="214">
                  <c:v>10.399999999999958</c:v>
                </c:pt>
                <c:pt idx="215">
                  <c:v>10.499999999999957</c:v>
                </c:pt>
                <c:pt idx="216">
                  <c:v>10.599999999999957</c:v>
                </c:pt>
                <c:pt idx="217">
                  <c:v>10.699999999999957</c:v>
                </c:pt>
                <c:pt idx="218">
                  <c:v>10.799999999999956</c:v>
                </c:pt>
                <c:pt idx="219">
                  <c:v>10.899999999999956</c:v>
                </c:pt>
                <c:pt idx="220">
                  <c:v>10.999999999999956</c:v>
                </c:pt>
              </c:numCache>
            </c:numRef>
          </c:xVal>
          <c:yVal>
            <c:numRef>
              <c:f>ArtificialTreatments!$G$21:$G$241</c:f>
              <c:numCache>
                <c:formatCode>General</c:formatCode>
                <c:ptCount val="221"/>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0.98333333333333461</c:v>
                </c:pt>
                <c:pt idx="22">
                  <c:v>0.96666666666666801</c:v>
                </c:pt>
                <c:pt idx="23">
                  <c:v>0.9500000000000014</c:v>
                </c:pt>
                <c:pt idx="24">
                  <c:v>0.93333333333333479</c:v>
                </c:pt>
                <c:pt idx="25">
                  <c:v>0.91666666666666818</c:v>
                </c:pt>
                <c:pt idx="26">
                  <c:v>0.90000000000000158</c:v>
                </c:pt>
                <c:pt idx="27">
                  <c:v>0.88333333333333497</c:v>
                </c:pt>
                <c:pt idx="28">
                  <c:v>0.86666666666666836</c:v>
                </c:pt>
                <c:pt idx="29">
                  <c:v>0.85000000000000175</c:v>
                </c:pt>
                <c:pt idx="30">
                  <c:v>0.83333333333333515</c:v>
                </c:pt>
                <c:pt idx="31">
                  <c:v>0.81666666666666854</c:v>
                </c:pt>
                <c:pt idx="32">
                  <c:v>0.80000000000000193</c:v>
                </c:pt>
                <c:pt idx="33">
                  <c:v>0.78333333333333532</c:v>
                </c:pt>
                <c:pt idx="34">
                  <c:v>0.76666666666666872</c:v>
                </c:pt>
                <c:pt idx="35">
                  <c:v>0.75000000000000211</c:v>
                </c:pt>
                <c:pt idx="36">
                  <c:v>0.73333333333333539</c:v>
                </c:pt>
                <c:pt idx="37">
                  <c:v>0.71666666666666878</c:v>
                </c:pt>
                <c:pt idx="38">
                  <c:v>0.70000000000000218</c:v>
                </c:pt>
                <c:pt idx="39">
                  <c:v>0.68333333333333557</c:v>
                </c:pt>
                <c:pt idx="40">
                  <c:v>0.66666666666666896</c:v>
                </c:pt>
                <c:pt idx="41">
                  <c:v>0.65000000000000235</c:v>
                </c:pt>
                <c:pt idx="42">
                  <c:v>0.63333333333333575</c:v>
                </c:pt>
                <c:pt idx="43">
                  <c:v>0.61666666666666914</c:v>
                </c:pt>
                <c:pt idx="44">
                  <c:v>0.60000000000000253</c:v>
                </c:pt>
                <c:pt idx="45">
                  <c:v>0.58333333333333592</c:v>
                </c:pt>
                <c:pt idx="46">
                  <c:v>0.56666666666666932</c:v>
                </c:pt>
                <c:pt idx="47">
                  <c:v>0.55000000000000271</c:v>
                </c:pt>
                <c:pt idx="48">
                  <c:v>0.5333333333333361</c:v>
                </c:pt>
                <c:pt idx="49">
                  <c:v>0.51666666666666949</c:v>
                </c:pt>
                <c:pt idx="50">
                  <c:v>0.50000000000000289</c:v>
                </c:pt>
                <c:pt idx="51">
                  <c:v>0.48333333333333639</c:v>
                </c:pt>
                <c:pt idx="52">
                  <c:v>0.46666666666666978</c:v>
                </c:pt>
                <c:pt idx="53">
                  <c:v>0.45000000000000318</c:v>
                </c:pt>
                <c:pt idx="54">
                  <c:v>0.43333333333333657</c:v>
                </c:pt>
                <c:pt idx="55">
                  <c:v>0.41666666666666996</c:v>
                </c:pt>
                <c:pt idx="56">
                  <c:v>0</c:v>
                </c:pt>
                <c:pt idx="57">
                  <c:v>0.38333333333333675</c:v>
                </c:pt>
                <c:pt idx="58">
                  <c:v>0.36666666666667014</c:v>
                </c:pt>
                <c:pt idx="59">
                  <c:v>0.35000000000000353</c:v>
                </c:pt>
                <c:pt idx="60">
                  <c:v>0.33333333333333692</c:v>
                </c:pt>
                <c:pt idx="61">
                  <c:v>0.31666666666667032</c:v>
                </c:pt>
                <c:pt idx="62">
                  <c:v>0.30000000000000371</c:v>
                </c:pt>
                <c:pt idx="63">
                  <c:v>0.2833333333333371</c:v>
                </c:pt>
                <c:pt idx="64">
                  <c:v>0.26666666666667049</c:v>
                </c:pt>
                <c:pt idx="65">
                  <c:v>0.25000000000000389</c:v>
                </c:pt>
                <c:pt idx="66">
                  <c:v>0.23333333333333728</c:v>
                </c:pt>
                <c:pt idx="67">
                  <c:v>0.21666666666667067</c:v>
                </c:pt>
                <c:pt idx="68">
                  <c:v>0.20000000000000406</c:v>
                </c:pt>
                <c:pt idx="69">
                  <c:v>0.18333333333333746</c:v>
                </c:pt>
                <c:pt idx="70">
                  <c:v>0.16666666666667085</c:v>
                </c:pt>
                <c:pt idx="71">
                  <c:v>0.15000000000000424</c:v>
                </c:pt>
                <c:pt idx="72">
                  <c:v>0.13333333333333741</c:v>
                </c:pt>
                <c:pt idx="73">
                  <c:v>0.11666666666667069</c:v>
                </c:pt>
                <c:pt idx="74">
                  <c:v>0.10000000000000409</c:v>
                </c:pt>
                <c:pt idx="75">
                  <c:v>8.3333333333337478E-2</c:v>
                </c:pt>
                <c:pt idx="76">
                  <c:v>6.666666666667076E-2</c:v>
                </c:pt>
                <c:pt idx="77">
                  <c:v>5.000000000000393E-2</c:v>
                </c:pt>
                <c:pt idx="78">
                  <c:v>3.3333333333337323E-2</c:v>
                </c:pt>
                <c:pt idx="79">
                  <c:v>1.6666666666670715E-2</c:v>
                </c:pt>
                <c:pt idx="80">
                  <c:v>3.9968028886505635E-15</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numCache>
            </c:numRef>
          </c:yVal>
          <c:smooth val="0"/>
          <c:extLst>
            <c:ext xmlns:c16="http://schemas.microsoft.com/office/drawing/2014/chart" uri="{C3380CC4-5D6E-409C-BE32-E72D297353CC}">
              <c16:uniqueId val="{00000001-0B1D-48C5-A548-65EA566F20AE}"/>
            </c:ext>
          </c:extLst>
        </c:ser>
        <c:ser>
          <c:idx val="2"/>
          <c:order val="2"/>
          <c:tx>
            <c:strRef>
              <c:f>ArtificialTreatments!$H$20</c:f>
              <c:strCache>
                <c:ptCount val="1"/>
                <c:pt idx="0">
                  <c:v>X2</c:v>
                </c:pt>
              </c:strCache>
            </c:strRef>
          </c:tx>
          <c:spPr>
            <a:ln w="19050" cap="rnd">
              <a:solidFill>
                <a:schemeClr val="accent3"/>
              </a:solidFill>
              <a:round/>
            </a:ln>
            <a:effectLst/>
          </c:spPr>
          <c:marker>
            <c:symbol val="none"/>
          </c:marker>
          <c:xVal>
            <c:numRef>
              <c:f>ArtificialTreatments!$B$21:$B$241</c:f>
              <c:numCache>
                <c:formatCode>General</c:formatCode>
                <c:ptCount val="221"/>
                <c:pt idx="0">
                  <c:v>-11</c:v>
                </c:pt>
                <c:pt idx="1">
                  <c:v>-10.9</c:v>
                </c:pt>
                <c:pt idx="2">
                  <c:v>-10.8</c:v>
                </c:pt>
                <c:pt idx="3">
                  <c:v>-10.700000000000001</c:v>
                </c:pt>
                <c:pt idx="4">
                  <c:v>-10.600000000000001</c:v>
                </c:pt>
                <c:pt idx="5">
                  <c:v>-10.500000000000002</c:v>
                </c:pt>
                <c:pt idx="6">
                  <c:v>-10.400000000000002</c:v>
                </c:pt>
                <c:pt idx="7">
                  <c:v>-10.300000000000002</c:v>
                </c:pt>
                <c:pt idx="8">
                  <c:v>-10.200000000000003</c:v>
                </c:pt>
                <c:pt idx="9">
                  <c:v>-10.100000000000003</c:v>
                </c:pt>
                <c:pt idx="10">
                  <c:v>-10.000000000000004</c:v>
                </c:pt>
                <c:pt idx="11">
                  <c:v>-9.9000000000000039</c:v>
                </c:pt>
                <c:pt idx="12">
                  <c:v>-9.8000000000000043</c:v>
                </c:pt>
                <c:pt idx="13">
                  <c:v>-9.7000000000000046</c:v>
                </c:pt>
                <c:pt idx="14">
                  <c:v>-9.600000000000005</c:v>
                </c:pt>
                <c:pt idx="15">
                  <c:v>-9.5000000000000053</c:v>
                </c:pt>
                <c:pt idx="16">
                  <c:v>-9.4000000000000057</c:v>
                </c:pt>
                <c:pt idx="17">
                  <c:v>-9.300000000000006</c:v>
                </c:pt>
                <c:pt idx="18">
                  <c:v>-9.2000000000000064</c:v>
                </c:pt>
                <c:pt idx="19">
                  <c:v>-9.1000000000000068</c:v>
                </c:pt>
                <c:pt idx="20">
                  <c:v>-9.0000000000000071</c:v>
                </c:pt>
                <c:pt idx="21">
                  <c:v>-8.9000000000000075</c:v>
                </c:pt>
                <c:pt idx="22">
                  <c:v>-8.8000000000000078</c:v>
                </c:pt>
                <c:pt idx="23">
                  <c:v>-8.7000000000000082</c:v>
                </c:pt>
                <c:pt idx="24">
                  <c:v>-8.6000000000000085</c:v>
                </c:pt>
                <c:pt idx="25">
                  <c:v>-8.5000000000000089</c:v>
                </c:pt>
                <c:pt idx="26">
                  <c:v>-8.4000000000000092</c:v>
                </c:pt>
                <c:pt idx="27">
                  <c:v>-8.3000000000000096</c:v>
                </c:pt>
                <c:pt idx="28">
                  <c:v>-8.2000000000000099</c:v>
                </c:pt>
                <c:pt idx="29">
                  <c:v>-8.1000000000000103</c:v>
                </c:pt>
                <c:pt idx="30">
                  <c:v>-8.0000000000000107</c:v>
                </c:pt>
                <c:pt idx="31">
                  <c:v>-7.900000000000011</c:v>
                </c:pt>
                <c:pt idx="32">
                  <c:v>-7.8000000000000114</c:v>
                </c:pt>
                <c:pt idx="33">
                  <c:v>-7.7000000000000117</c:v>
                </c:pt>
                <c:pt idx="34">
                  <c:v>-7.6000000000000121</c:v>
                </c:pt>
                <c:pt idx="35">
                  <c:v>-7.5000000000000124</c:v>
                </c:pt>
                <c:pt idx="36">
                  <c:v>-7.4000000000000128</c:v>
                </c:pt>
                <c:pt idx="37">
                  <c:v>-7.3000000000000131</c:v>
                </c:pt>
                <c:pt idx="38">
                  <c:v>-7.2000000000000135</c:v>
                </c:pt>
                <c:pt idx="39">
                  <c:v>-7.1000000000000139</c:v>
                </c:pt>
                <c:pt idx="40">
                  <c:v>-7.0000000000000142</c:v>
                </c:pt>
                <c:pt idx="41">
                  <c:v>-6.9000000000000146</c:v>
                </c:pt>
                <c:pt idx="42">
                  <c:v>-6.8000000000000149</c:v>
                </c:pt>
                <c:pt idx="43">
                  <c:v>-6.7000000000000153</c:v>
                </c:pt>
                <c:pt idx="44">
                  <c:v>-6.6000000000000156</c:v>
                </c:pt>
                <c:pt idx="45">
                  <c:v>-6.500000000000016</c:v>
                </c:pt>
                <c:pt idx="46">
                  <c:v>-6.4000000000000163</c:v>
                </c:pt>
                <c:pt idx="47">
                  <c:v>-6.3000000000000167</c:v>
                </c:pt>
                <c:pt idx="48">
                  <c:v>-6.2000000000000171</c:v>
                </c:pt>
                <c:pt idx="49">
                  <c:v>-6.1000000000000174</c:v>
                </c:pt>
                <c:pt idx="50">
                  <c:v>-6.0000000000000178</c:v>
                </c:pt>
                <c:pt idx="51">
                  <c:v>-5.9000000000000181</c:v>
                </c:pt>
                <c:pt idx="52">
                  <c:v>-5.8000000000000185</c:v>
                </c:pt>
                <c:pt idx="53">
                  <c:v>-5.7000000000000188</c:v>
                </c:pt>
                <c:pt idx="54">
                  <c:v>-5.6000000000000192</c:v>
                </c:pt>
                <c:pt idx="55">
                  <c:v>-5.5000000000000195</c:v>
                </c:pt>
                <c:pt idx="56">
                  <c:v>-5.4000000000000199</c:v>
                </c:pt>
                <c:pt idx="57">
                  <c:v>-5.3000000000000203</c:v>
                </c:pt>
                <c:pt idx="58">
                  <c:v>-5.2000000000000206</c:v>
                </c:pt>
                <c:pt idx="59">
                  <c:v>-5.100000000000021</c:v>
                </c:pt>
                <c:pt idx="60">
                  <c:v>-5.0000000000000213</c:v>
                </c:pt>
                <c:pt idx="61">
                  <c:v>-4.9000000000000217</c:v>
                </c:pt>
                <c:pt idx="62">
                  <c:v>-4.800000000000022</c:v>
                </c:pt>
                <c:pt idx="63">
                  <c:v>-4.7000000000000224</c:v>
                </c:pt>
                <c:pt idx="64">
                  <c:v>-4.6000000000000227</c:v>
                </c:pt>
                <c:pt idx="65">
                  <c:v>-4.5000000000000231</c:v>
                </c:pt>
                <c:pt idx="66">
                  <c:v>-4.4000000000000234</c:v>
                </c:pt>
                <c:pt idx="67">
                  <c:v>-4.3000000000000238</c:v>
                </c:pt>
                <c:pt idx="68">
                  <c:v>-4.2000000000000242</c:v>
                </c:pt>
                <c:pt idx="69">
                  <c:v>-4.1000000000000245</c:v>
                </c:pt>
                <c:pt idx="70">
                  <c:v>-4.0000000000000249</c:v>
                </c:pt>
                <c:pt idx="71">
                  <c:v>-3.9000000000000248</c:v>
                </c:pt>
                <c:pt idx="72">
                  <c:v>-3.8000000000000247</c:v>
                </c:pt>
                <c:pt idx="73">
                  <c:v>-3.7000000000000246</c:v>
                </c:pt>
                <c:pt idx="74">
                  <c:v>-3.6000000000000245</c:v>
                </c:pt>
                <c:pt idx="75">
                  <c:v>-3.5000000000000244</c:v>
                </c:pt>
                <c:pt idx="76">
                  <c:v>-3.4000000000000243</c:v>
                </c:pt>
                <c:pt idx="77">
                  <c:v>-3.3000000000000242</c:v>
                </c:pt>
                <c:pt idx="78">
                  <c:v>-3.2000000000000242</c:v>
                </c:pt>
                <c:pt idx="79">
                  <c:v>-3.1000000000000241</c:v>
                </c:pt>
                <c:pt idx="80">
                  <c:v>-3.000000000000024</c:v>
                </c:pt>
                <c:pt idx="81">
                  <c:v>-2.9000000000000239</c:v>
                </c:pt>
                <c:pt idx="82">
                  <c:v>-2.8000000000000238</c:v>
                </c:pt>
                <c:pt idx="83">
                  <c:v>-2.7000000000000237</c:v>
                </c:pt>
                <c:pt idx="84">
                  <c:v>-2.6000000000000236</c:v>
                </c:pt>
                <c:pt idx="85">
                  <c:v>-2.5000000000000235</c:v>
                </c:pt>
                <c:pt idx="86">
                  <c:v>-2.4000000000000234</c:v>
                </c:pt>
                <c:pt idx="87">
                  <c:v>-2.3000000000000234</c:v>
                </c:pt>
                <c:pt idx="88">
                  <c:v>-2.2000000000000233</c:v>
                </c:pt>
                <c:pt idx="89">
                  <c:v>-2.1000000000000232</c:v>
                </c:pt>
                <c:pt idx="90">
                  <c:v>-2.0000000000000231</c:v>
                </c:pt>
                <c:pt idx="91">
                  <c:v>-1.900000000000023</c:v>
                </c:pt>
                <c:pt idx="92">
                  <c:v>-1.8000000000000229</c:v>
                </c:pt>
                <c:pt idx="93">
                  <c:v>-1.7000000000000228</c:v>
                </c:pt>
                <c:pt idx="94">
                  <c:v>-1.6000000000000227</c:v>
                </c:pt>
                <c:pt idx="95">
                  <c:v>-1.5000000000000226</c:v>
                </c:pt>
                <c:pt idx="96">
                  <c:v>-1.4000000000000226</c:v>
                </c:pt>
                <c:pt idx="97">
                  <c:v>-1.3000000000000225</c:v>
                </c:pt>
                <c:pt idx="98">
                  <c:v>-1.2000000000000224</c:v>
                </c:pt>
                <c:pt idx="99">
                  <c:v>-1.1000000000000223</c:v>
                </c:pt>
                <c:pt idx="100">
                  <c:v>-1.0000000000000222</c:v>
                </c:pt>
                <c:pt idx="101">
                  <c:v>-0.90000000000002223</c:v>
                </c:pt>
                <c:pt idx="102">
                  <c:v>-0.80000000000002225</c:v>
                </c:pt>
                <c:pt idx="103">
                  <c:v>-0.70000000000002227</c:v>
                </c:pt>
                <c:pt idx="104">
                  <c:v>-0.60000000000002229</c:v>
                </c:pt>
                <c:pt idx="105">
                  <c:v>-0.50000000000002232</c:v>
                </c:pt>
                <c:pt idx="106">
                  <c:v>-0.40000000000002234</c:v>
                </c:pt>
                <c:pt idx="107">
                  <c:v>-0.30000000000002236</c:v>
                </c:pt>
                <c:pt idx="108">
                  <c:v>-0.20000000000002235</c:v>
                </c:pt>
                <c:pt idx="109">
                  <c:v>-0.10000000000002235</c:v>
                </c:pt>
                <c:pt idx="110">
                  <c:v>-2.2343238370581275E-14</c:v>
                </c:pt>
                <c:pt idx="111">
                  <c:v>9.9999999999977662E-2</c:v>
                </c:pt>
                <c:pt idx="112">
                  <c:v>0.19999999999997767</c:v>
                </c:pt>
                <c:pt idx="113">
                  <c:v>0.29999999999997767</c:v>
                </c:pt>
                <c:pt idx="114">
                  <c:v>0.39999999999997771</c:v>
                </c:pt>
                <c:pt idx="115">
                  <c:v>0.49999999999997768</c:v>
                </c:pt>
                <c:pt idx="116">
                  <c:v>0.59999999999997766</c:v>
                </c:pt>
                <c:pt idx="117">
                  <c:v>0.69999999999997764</c:v>
                </c:pt>
                <c:pt idx="118">
                  <c:v>0.79999999999997762</c:v>
                </c:pt>
                <c:pt idx="119">
                  <c:v>0.8999999999999776</c:v>
                </c:pt>
                <c:pt idx="120">
                  <c:v>0.99999999999997757</c:v>
                </c:pt>
                <c:pt idx="121">
                  <c:v>1.0999999999999777</c:v>
                </c:pt>
                <c:pt idx="122">
                  <c:v>1.1999999999999778</c:v>
                </c:pt>
                <c:pt idx="123">
                  <c:v>1.2999999999999778</c:v>
                </c:pt>
                <c:pt idx="124">
                  <c:v>1.3999999999999779</c:v>
                </c:pt>
                <c:pt idx="125">
                  <c:v>1.499999999999978</c:v>
                </c:pt>
                <c:pt idx="126">
                  <c:v>1.5999999999999781</c:v>
                </c:pt>
                <c:pt idx="127">
                  <c:v>1.6999999999999782</c:v>
                </c:pt>
                <c:pt idx="128">
                  <c:v>1.7999999999999783</c:v>
                </c:pt>
                <c:pt idx="129">
                  <c:v>1.8999999999999784</c:v>
                </c:pt>
                <c:pt idx="130">
                  <c:v>1.9999999999999785</c:v>
                </c:pt>
                <c:pt idx="131">
                  <c:v>2.0999999999999783</c:v>
                </c:pt>
                <c:pt idx="132">
                  <c:v>2.1999999999999784</c:v>
                </c:pt>
                <c:pt idx="133">
                  <c:v>2.2999999999999785</c:v>
                </c:pt>
                <c:pt idx="134">
                  <c:v>2.3999999999999786</c:v>
                </c:pt>
                <c:pt idx="135">
                  <c:v>2.4999999999999787</c:v>
                </c:pt>
                <c:pt idx="136">
                  <c:v>2.5999999999999788</c:v>
                </c:pt>
                <c:pt idx="137">
                  <c:v>2.6999999999999789</c:v>
                </c:pt>
                <c:pt idx="138">
                  <c:v>2.799999999999979</c:v>
                </c:pt>
                <c:pt idx="139">
                  <c:v>2.899999999999979</c:v>
                </c:pt>
                <c:pt idx="140">
                  <c:v>2.9999999999999791</c:v>
                </c:pt>
                <c:pt idx="141">
                  <c:v>3.0999999999999792</c:v>
                </c:pt>
                <c:pt idx="142">
                  <c:v>3.1999999999999793</c:v>
                </c:pt>
                <c:pt idx="143">
                  <c:v>3.2999999999999794</c:v>
                </c:pt>
                <c:pt idx="144">
                  <c:v>3.3999999999999795</c:v>
                </c:pt>
                <c:pt idx="145">
                  <c:v>3.4999999999999796</c:v>
                </c:pt>
                <c:pt idx="146">
                  <c:v>3.5999999999999797</c:v>
                </c:pt>
                <c:pt idx="147">
                  <c:v>3.6999999999999797</c:v>
                </c:pt>
                <c:pt idx="148">
                  <c:v>3.7999999999999798</c:v>
                </c:pt>
                <c:pt idx="149">
                  <c:v>3.8999999999999799</c:v>
                </c:pt>
                <c:pt idx="150">
                  <c:v>3.99999999999998</c:v>
                </c:pt>
                <c:pt idx="151">
                  <c:v>4.0999999999999801</c:v>
                </c:pt>
                <c:pt idx="152">
                  <c:v>4.1999999999999797</c:v>
                </c:pt>
                <c:pt idx="153">
                  <c:v>4.2999999999999794</c:v>
                </c:pt>
                <c:pt idx="154">
                  <c:v>4.399999999999979</c:v>
                </c:pt>
                <c:pt idx="155">
                  <c:v>4.4999999999999787</c:v>
                </c:pt>
                <c:pt idx="156">
                  <c:v>4.5999999999999783</c:v>
                </c:pt>
                <c:pt idx="157">
                  <c:v>4.699999999999978</c:v>
                </c:pt>
                <c:pt idx="158">
                  <c:v>4.7999999999999776</c:v>
                </c:pt>
                <c:pt idx="159">
                  <c:v>4.8999999999999773</c:v>
                </c:pt>
                <c:pt idx="160">
                  <c:v>4.9999999999999769</c:v>
                </c:pt>
                <c:pt idx="161">
                  <c:v>5.0999999999999766</c:v>
                </c:pt>
                <c:pt idx="162">
                  <c:v>5.1999999999999762</c:v>
                </c:pt>
                <c:pt idx="163">
                  <c:v>5.2999999999999758</c:v>
                </c:pt>
                <c:pt idx="164">
                  <c:v>5.3999999999999755</c:v>
                </c:pt>
                <c:pt idx="165">
                  <c:v>5.4999999999999751</c:v>
                </c:pt>
                <c:pt idx="166">
                  <c:v>5.5999999999999748</c:v>
                </c:pt>
                <c:pt idx="167">
                  <c:v>5.6999999999999744</c:v>
                </c:pt>
                <c:pt idx="168">
                  <c:v>5.7999999999999741</c:v>
                </c:pt>
                <c:pt idx="169">
                  <c:v>5.8999999999999737</c:v>
                </c:pt>
                <c:pt idx="170">
                  <c:v>5.9999999999999734</c:v>
                </c:pt>
                <c:pt idx="171">
                  <c:v>6.099999999999973</c:v>
                </c:pt>
                <c:pt idx="172">
                  <c:v>6.1999999999999726</c:v>
                </c:pt>
                <c:pt idx="173">
                  <c:v>6.2999999999999723</c:v>
                </c:pt>
                <c:pt idx="174">
                  <c:v>6.3999999999999719</c:v>
                </c:pt>
                <c:pt idx="175">
                  <c:v>6.4999999999999716</c:v>
                </c:pt>
                <c:pt idx="176">
                  <c:v>6.5999999999999712</c:v>
                </c:pt>
                <c:pt idx="177">
                  <c:v>6.6999999999999709</c:v>
                </c:pt>
                <c:pt idx="178">
                  <c:v>6.7999999999999705</c:v>
                </c:pt>
                <c:pt idx="179">
                  <c:v>6.8999999999999702</c:v>
                </c:pt>
                <c:pt idx="180">
                  <c:v>6.9999999999999698</c:v>
                </c:pt>
                <c:pt idx="181">
                  <c:v>7.0999999999999694</c:v>
                </c:pt>
                <c:pt idx="182">
                  <c:v>7.1999999999999691</c:v>
                </c:pt>
                <c:pt idx="183">
                  <c:v>7.2999999999999687</c:v>
                </c:pt>
                <c:pt idx="184">
                  <c:v>7.3999999999999684</c:v>
                </c:pt>
                <c:pt idx="185">
                  <c:v>7.499999999999968</c:v>
                </c:pt>
                <c:pt idx="186">
                  <c:v>7.5999999999999677</c:v>
                </c:pt>
                <c:pt idx="187">
                  <c:v>7.6999999999999673</c:v>
                </c:pt>
                <c:pt idx="188">
                  <c:v>7.799999999999967</c:v>
                </c:pt>
                <c:pt idx="189">
                  <c:v>7.8999999999999666</c:v>
                </c:pt>
                <c:pt idx="190">
                  <c:v>7.9999999999999662</c:v>
                </c:pt>
                <c:pt idx="191">
                  <c:v>8.0999999999999659</c:v>
                </c:pt>
                <c:pt idx="192">
                  <c:v>8.1999999999999655</c:v>
                </c:pt>
                <c:pt idx="193">
                  <c:v>8.2999999999999652</c:v>
                </c:pt>
                <c:pt idx="194">
                  <c:v>8.3999999999999648</c:v>
                </c:pt>
                <c:pt idx="195">
                  <c:v>8.4999999999999645</c:v>
                </c:pt>
                <c:pt idx="196">
                  <c:v>8.5999999999999641</c:v>
                </c:pt>
                <c:pt idx="197">
                  <c:v>8.6999999999999638</c:v>
                </c:pt>
                <c:pt idx="198">
                  <c:v>8.7999999999999634</c:v>
                </c:pt>
                <c:pt idx="199">
                  <c:v>8.8999999999999631</c:v>
                </c:pt>
                <c:pt idx="200">
                  <c:v>8.9999999999999627</c:v>
                </c:pt>
                <c:pt idx="201">
                  <c:v>9.0999999999999623</c:v>
                </c:pt>
                <c:pt idx="202">
                  <c:v>9.199999999999962</c:v>
                </c:pt>
                <c:pt idx="203">
                  <c:v>9.2999999999999616</c:v>
                </c:pt>
                <c:pt idx="204">
                  <c:v>9.3999999999999613</c:v>
                </c:pt>
                <c:pt idx="205">
                  <c:v>9.4999999999999609</c:v>
                </c:pt>
                <c:pt idx="206">
                  <c:v>9.5999999999999606</c:v>
                </c:pt>
                <c:pt idx="207">
                  <c:v>9.6999999999999602</c:v>
                </c:pt>
                <c:pt idx="208">
                  <c:v>9.7999999999999599</c:v>
                </c:pt>
                <c:pt idx="209">
                  <c:v>9.8999999999999595</c:v>
                </c:pt>
                <c:pt idx="210">
                  <c:v>9.9999999999999591</c:v>
                </c:pt>
                <c:pt idx="211">
                  <c:v>10.099999999999959</c:v>
                </c:pt>
                <c:pt idx="212">
                  <c:v>10.199999999999958</c:v>
                </c:pt>
                <c:pt idx="213">
                  <c:v>10.299999999999958</c:v>
                </c:pt>
                <c:pt idx="214">
                  <c:v>10.399999999999958</c:v>
                </c:pt>
                <c:pt idx="215">
                  <c:v>10.499999999999957</c:v>
                </c:pt>
                <c:pt idx="216">
                  <c:v>10.599999999999957</c:v>
                </c:pt>
                <c:pt idx="217">
                  <c:v>10.699999999999957</c:v>
                </c:pt>
                <c:pt idx="218">
                  <c:v>10.799999999999956</c:v>
                </c:pt>
                <c:pt idx="219">
                  <c:v>10.899999999999956</c:v>
                </c:pt>
                <c:pt idx="220">
                  <c:v>10.999999999999956</c:v>
                </c:pt>
              </c:numCache>
            </c:numRef>
          </c:xVal>
          <c:yVal>
            <c:numRef>
              <c:f>ArtificialTreatments!$H$21:$H$241</c:f>
              <c:numCache>
                <c:formatCode>General</c:formatCode>
                <c:ptCount val="2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1.6666666666665424E-2</c:v>
                </c:pt>
                <c:pt idx="22">
                  <c:v>3.3333333333332028E-2</c:v>
                </c:pt>
                <c:pt idx="23">
                  <c:v>4.9999999999998636E-2</c:v>
                </c:pt>
                <c:pt idx="24">
                  <c:v>6.666666666666525E-2</c:v>
                </c:pt>
                <c:pt idx="25">
                  <c:v>8.3333333333331858E-2</c:v>
                </c:pt>
                <c:pt idx="26">
                  <c:v>9.9999999999998465E-2</c:v>
                </c:pt>
                <c:pt idx="27">
                  <c:v>0.11666666666666507</c:v>
                </c:pt>
                <c:pt idx="28">
                  <c:v>0.13333333333333167</c:v>
                </c:pt>
                <c:pt idx="29">
                  <c:v>0.14999999999999827</c:v>
                </c:pt>
                <c:pt idx="30">
                  <c:v>0.16666666666666488</c:v>
                </c:pt>
                <c:pt idx="31">
                  <c:v>0.18333333333333149</c:v>
                </c:pt>
                <c:pt idx="32">
                  <c:v>0.1999999999999981</c:v>
                </c:pt>
                <c:pt idx="33">
                  <c:v>0.2166666666666647</c:v>
                </c:pt>
                <c:pt idx="34">
                  <c:v>0.23333333333333131</c:v>
                </c:pt>
                <c:pt idx="35">
                  <c:v>0.24999999999999792</c:v>
                </c:pt>
                <c:pt idx="36">
                  <c:v>0.26666666666666455</c:v>
                </c:pt>
                <c:pt idx="37">
                  <c:v>0.28333333333333116</c:v>
                </c:pt>
                <c:pt idx="38">
                  <c:v>0.29999999999999777</c:v>
                </c:pt>
                <c:pt idx="39">
                  <c:v>0.31666666666666438</c:v>
                </c:pt>
                <c:pt idx="40">
                  <c:v>0.33333333333333098</c:v>
                </c:pt>
                <c:pt idx="41">
                  <c:v>0.34999999999999759</c:v>
                </c:pt>
                <c:pt idx="42">
                  <c:v>0.3666666666666642</c:v>
                </c:pt>
                <c:pt idx="43">
                  <c:v>0.38333333333333081</c:v>
                </c:pt>
                <c:pt idx="44">
                  <c:v>0.39999999999999741</c:v>
                </c:pt>
                <c:pt idx="45">
                  <c:v>0.41666666666666402</c:v>
                </c:pt>
                <c:pt idx="46">
                  <c:v>0.43333333333333063</c:v>
                </c:pt>
                <c:pt idx="47">
                  <c:v>0.44999999999999724</c:v>
                </c:pt>
                <c:pt idx="48">
                  <c:v>0.46666666666666384</c:v>
                </c:pt>
                <c:pt idx="49">
                  <c:v>0.48333333333333045</c:v>
                </c:pt>
                <c:pt idx="50">
                  <c:v>0.49999999999999706</c:v>
                </c:pt>
                <c:pt idx="51">
                  <c:v>0.51666666666666361</c:v>
                </c:pt>
                <c:pt idx="52">
                  <c:v>0.53333333333333022</c:v>
                </c:pt>
                <c:pt idx="53">
                  <c:v>0.54999999999999682</c:v>
                </c:pt>
                <c:pt idx="54">
                  <c:v>0.56666666666666343</c:v>
                </c:pt>
                <c:pt idx="55">
                  <c:v>0.58333333333333004</c:v>
                </c:pt>
                <c:pt idx="56">
                  <c:v>0</c:v>
                </c:pt>
                <c:pt idx="57">
                  <c:v>0.61666666666666325</c:v>
                </c:pt>
                <c:pt idx="58">
                  <c:v>0.63333333333332986</c:v>
                </c:pt>
                <c:pt idx="59">
                  <c:v>0.64999999999999647</c:v>
                </c:pt>
                <c:pt idx="60">
                  <c:v>0.66666666666666308</c:v>
                </c:pt>
                <c:pt idx="61">
                  <c:v>0.68333333333332968</c:v>
                </c:pt>
                <c:pt idx="62">
                  <c:v>0.69999999999999629</c:v>
                </c:pt>
                <c:pt idx="63">
                  <c:v>0.7166666666666629</c:v>
                </c:pt>
                <c:pt idx="64">
                  <c:v>0.73333333333332951</c:v>
                </c:pt>
                <c:pt idx="65">
                  <c:v>0.74999999999999611</c:v>
                </c:pt>
                <c:pt idx="66">
                  <c:v>0.76666666666666272</c:v>
                </c:pt>
                <c:pt idx="67">
                  <c:v>0.78333333333332933</c:v>
                </c:pt>
                <c:pt idx="68">
                  <c:v>0.79999999999999594</c:v>
                </c:pt>
                <c:pt idx="69">
                  <c:v>0.81666666666666254</c:v>
                </c:pt>
                <c:pt idx="70">
                  <c:v>0.83333333333332915</c:v>
                </c:pt>
                <c:pt idx="71">
                  <c:v>0.84999999999999576</c:v>
                </c:pt>
                <c:pt idx="72">
                  <c:v>0.86666666666666259</c:v>
                </c:pt>
                <c:pt idx="73">
                  <c:v>0.88333333333332931</c:v>
                </c:pt>
                <c:pt idx="74">
                  <c:v>0.89999999999999591</c:v>
                </c:pt>
                <c:pt idx="75">
                  <c:v>0.91666666666666252</c:v>
                </c:pt>
                <c:pt idx="76">
                  <c:v>0.93333333333332924</c:v>
                </c:pt>
                <c:pt idx="77">
                  <c:v>0.94999999999999607</c:v>
                </c:pt>
                <c:pt idx="78">
                  <c:v>0.96666666666666268</c:v>
                </c:pt>
                <c:pt idx="79">
                  <c:v>0.98333333333332928</c:v>
                </c:pt>
                <c:pt idx="80">
                  <c:v>0.999999999999996</c:v>
                </c:pt>
                <c:pt idx="81">
                  <c:v>0.98333333333333728</c:v>
                </c:pt>
                <c:pt idx="82">
                  <c:v>0.96666666666667067</c:v>
                </c:pt>
                <c:pt idx="83">
                  <c:v>0.95000000000000395</c:v>
                </c:pt>
                <c:pt idx="84">
                  <c:v>0.93333333333333723</c:v>
                </c:pt>
                <c:pt idx="85">
                  <c:v>0.91666666666667063</c:v>
                </c:pt>
                <c:pt idx="86">
                  <c:v>0.90000000000000391</c:v>
                </c:pt>
                <c:pt idx="87">
                  <c:v>0.88333333333333719</c:v>
                </c:pt>
                <c:pt idx="88">
                  <c:v>0.86666666666667058</c:v>
                </c:pt>
                <c:pt idx="89">
                  <c:v>0.85000000000000386</c:v>
                </c:pt>
                <c:pt idx="90">
                  <c:v>0.83333333333333715</c:v>
                </c:pt>
                <c:pt idx="91">
                  <c:v>0.81666666666667054</c:v>
                </c:pt>
                <c:pt idx="92">
                  <c:v>0.80000000000000382</c:v>
                </c:pt>
                <c:pt idx="93">
                  <c:v>0.7833333333333371</c:v>
                </c:pt>
                <c:pt idx="94">
                  <c:v>0.76666666666667049</c:v>
                </c:pt>
                <c:pt idx="95">
                  <c:v>0.75000000000000377</c:v>
                </c:pt>
                <c:pt idx="96">
                  <c:v>0.73333333333333717</c:v>
                </c:pt>
                <c:pt idx="97">
                  <c:v>0.71666666666667034</c:v>
                </c:pt>
                <c:pt idx="98">
                  <c:v>0.70000000000000373</c:v>
                </c:pt>
                <c:pt idx="99">
                  <c:v>0.68333333333333712</c:v>
                </c:pt>
                <c:pt idx="100">
                  <c:v>0.66666666666667029</c:v>
                </c:pt>
                <c:pt idx="101">
                  <c:v>0.65000000000000369</c:v>
                </c:pt>
                <c:pt idx="102">
                  <c:v>0.63333333333333708</c:v>
                </c:pt>
                <c:pt idx="103">
                  <c:v>0.61666666666667047</c:v>
                </c:pt>
                <c:pt idx="104">
                  <c:v>0.60000000000000364</c:v>
                </c:pt>
                <c:pt idx="105">
                  <c:v>0.58333333333333703</c:v>
                </c:pt>
                <c:pt idx="106">
                  <c:v>0.56666666666667043</c:v>
                </c:pt>
                <c:pt idx="107">
                  <c:v>0.55000000000000382</c:v>
                </c:pt>
                <c:pt idx="108">
                  <c:v>0.53333333333333699</c:v>
                </c:pt>
                <c:pt idx="109">
                  <c:v>0.51666666666667038</c:v>
                </c:pt>
                <c:pt idx="110">
                  <c:v>0.50000000000000377</c:v>
                </c:pt>
                <c:pt idx="111">
                  <c:v>0.48333333333333706</c:v>
                </c:pt>
                <c:pt idx="112">
                  <c:v>0.46666666666667045</c:v>
                </c:pt>
                <c:pt idx="113">
                  <c:v>0.45000000000000373</c:v>
                </c:pt>
                <c:pt idx="114">
                  <c:v>0.43333333333333701</c:v>
                </c:pt>
                <c:pt idx="115">
                  <c:v>0.4166666666666704</c:v>
                </c:pt>
                <c:pt idx="116">
                  <c:v>0.4000000000000038</c:v>
                </c:pt>
                <c:pt idx="117">
                  <c:v>0.38333333333333708</c:v>
                </c:pt>
                <c:pt idx="118">
                  <c:v>0.36666666666667036</c:v>
                </c:pt>
                <c:pt idx="119">
                  <c:v>0.35000000000000375</c:v>
                </c:pt>
                <c:pt idx="120">
                  <c:v>0.33333333333333703</c:v>
                </c:pt>
                <c:pt idx="121">
                  <c:v>0.31666666666667043</c:v>
                </c:pt>
                <c:pt idx="122">
                  <c:v>0.30000000000000371</c:v>
                </c:pt>
                <c:pt idx="123">
                  <c:v>0.2833333333333371</c:v>
                </c:pt>
                <c:pt idx="124">
                  <c:v>0.26666666666667027</c:v>
                </c:pt>
                <c:pt idx="125">
                  <c:v>0.25000000000000366</c:v>
                </c:pt>
                <c:pt idx="126">
                  <c:v>0.23333333333333695</c:v>
                </c:pt>
                <c:pt idx="127">
                  <c:v>0.21666666666667034</c:v>
                </c:pt>
                <c:pt idx="128">
                  <c:v>0.20000000000000362</c:v>
                </c:pt>
                <c:pt idx="129">
                  <c:v>0.18333333333333701</c:v>
                </c:pt>
                <c:pt idx="130">
                  <c:v>0.16666666666667018</c:v>
                </c:pt>
                <c:pt idx="131">
                  <c:v>0.15000000000000357</c:v>
                </c:pt>
                <c:pt idx="132">
                  <c:v>0.13333333333333697</c:v>
                </c:pt>
                <c:pt idx="133">
                  <c:v>0.11666666666667025</c:v>
                </c:pt>
                <c:pt idx="134">
                  <c:v>0.10000000000000353</c:v>
                </c:pt>
                <c:pt idx="135">
                  <c:v>8.3333333333336923E-2</c:v>
                </c:pt>
                <c:pt idx="136">
                  <c:v>6.6666666666670316E-2</c:v>
                </c:pt>
                <c:pt idx="137">
                  <c:v>5.0000000000003486E-2</c:v>
                </c:pt>
                <c:pt idx="138">
                  <c:v>3.3333333333336768E-2</c:v>
                </c:pt>
                <c:pt idx="139">
                  <c:v>1.666666666667016E-2</c:v>
                </c:pt>
                <c:pt idx="140">
                  <c:v>3.5527136788005009E-15</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numCache>
            </c:numRef>
          </c:yVal>
          <c:smooth val="0"/>
          <c:extLst>
            <c:ext xmlns:c16="http://schemas.microsoft.com/office/drawing/2014/chart" uri="{C3380CC4-5D6E-409C-BE32-E72D297353CC}">
              <c16:uniqueId val="{00000002-0B1D-48C5-A548-65EA566F20AE}"/>
            </c:ext>
          </c:extLst>
        </c:ser>
        <c:ser>
          <c:idx val="3"/>
          <c:order val="3"/>
          <c:tx>
            <c:strRef>
              <c:f>ArtificialTreatments!$I$20</c:f>
              <c:strCache>
                <c:ptCount val="1"/>
                <c:pt idx="0">
                  <c:v>X3</c:v>
                </c:pt>
              </c:strCache>
            </c:strRef>
          </c:tx>
          <c:spPr>
            <a:ln w="19050" cap="rnd">
              <a:solidFill>
                <a:schemeClr val="accent4"/>
              </a:solidFill>
              <a:round/>
            </a:ln>
            <a:effectLst/>
          </c:spPr>
          <c:marker>
            <c:symbol val="none"/>
          </c:marker>
          <c:xVal>
            <c:numRef>
              <c:f>ArtificialTreatments!$B$21:$B$241</c:f>
              <c:numCache>
                <c:formatCode>General</c:formatCode>
                <c:ptCount val="221"/>
                <c:pt idx="0">
                  <c:v>-11</c:v>
                </c:pt>
                <c:pt idx="1">
                  <c:v>-10.9</c:v>
                </c:pt>
                <c:pt idx="2">
                  <c:v>-10.8</c:v>
                </c:pt>
                <c:pt idx="3">
                  <c:v>-10.700000000000001</c:v>
                </c:pt>
                <c:pt idx="4">
                  <c:v>-10.600000000000001</c:v>
                </c:pt>
                <c:pt idx="5">
                  <c:v>-10.500000000000002</c:v>
                </c:pt>
                <c:pt idx="6">
                  <c:v>-10.400000000000002</c:v>
                </c:pt>
                <c:pt idx="7">
                  <c:v>-10.300000000000002</c:v>
                </c:pt>
                <c:pt idx="8">
                  <c:v>-10.200000000000003</c:v>
                </c:pt>
                <c:pt idx="9">
                  <c:v>-10.100000000000003</c:v>
                </c:pt>
                <c:pt idx="10">
                  <c:v>-10.000000000000004</c:v>
                </c:pt>
                <c:pt idx="11">
                  <c:v>-9.9000000000000039</c:v>
                </c:pt>
                <c:pt idx="12">
                  <c:v>-9.8000000000000043</c:v>
                </c:pt>
                <c:pt idx="13">
                  <c:v>-9.7000000000000046</c:v>
                </c:pt>
                <c:pt idx="14">
                  <c:v>-9.600000000000005</c:v>
                </c:pt>
                <c:pt idx="15">
                  <c:v>-9.5000000000000053</c:v>
                </c:pt>
                <c:pt idx="16">
                  <c:v>-9.4000000000000057</c:v>
                </c:pt>
                <c:pt idx="17">
                  <c:v>-9.300000000000006</c:v>
                </c:pt>
                <c:pt idx="18">
                  <c:v>-9.2000000000000064</c:v>
                </c:pt>
                <c:pt idx="19">
                  <c:v>-9.1000000000000068</c:v>
                </c:pt>
                <c:pt idx="20">
                  <c:v>-9.0000000000000071</c:v>
                </c:pt>
                <c:pt idx="21">
                  <c:v>-8.9000000000000075</c:v>
                </c:pt>
                <c:pt idx="22">
                  <c:v>-8.8000000000000078</c:v>
                </c:pt>
                <c:pt idx="23">
                  <c:v>-8.7000000000000082</c:v>
                </c:pt>
                <c:pt idx="24">
                  <c:v>-8.6000000000000085</c:v>
                </c:pt>
                <c:pt idx="25">
                  <c:v>-8.5000000000000089</c:v>
                </c:pt>
                <c:pt idx="26">
                  <c:v>-8.4000000000000092</c:v>
                </c:pt>
                <c:pt idx="27">
                  <c:v>-8.3000000000000096</c:v>
                </c:pt>
                <c:pt idx="28">
                  <c:v>-8.2000000000000099</c:v>
                </c:pt>
                <c:pt idx="29">
                  <c:v>-8.1000000000000103</c:v>
                </c:pt>
                <c:pt idx="30">
                  <c:v>-8.0000000000000107</c:v>
                </c:pt>
                <c:pt idx="31">
                  <c:v>-7.900000000000011</c:v>
                </c:pt>
                <c:pt idx="32">
                  <c:v>-7.8000000000000114</c:v>
                </c:pt>
                <c:pt idx="33">
                  <c:v>-7.7000000000000117</c:v>
                </c:pt>
                <c:pt idx="34">
                  <c:v>-7.6000000000000121</c:v>
                </c:pt>
                <c:pt idx="35">
                  <c:v>-7.5000000000000124</c:v>
                </c:pt>
                <c:pt idx="36">
                  <c:v>-7.4000000000000128</c:v>
                </c:pt>
                <c:pt idx="37">
                  <c:v>-7.3000000000000131</c:v>
                </c:pt>
                <c:pt idx="38">
                  <c:v>-7.2000000000000135</c:v>
                </c:pt>
                <c:pt idx="39">
                  <c:v>-7.1000000000000139</c:v>
                </c:pt>
                <c:pt idx="40">
                  <c:v>-7.0000000000000142</c:v>
                </c:pt>
                <c:pt idx="41">
                  <c:v>-6.9000000000000146</c:v>
                </c:pt>
                <c:pt idx="42">
                  <c:v>-6.8000000000000149</c:v>
                </c:pt>
                <c:pt idx="43">
                  <c:v>-6.7000000000000153</c:v>
                </c:pt>
                <c:pt idx="44">
                  <c:v>-6.6000000000000156</c:v>
                </c:pt>
                <c:pt idx="45">
                  <c:v>-6.500000000000016</c:v>
                </c:pt>
                <c:pt idx="46">
                  <c:v>-6.4000000000000163</c:v>
                </c:pt>
                <c:pt idx="47">
                  <c:v>-6.3000000000000167</c:v>
                </c:pt>
                <c:pt idx="48">
                  <c:v>-6.2000000000000171</c:v>
                </c:pt>
                <c:pt idx="49">
                  <c:v>-6.1000000000000174</c:v>
                </c:pt>
                <c:pt idx="50">
                  <c:v>-6.0000000000000178</c:v>
                </c:pt>
                <c:pt idx="51">
                  <c:v>-5.9000000000000181</c:v>
                </c:pt>
                <c:pt idx="52">
                  <c:v>-5.8000000000000185</c:v>
                </c:pt>
                <c:pt idx="53">
                  <c:v>-5.7000000000000188</c:v>
                </c:pt>
                <c:pt idx="54">
                  <c:v>-5.6000000000000192</c:v>
                </c:pt>
                <c:pt idx="55">
                  <c:v>-5.5000000000000195</c:v>
                </c:pt>
                <c:pt idx="56">
                  <c:v>-5.4000000000000199</c:v>
                </c:pt>
                <c:pt idx="57">
                  <c:v>-5.3000000000000203</c:v>
                </c:pt>
                <c:pt idx="58">
                  <c:v>-5.2000000000000206</c:v>
                </c:pt>
                <c:pt idx="59">
                  <c:v>-5.100000000000021</c:v>
                </c:pt>
                <c:pt idx="60">
                  <c:v>-5.0000000000000213</c:v>
                </c:pt>
                <c:pt idx="61">
                  <c:v>-4.9000000000000217</c:v>
                </c:pt>
                <c:pt idx="62">
                  <c:v>-4.800000000000022</c:v>
                </c:pt>
                <c:pt idx="63">
                  <c:v>-4.7000000000000224</c:v>
                </c:pt>
                <c:pt idx="64">
                  <c:v>-4.6000000000000227</c:v>
                </c:pt>
                <c:pt idx="65">
                  <c:v>-4.5000000000000231</c:v>
                </c:pt>
                <c:pt idx="66">
                  <c:v>-4.4000000000000234</c:v>
                </c:pt>
                <c:pt idx="67">
                  <c:v>-4.3000000000000238</c:v>
                </c:pt>
                <c:pt idx="68">
                  <c:v>-4.2000000000000242</c:v>
                </c:pt>
                <c:pt idx="69">
                  <c:v>-4.1000000000000245</c:v>
                </c:pt>
                <c:pt idx="70">
                  <c:v>-4.0000000000000249</c:v>
                </c:pt>
                <c:pt idx="71">
                  <c:v>-3.9000000000000248</c:v>
                </c:pt>
                <c:pt idx="72">
                  <c:v>-3.8000000000000247</c:v>
                </c:pt>
                <c:pt idx="73">
                  <c:v>-3.7000000000000246</c:v>
                </c:pt>
                <c:pt idx="74">
                  <c:v>-3.6000000000000245</c:v>
                </c:pt>
                <c:pt idx="75">
                  <c:v>-3.5000000000000244</c:v>
                </c:pt>
                <c:pt idx="76">
                  <c:v>-3.4000000000000243</c:v>
                </c:pt>
                <c:pt idx="77">
                  <c:v>-3.3000000000000242</c:v>
                </c:pt>
                <c:pt idx="78">
                  <c:v>-3.2000000000000242</c:v>
                </c:pt>
                <c:pt idx="79">
                  <c:v>-3.1000000000000241</c:v>
                </c:pt>
                <c:pt idx="80">
                  <c:v>-3.000000000000024</c:v>
                </c:pt>
                <c:pt idx="81">
                  <c:v>-2.9000000000000239</c:v>
                </c:pt>
                <c:pt idx="82">
                  <c:v>-2.8000000000000238</c:v>
                </c:pt>
                <c:pt idx="83">
                  <c:v>-2.7000000000000237</c:v>
                </c:pt>
                <c:pt idx="84">
                  <c:v>-2.6000000000000236</c:v>
                </c:pt>
                <c:pt idx="85">
                  <c:v>-2.5000000000000235</c:v>
                </c:pt>
                <c:pt idx="86">
                  <c:v>-2.4000000000000234</c:v>
                </c:pt>
                <c:pt idx="87">
                  <c:v>-2.3000000000000234</c:v>
                </c:pt>
                <c:pt idx="88">
                  <c:v>-2.2000000000000233</c:v>
                </c:pt>
                <c:pt idx="89">
                  <c:v>-2.1000000000000232</c:v>
                </c:pt>
                <c:pt idx="90">
                  <c:v>-2.0000000000000231</c:v>
                </c:pt>
                <c:pt idx="91">
                  <c:v>-1.900000000000023</c:v>
                </c:pt>
                <c:pt idx="92">
                  <c:v>-1.8000000000000229</c:v>
                </c:pt>
                <c:pt idx="93">
                  <c:v>-1.7000000000000228</c:v>
                </c:pt>
                <c:pt idx="94">
                  <c:v>-1.6000000000000227</c:v>
                </c:pt>
                <c:pt idx="95">
                  <c:v>-1.5000000000000226</c:v>
                </c:pt>
                <c:pt idx="96">
                  <c:v>-1.4000000000000226</c:v>
                </c:pt>
                <c:pt idx="97">
                  <c:v>-1.3000000000000225</c:v>
                </c:pt>
                <c:pt idx="98">
                  <c:v>-1.2000000000000224</c:v>
                </c:pt>
                <c:pt idx="99">
                  <c:v>-1.1000000000000223</c:v>
                </c:pt>
                <c:pt idx="100">
                  <c:v>-1.0000000000000222</c:v>
                </c:pt>
                <c:pt idx="101">
                  <c:v>-0.90000000000002223</c:v>
                </c:pt>
                <c:pt idx="102">
                  <c:v>-0.80000000000002225</c:v>
                </c:pt>
                <c:pt idx="103">
                  <c:v>-0.70000000000002227</c:v>
                </c:pt>
                <c:pt idx="104">
                  <c:v>-0.60000000000002229</c:v>
                </c:pt>
                <c:pt idx="105">
                  <c:v>-0.50000000000002232</c:v>
                </c:pt>
                <c:pt idx="106">
                  <c:v>-0.40000000000002234</c:v>
                </c:pt>
                <c:pt idx="107">
                  <c:v>-0.30000000000002236</c:v>
                </c:pt>
                <c:pt idx="108">
                  <c:v>-0.20000000000002235</c:v>
                </c:pt>
                <c:pt idx="109">
                  <c:v>-0.10000000000002235</c:v>
                </c:pt>
                <c:pt idx="110">
                  <c:v>-2.2343238370581275E-14</c:v>
                </c:pt>
                <c:pt idx="111">
                  <c:v>9.9999999999977662E-2</c:v>
                </c:pt>
                <c:pt idx="112">
                  <c:v>0.19999999999997767</c:v>
                </c:pt>
                <c:pt idx="113">
                  <c:v>0.29999999999997767</c:v>
                </c:pt>
                <c:pt idx="114">
                  <c:v>0.39999999999997771</c:v>
                </c:pt>
                <c:pt idx="115">
                  <c:v>0.49999999999997768</c:v>
                </c:pt>
                <c:pt idx="116">
                  <c:v>0.59999999999997766</c:v>
                </c:pt>
                <c:pt idx="117">
                  <c:v>0.69999999999997764</c:v>
                </c:pt>
                <c:pt idx="118">
                  <c:v>0.79999999999997762</c:v>
                </c:pt>
                <c:pt idx="119">
                  <c:v>0.8999999999999776</c:v>
                </c:pt>
                <c:pt idx="120">
                  <c:v>0.99999999999997757</c:v>
                </c:pt>
                <c:pt idx="121">
                  <c:v>1.0999999999999777</c:v>
                </c:pt>
                <c:pt idx="122">
                  <c:v>1.1999999999999778</c:v>
                </c:pt>
                <c:pt idx="123">
                  <c:v>1.2999999999999778</c:v>
                </c:pt>
                <c:pt idx="124">
                  <c:v>1.3999999999999779</c:v>
                </c:pt>
                <c:pt idx="125">
                  <c:v>1.499999999999978</c:v>
                </c:pt>
                <c:pt idx="126">
                  <c:v>1.5999999999999781</c:v>
                </c:pt>
                <c:pt idx="127">
                  <c:v>1.6999999999999782</c:v>
                </c:pt>
                <c:pt idx="128">
                  <c:v>1.7999999999999783</c:v>
                </c:pt>
                <c:pt idx="129">
                  <c:v>1.8999999999999784</c:v>
                </c:pt>
                <c:pt idx="130">
                  <c:v>1.9999999999999785</c:v>
                </c:pt>
                <c:pt idx="131">
                  <c:v>2.0999999999999783</c:v>
                </c:pt>
                <c:pt idx="132">
                  <c:v>2.1999999999999784</c:v>
                </c:pt>
                <c:pt idx="133">
                  <c:v>2.2999999999999785</c:v>
                </c:pt>
                <c:pt idx="134">
                  <c:v>2.3999999999999786</c:v>
                </c:pt>
                <c:pt idx="135">
                  <c:v>2.4999999999999787</c:v>
                </c:pt>
                <c:pt idx="136">
                  <c:v>2.5999999999999788</c:v>
                </c:pt>
                <c:pt idx="137">
                  <c:v>2.6999999999999789</c:v>
                </c:pt>
                <c:pt idx="138">
                  <c:v>2.799999999999979</c:v>
                </c:pt>
                <c:pt idx="139">
                  <c:v>2.899999999999979</c:v>
                </c:pt>
                <c:pt idx="140">
                  <c:v>2.9999999999999791</c:v>
                </c:pt>
                <c:pt idx="141">
                  <c:v>3.0999999999999792</c:v>
                </c:pt>
                <c:pt idx="142">
                  <c:v>3.1999999999999793</c:v>
                </c:pt>
                <c:pt idx="143">
                  <c:v>3.2999999999999794</c:v>
                </c:pt>
                <c:pt idx="144">
                  <c:v>3.3999999999999795</c:v>
                </c:pt>
                <c:pt idx="145">
                  <c:v>3.4999999999999796</c:v>
                </c:pt>
                <c:pt idx="146">
                  <c:v>3.5999999999999797</c:v>
                </c:pt>
                <c:pt idx="147">
                  <c:v>3.6999999999999797</c:v>
                </c:pt>
                <c:pt idx="148">
                  <c:v>3.7999999999999798</c:v>
                </c:pt>
                <c:pt idx="149">
                  <c:v>3.8999999999999799</c:v>
                </c:pt>
                <c:pt idx="150">
                  <c:v>3.99999999999998</c:v>
                </c:pt>
                <c:pt idx="151">
                  <c:v>4.0999999999999801</c:v>
                </c:pt>
                <c:pt idx="152">
                  <c:v>4.1999999999999797</c:v>
                </c:pt>
                <c:pt idx="153">
                  <c:v>4.2999999999999794</c:v>
                </c:pt>
                <c:pt idx="154">
                  <c:v>4.399999999999979</c:v>
                </c:pt>
                <c:pt idx="155">
                  <c:v>4.4999999999999787</c:v>
                </c:pt>
                <c:pt idx="156">
                  <c:v>4.5999999999999783</c:v>
                </c:pt>
                <c:pt idx="157">
                  <c:v>4.699999999999978</c:v>
                </c:pt>
                <c:pt idx="158">
                  <c:v>4.7999999999999776</c:v>
                </c:pt>
                <c:pt idx="159">
                  <c:v>4.8999999999999773</c:v>
                </c:pt>
                <c:pt idx="160">
                  <c:v>4.9999999999999769</c:v>
                </c:pt>
                <c:pt idx="161">
                  <c:v>5.0999999999999766</c:v>
                </c:pt>
                <c:pt idx="162">
                  <c:v>5.1999999999999762</c:v>
                </c:pt>
                <c:pt idx="163">
                  <c:v>5.2999999999999758</c:v>
                </c:pt>
                <c:pt idx="164">
                  <c:v>5.3999999999999755</c:v>
                </c:pt>
                <c:pt idx="165">
                  <c:v>5.4999999999999751</c:v>
                </c:pt>
                <c:pt idx="166">
                  <c:v>5.5999999999999748</c:v>
                </c:pt>
                <c:pt idx="167">
                  <c:v>5.6999999999999744</c:v>
                </c:pt>
                <c:pt idx="168">
                  <c:v>5.7999999999999741</c:v>
                </c:pt>
                <c:pt idx="169">
                  <c:v>5.8999999999999737</c:v>
                </c:pt>
                <c:pt idx="170">
                  <c:v>5.9999999999999734</c:v>
                </c:pt>
                <c:pt idx="171">
                  <c:v>6.099999999999973</c:v>
                </c:pt>
                <c:pt idx="172">
                  <c:v>6.1999999999999726</c:v>
                </c:pt>
                <c:pt idx="173">
                  <c:v>6.2999999999999723</c:v>
                </c:pt>
                <c:pt idx="174">
                  <c:v>6.3999999999999719</c:v>
                </c:pt>
                <c:pt idx="175">
                  <c:v>6.4999999999999716</c:v>
                </c:pt>
                <c:pt idx="176">
                  <c:v>6.5999999999999712</c:v>
                </c:pt>
                <c:pt idx="177">
                  <c:v>6.6999999999999709</c:v>
                </c:pt>
                <c:pt idx="178">
                  <c:v>6.7999999999999705</c:v>
                </c:pt>
                <c:pt idx="179">
                  <c:v>6.8999999999999702</c:v>
                </c:pt>
                <c:pt idx="180">
                  <c:v>6.9999999999999698</c:v>
                </c:pt>
                <c:pt idx="181">
                  <c:v>7.0999999999999694</c:v>
                </c:pt>
                <c:pt idx="182">
                  <c:v>7.1999999999999691</c:v>
                </c:pt>
                <c:pt idx="183">
                  <c:v>7.2999999999999687</c:v>
                </c:pt>
                <c:pt idx="184">
                  <c:v>7.3999999999999684</c:v>
                </c:pt>
                <c:pt idx="185">
                  <c:v>7.499999999999968</c:v>
                </c:pt>
                <c:pt idx="186">
                  <c:v>7.5999999999999677</c:v>
                </c:pt>
                <c:pt idx="187">
                  <c:v>7.6999999999999673</c:v>
                </c:pt>
                <c:pt idx="188">
                  <c:v>7.799999999999967</c:v>
                </c:pt>
                <c:pt idx="189">
                  <c:v>7.8999999999999666</c:v>
                </c:pt>
                <c:pt idx="190">
                  <c:v>7.9999999999999662</c:v>
                </c:pt>
                <c:pt idx="191">
                  <c:v>8.0999999999999659</c:v>
                </c:pt>
                <c:pt idx="192">
                  <c:v>8.1999999999999655</c:v>
                </c:pt>
                <c:pt idx="193">
                  <c:v>8.2999999999999652</c:v>
                </c:pt>
                <c:pt idx="194">
                  <c:v>8.3999999999999648</c:v>
                </c:pt>
                <c:pt idx="195">
                  <c:v>8.4999999999999645</c:v>
                </c:pt>
                <c:pt idx="196">
                  <c:v>8.5999999999999641</c:v>
                </c:pt>
                <c:pt idx="197">
                  <c:v>8.6999999999999638</c:v>
                </c:pt>
                <c:pt idx="198">
                  <c:v>8.7999999999999634</c:v>
                </c:pt>
                <c:pt idx="199">
                  <c:v>8.8999999999999631</c:v>
                </c:pt>
                <c:pt idx="200">
                  <c:v>8.9999999999999627</c:v>
                </c:pt>
                <c:pt idx="201">
                  <c:v>9.0999999999999623</c:v>
                </c:pt>
                <c:pt idx="202">
                  <c:v>9.199999999999962</c:v>
                </c:pt>
                <c:pt idx="203">
                  <c:v>9.2999999999999616</c:v>
                </c:pt>
                <c:pt idx="204">
                  <c:v>9.3999999999999613</c:v>
                </c:pt>
                <c:pt idx="205">
                  <c:v>9.4999999999999609</c:v>
                </c:pt>
                <c:pt idx="206">
                  <c:v>9.5999999999999606</c:v>
                </c:pt>
                <c:pt idx="207">
                  <c:v>9.6999999999999602</c:v>
                </c:pt>
                <c:pt idx="208">
                  <c:v>9.7999999999999599</c:v>
                </c:pt>
                <c:pt idx="209">
                  <c:v>9.8999999999999595</c:v>
                </c:pt>
                <c:pt idx="210">
                  <c:v>9.9999999999999591</c:v>
                </c:pt>
                <c:pt idx="211">
                  <c:v>10.099999999999959</c:v>
                </c:pt>
                <c:pt idx="212">
                  <c:v>10.199999999999958</c:v>
                </c:pt>
                <c:pt idx="213">
                  <c:v>10.299999999999958</c:v>
                </c:pt>
                <c:pt idx="214">
                  <c:v>10.399999999999958</c:v>
                </c:pt>
                <c:pt idx="215">
                  <c:v>10.499999999999957</c:v>
                </c:pt>
                <c:pt idx="216">
                  <c:v>10.599999999999957</c:v>
                </c:pt>
                <c:pt idx="217">
                  <c:v>10.699999999999957</c:v>
                </c:pt>
                <c:pt idx="218">
                  <c:v>10.799999999999956</c:v>
                </c:pt>
                <c:pt idx="219">
                  <c:v>10.899999999999956</c:v>
                </c:pt>
                <c:pt idx="220">
                  <c:v>10.999999999999956</c:v>
                </c:pt>
              </c:numCache>
            </c:numRef>
          </c:xVal>
          <c:yVal>
            <c:numRef>
              <c:f>ArtificialTreatments!$I$21:$I$241</c:f>
              <c:numCache>
                <c:formatCode>General</c:formatCode>
                <c:ptCount val="2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1.6666666666662684E-2</c:v>
                </c:pt>
                <c:pt idx="82">
                  <c:v>3.3333333333329364E-2</c:v>
                </c:pt>
                <c:pt idx="83">
                  <c:v>4.9999999999996048E-2</c:v>
                </c:pt>
                <c:pt idx="84">
                  <c:v>6.6666666666662724E-2</c:v>
                </c:pt>
                <c:pt idx="85">
                  <c:v>8.3333333333329415E-2</c:v>
                </c:pt>
                <c:pt idx="86">
                  <c:v>9.9999999999996092E-2</c:v>
                </c:pt>
                <c:pt idx="87">
                  <c:v>0.11666666666666277</c:v>
                </c:pt>
                <c:pt idx="88">
                  <c:v>0.13333333333332945</c:v>
                </c:pt>
                <c:pt idx="89">
                  <c:v>0.14999999999999614</c:v>
                </c:pt>
                <c:pt idx="90">
                  <c:v>0.16666666666666283</c:v>
                </c:pt>
                <c:pt idx="91">
                  <c:v>0.18333333333332949</c:v>
                </c:pt>
                <c:pt idx="92">
                  <c:v>0.19999999999999618</c:v>
                </c:pt>
                <c:pt idx="93">
                  <c:v>0.21666666666666287</c:v>
                </c:pt>
                <c:pt idx="94">
                  <c:v>0.23333333333332953</c:v>
                </c:pt>
                <c:pt idx="95">
                  <c:v>0.24999999999999623</c:v>
                </c:pt>
                <c:pt idx="96">
                  <c:v>0.26666666666666289</c:v>
                </c:pt>
                <c:pt idx="97">
                  <c:v>0.28333333333332961</c:v>
                </c:pt>
                <c:pt idx="98">
                  <c:v>0.29999999999999627</c:v>
                </c:pt>
                <c:pt idx="99">
                  <c:v>0.31666666666666293</c:v>
                </c:pt>
                <c:pt idx="100">
                  <c:v>0.33333333333332965</c:v>
                </c:pt>
                <c:pt idx="101">
                  <c:v>0.34999999999999631</c:v>
                </c:pt>
                <c:pt idx="102">
                  <c:v>0.36666666666666298</c:v>
                </c:pt>
                <c:pt idx="103">
                  <c:v>0.38333333333332958</c:v>
                </c:pt>
                <c:pt idx="104">
                  <c:v>0.3999999999999963</c:v>
                </c:pt>
                <c:pt idx="105">
                  <c:v>0.41666666666666297</c:v>
                </c:pt>
                <c:pt idx="106">
                  <c:v>0.43333333333332957</c:v>
                </c:pt>
                <c:pt idx="107">
                  <c:v>0.44999999999999624</c:v>
                </c:pt>
                <c:pt idx="108">
                  <c:v>0.46666666666666295</c:v>
                </c:pt>
                <c:pt idx="109">
                  <c:v>0.48333333333332962</c:v>
                </c:pt>
                <c:pt idx="110">
                  <c:v>0.49999999999999628</c:v>
                </c:pt>
                <c:pt idx="111">
                  <c:v>0.51666666666666294</c:v>
                </c:pt>
                <c:pt idx="112">
                  <c:v>0.53333333333332955</c:v>
                </c:pt>
                <c:pt idx="113">
                  <c:v>0.54999999999999627</c:v>
                </c:pt>
                <c:pt idx="114">
                  <c:v>0.56666666666666299</c:v>
                </c:pt>
                <c:pt idx="115">
                  <c:v>0.5833333333333296</c:v>
                </c:pt>
                <c:pt idx="116">
                  <c:v>0.5999999999999962</c:v>
                </c:pt>
                <c:pt idx="117">
                  <c:v>0.61666666666666292</c:v>
                </c:pt>
                <c:pt idx="118">
                  <c:v>0.63333333333332964</c:v>
                </c:pt>
                <c:pt idx="119">
                  <c:v>0.64999999999999625</c:v>
                </c:pt>
                <c:pt idx="120">
                  <c:v>0.66666666666666297</c:v>
                </c:pt>
                <c:pt idx="121">
                  <c:v>0.68333333333332957</c:v>
                </c:pt>
                <c:pt idx="122">
                  <c:v>0.69999999999999629</c:v>
                </c:pt>
                <c:pt idx="123">
                  <c:v>0.7166666666666629</c:v>
                </c:pt>
                <c:pt idx="124">
                  <c:v>0.73333333333332973</c:v>
                </c:pt>
                <c:pt idx="125">
                  <c:v>0.74999999999999634</c:v>
                </c:pt>
                <c:pt idx="126">
                  <c:v>0.76666666666666305</c:v>
                </c:pt>
                <c:pt idx="127">
                  <c:v>0.78333333333332966</c:v>
                </c:pt>
                <c:pt idx="128">
                  <c:v>0.79999999999999638</c:v>
                </c:pt>
                <c:pt idx="129">
                  <c:v>0.81666666666666299</c:v>
                </c:pt>
                <c:pt idx="130">
                  <c:v>0.83333333333332982</c:v>
                </c:pt>
                <c:pt idx="131">
                  <c:v>0.84999999999999643</c:v>
                </c:pt>
                <c:pt idx="132">
                  <c:v>0.86666666666666303</c:v>
                </c:pt>
                <c:pt idx="133">
                  <c:v>0.88333333333332975</c:v>
                </c:pt>
                <c:pt idx="134">
                  <c:v>0.89999999999999647</c:v>
                </c:pt>
                <c:pt idx="135">
                  <c:v>0.91666666666666308</c:v>
                </c:pt>
                <c:pt idx="136">
                  <c:v>0.93333333333332968</c:v>
                </c:pt>
                <c:pt idx="137">
                  <c:v>0.94999999999999651</c:v>
                </c:pt>
                <c:pt idx="138">
                  <c:v>0.96666666666666323</c:v>
                </c:pt>
                <c:pt idx="139">
                  <c:v>0.98333333333332984</c:v>
                </c:pt>
                <c:pt idx="140">
                  <c:v>0.99999999999999645</c:v>
                </c:pt>
                <c:pt idx="141">
                  <c:v>0.90000000000002078</c:v>
                </c:pt>
                <c:pt idx="142">
                  <c:v>0.80000000000002069</c:v>
                </c:pt>
                <c:pt idx="143">
                  <c:v>0.70000000000002061</c:v>
                </c:pt>
                <c:pt idx="144">
                  <c:v>0.60000000000002052</c:v>
                </c:pt>
                <c:pt idx="145">
                  <c:v>0.50000000000002043</c:v>
                </c:pt>
                <c:pt idx="146">
                  <c:v>0.40000000000002034</c:v>
                </c:pt>
                <c:pt idx="147">
                  <c:v>0.30000000000002025</c:v>
                </c:pt>
                <c:pt idx="148">
                  <c:v>0.20000000000002016</c:v>
                </c:pt>
                <c:pt idx="149">
                  <c:v>0.10000000000002007</c:v>
                </c:pt>
                <c:pt idx="150">
                  <c:v>1.9984014443252818E-14</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numCache>
            </c:numRef>
          </c:yVal>
          <c:smooth val="0"/>
          <c:extLst>
            <c:ext xmlns:c16="http://schemas.microsoft.com/office/drawing/2014/chart" uri="{C3380CC4-5D6E-409C-BE32-E72D297353CC}">
              <c16:uniqueId val="{00000003-0B1D-48C5-A548-65EA566F20AE}"/>
            </c:ext>
          </c:extLst>
        </c:ser>
        <c:ser>
          <c:idx val="4"/>
          <c:order val="4"/>
          <c:tx>
            <c:strRef>
              <c:f>ArtificialTreatments!$J$20</c:f>
              <c:strCache>
                <c:ptCount val="1"/>
                <c:pt idx="0">
                  <c:v>X4</c:v>
                </c:pt>
              </c:strCache>
            </c:strRef>
          </c:tx>
          <c:spPr>
            <a:ln w="19050" cap="rnd">
              <a:solidFill>
                <a:schemeClr val="accent5"/>
              </a:solidFill>
              <a:round/>
            </a:ln>
            <a:effectLst/>
          </c:spPr>
          <c:marker>
            <c:symbol val="none"/>
          </c:marker>
          <c:xVal>
            <c:numRef>
              <c:f>ArtificialTreatments!$B$21:$B$241</c:f>
              <c:numCache>
                <c:formatCode>General</c:formatCode>
                <c:ptCount val="221"/>
                <c:pt idx="0">
                  <c:v>-11</c:v>
                </c:pt>
                <c:pt idx="1">
                  <c:v>-10.9</c:v>
                </c:pt>
                <c:pt idx="2">
                  <c:v>-10.8</c:v>
                </c:pt>
                <c:pt idx="3">
                  <c:v>-10.700000000000001</c:v>
                </c:pt>
                <c:pt idx="4">
                  <c:v>-10.600000000000001</c:v>
                </c:pt>
                <c:pt idx="5">
                  <c:v>-10.500000000000002</c:v>
                </c:pt>
                <c:pt idx="6">
                  <c:v>-10.400000000000002</c:v>
                </c:pt>
                <c:pt idx="7">
                  <c:v>-10.300000000000002</c:v>
                </c:pt>
                <c:pt idx="8">
                  <c:v>-10.200000000000003</c:v>
                </c:pt>
                <c:pt idx="9">
                  <c:v>-10.100000000000003</c:v>
                </c:pt>
                <c:pt idx="10">
                  <c:v>-10.000000000000004</c:v>
                </c:pt>
                <c:pt idx="11">
                  <c:v>-9.9000000000000039</c:v>
                </c:pt>
                <c:pt idx="12">
                  <c:v>-9.8000000000000043</c:v>
                </c:pt>
                <c:pt idx="13">
                  <c:v>-9.7000000000000046</c:v>
                </c:pt>
                <c:pt idx="14">
                  <c:v>-9.600000000000005</c:v>
                </c:pt>
                <c:pt idx="15">
                  <c:v>-9.5000000000000053</c:v>
                </c:pt>
                <c:pt idx="16">
                  <c:v>-9.4000000000000057</c:v>
                </c:pt>
                <c:pt idx="17">
                  <c:v>-9.300000000000006</c:v>
                </c:pt>
                <c:pt idx="18">
                  <c:v>-9.2000000000000064</c:v>
                </c:pt>
                <c:pt idx="19">
                  <c:v>-9.1000000000000068</c:v>
                </c:pt>
                <c:pt idx="20">
                  <c:v>-9.0000000000000071</c:v>
                </c:pt>
                <c:pt idx="21">
                  <c:v>-8.9000000000000075</c:v>
                </c:pt>
                <c:pt idx="22">
                  <c:v>-8.8000000000000078</c:v>
                </c:pt>
                <c:pt idx="23">
                  <c:v>-8.7000000000000082</c:v>
                </c:pt>
                <c:pt idx="24">
                  <c:v>-8.6000000000000085</c:v>
                </c:pt>
                <c:pt idx="25">
                  <c:v>-8.5000000000000089</c:v>
                </c:pt>
                <c:pt idx="26">
                  <c:v>-8.4000000000000092</c:v>
                </c:pt>
                <c:pt idx="27">
                  <c:v>-8.3000000000000096</c:v>
                </c:pt>
                <c:pt idx="28">
                  <c:v>-8.2000000000000099</c:v>
                </c:pt>
                <c:pt idx="29">
                  <c:v>-8.1000000000000103</c:v>
                </c:pt>
                <c:pt idx="30">
                  <c:v>-8.0000000000000107</c:v>
                </c:pt>
                <c:pt idx="31">
                  <c:v>-7.900000000000011</c:v>
                </c:pt>
                <c:pt idx="32">
                  <c:v>-7.8000000000000114</c:v>
                </c:pt>
                <c:pt idx="33">
                  <c:v>-7.7000000000000117</c:v>
                </c:pt>
                <c:pt idx="34">
                  <c:v>-7.6000000000000121</c:v>
                </c:pt>
                <c:pt idx="35">
                  <c:v>-7.5000000000000124</c:v>
                </c:pt>
                <c:pt idx="36">
                  <c:v>-7.4000000000000128</c:v>
                </c:pt>
                <c:pt idx="37">
                  <c:v>-7.3000000000000131</c:v>
                </c:pt>
                <c:pt idx="38">
                  <c:v>-7.2000000000000135</c:v>
                </c:pt>
                <c:pt idx="39">
                  <c:v>-7.1000000000000139</c:v>
                </c:pt>
                <c:pt idx="40">
                  <c:v>-7.0000000000000142</c:v>
                </c:pt>
                <c:pt idx="41">
                  <c:v>-6.9000000000000146</c:v>
                </c:pt>
                <c:pt idx="42">
                  <c:v>-6.8000000000000149</c:v>
                </c:pt>
                <c:pt idx="43">
                  <c:v>-6.7000000000000153</c:v>
                </c:pt>
                <c:pt idx="44">
                  <c:v>-6.6000000000000156</c:v>
                </c:pt>
                <c:pt idx="45">
                  <c:v>-6.500000000000016</c:v>
                </c:pt>
                <c:pt idx="46">
                  <c:v>-6.4000000000000163</c:v>
                </c:pt>
                <c:pt idx="47">
                  <c:v>-6.3000000000000167</c:v>
                </c:pt>
                <c:pt idx="48">
                  <c:v>-6.2000000000000171</c:v>
                </c:pt>
                <c:pt idx="49">
                  <c:v>-6.1000000000000174</c:v>
                </c:pt>
                <c:pt idx="50">
                  <c:v>-6.0000000000000178</c:v>
                </c:pt>
                <c:pt idx="51">
                  <c:v>-5.9000000000000181</c:v>
                </c:pt>
                <c:pt idx="52">
                  <c:v>-5.8000000000000185</c:v>
                </c:pt>
                <c:pt idx="53">
                  <c:v>-5.7000000000000188</c:v>
                </c:pt>
                <c:pt idx="54">
                  <c:v>-5.6000000000000192</c:v>
                </c:pt>
                <c:pt idx="55">
                  <c:v>-5.5000000000000195</c:v>
                </c:pt>
                <c:pt idx="56">
                  <c:v>-5.4000000000000199</c:v>
                </c:pt>
                <c:pt idx="57">
                  <c:v>-5.3000000000000203</c:v>
                </c:pt>
                <c:pt idx="58">
                  <c:v>-5.2000000000000206</c:v>
                </c:pt>
                <c:pt idx="59">
                  <c:v>-5.100000000000021</c:v>
                </c:pt>
                <c:pt idx="60">
                  <c:v>-5.0000000000000213</c:v>
                </c:pt>
                <c:pt idx="61">
                  <c:v>-4.9000000000000217</c:v>
                </c:pt>
                <c:pt idx="62">
                  <c:v>-4.800000000000022</c:v>
                </c:pt>
                <c:pt idx="63">
                  <c:v>-4.7000000000000224</c:v>
                </c:pt>
                <c:pt idx="64">
                  <c:v>-4.6000000000000227</c:v>
                </c:pt>
                <c:pt idx="65">
                  <c:v>-4.5000000000000231</c:v>
                </c:pt>
                <c:pt idx="66">
                  <c:v>-4.4000000000000234</c:v>
                </c:pt>
                <c:pt idx="67">
                  <c:v>-4.3000000000000238</c:v>
                </c:pt>
                <c:pt idx="68">
                  <c:v>-4.2000000000000242</c:v>
                </c:pt>
                <c:pt idx="69">
                  <c:v>-4.1000000000000245</c:v>
                </c:pt>
                <c:pt idx="70">
                  <c:v>-4.0000000000000249</c:v>
                </c:pt>
                <c:pt idx="71">
                  <c:v>-3.9000000000000248</c:v>
                </c:pt>
                <c:pt idx="72">
                  <c:v>-3.8000000000000247</c:v>
                </c:pt>
                <c:pt idx="73">
                  <c:v>-3.7000000000000246</c:v>
                </c:pt>
                <c:pt idx="74">
                  <c:v>-3.6000000000000245</c:v>
                </c:pt>
                <c:pt idx="75">
                  <c:v>-3.5000000000000244</c:v>
                </c:pt>
                <c:pt idx="76">
                  <c:v>-3.4000000000000243</c:v>
                </c:pt>
                <c:pt idx="77">
                  <c:v>-3.3000000000000242</c:v>
                </c:pt>
                <c:pt idx="78">
                  <c:v>-3.2000000000000242</c:v>
                </c:pt>
                <c:pt idx="79">
                  <c:v>-3.1000000000000241</c:v>
                </c:pt>
                <c:pt idx="80">
                  <c:v>-3.000000000000024</c:v>
                </c:pt>
                <c:pt idx="81">
                  <c:v>-2.9000000000000239</c:v>
                </c:pt>
                <c:pt idx="82">
                  <c:v>-2.8000000000000238</c:v>
                </c:pt>
                <c:pt idx="83">
                  <c:v>-2.7000000000000237</c:v>
                </c:pt>
                <c:pt idx="84">
                  <c:v>-2.6000000000000236</c:v>
                </c:pt>
                <c:pt idx="85">
                  <c:v>-2.5000000000000235</c:v>
                </c:pt>
                <c:pt idx="86">
                  <c:v>-2.4000000000000234</c:v>
                </c:pt>
                <c:pt idx="87">
                  <c:v>-2.3000000000000234</c:v>
                </c:pt>
                <c:pt idx="88">
                  <c:v>-2.2000000000000233</c:v>
                </c:pt>
                <c:pt idx="89">
                  <c:v>-2.1000000000000232</c:v>
                </c:pt>
                <c:pt idx="90">
                  <c:v>-2.0000000000000231</c:v>
                </c:pt>
                <c:pt idx="91">
                  <c:v>-1.900000000000023</c:v>
                </c:pt>
                <c:pt idx="92">
                  <c:v>-1.8000000000000229</c:v>
                </c:pt>
                <c:pt idx="93">
                  <c:v>-1.7000000000000228</c:v>
                </c:pt>
                <c:pt idx="94">
                  <c:v>-1.6000000000000227</c:v>
                </c:pt>
                <c:pt idx="95">
                  <c:v>-1.5000000000000226</c:v>
                </c:pt>
                <c:pt idx="96">
                  <c:v>-1.4000000000000226</c:v>
                </c:pt>
                <c:pt idx="97">
                  <c:v>-1.3000000000000225</c:v>
                </c:pt>
                <c:pt idx="98">
                  <c:v>-1.2000000000000224</c:v>
                </c:pt>
                <c:pt idx="99">
                  <c:v>-1.1000000000000223</c:v>
                </c:pt>
                <c:pt idx="100">
                  <c:v>-1.0000000000000222</c:v>
                </c:pt>
                <c:pt idx="101">
                  <c:v>-0.90000000000002223</c:v>
                </c:pt>
                <c:pt idx="102">
                  <c:v>-0.80000000000002225</c:v>
                </c:pt>
                <c:pt idx="103">
                  <c:v>-0.70000000000002227</c:v>
                </c:pt>
                <c:pt idx="104">
                  <c:v>-0.60000000000002229</c:v>
                </c:pt>
                <c:pt idx="105">
                  <c:v>-0.50000000000002232</c:v>
                </c:pt>
                <c:pt idx="106">
                  <c:v>-0.40000000000002234</c:v>
                </c:pt>
                <c:pt idx="107">
                  <c:v>-0.30000000000002236</c:v>
                </c:pt>
                <c:pt idx="108">
                  <c:v>-0.20000000000002235</c:v>
                </c:pt>
                <c:pt idx="109">
                  <c:v>-0.10000000000002235</c:v>
                </c:pt>
                <c:pt idx="110">
                  <c:v>-2.2343238370581275E-14</c:v>
                </c:pt>
                <c:pt idx="111">
                  <c:v>9.9999999999977662E-2</c:v>
                </c:pt>
                <c:pt idx="112">
                  <c:v>0.19999999999997767</c:v>
                </c:pt>
                <c:pt idx="113">
                  <c:v>0.29999999999997767</c:v>
                </c:pt>
                <c:pt idx="114">
                  <c:v>0.39999999999997771</c:v>
                </c:pt>
                <c:pt idx="115">
                  <c:v>0.49999999999997768</c:v>
                </c:pt>
                <c:pt idx="116">
                  <c:v>0.59999999999997766</c:v>
                </c:pt>
                <c:pt idx="117">
                  <c:v>0.69999999999997764</c:v>
                </c:pt>
                <c:pt idx="118">
                  <c:v>0.79999999999997762</c:v>
                </c:pt>
                <c:pt idx="119">
                  <c:v>0.8999999999999776</c:v>
                </c:pt>
                <c:pt idx="120">
                  <c:v>0.99999999999997757</c:v>
                </c:pt>
                <c:pt idx="121">
                  <c:v>1.0999999999999777</c:v>
                </c:pt>
                <c:pt idx="122">
                  <c:v>1.1999999999999778</c:v>
                </c:pt>
                <c:pt idx="123">
                  <c:v>1.2999999999999778</c:v>
                </c:pt>
                <c:pt idx="124">
                  <c:v>1.3999999999999779</c:v>
                </c:pt>
                <c:pt idx="125">
                  <c:v>1.499999999999978</c:v>
                </c:pt>
                <c:pt idx="126">
                  <c:v>1.5999999999999781</c:v>
                </c:pt>
                <c:pt idx="127">
                  <c:v>1.6999999999999782</c:v>
                </c:pt>
                <c:pt idx="128">
                  <c:v>1.7999999999999783</c:v>
                </c:pt>
                <c:pt idx="129">
                  <c:v>1.8999999999999784</c:v>
                </c:pt>
                <c:pt idx="130">
                  <c:v>1.9999999999999785</c:v>
                </c:pt>
                <c:pt idx="131">
                  <c:v>2.0999999999999783</c:v>
                </c:pt>
                <c:pt idx="132">
                  <c:v>2.1999999999999784</c:v>
                </c:pt>
                <c:pt idx="133">
                  <c:v>2.2999999999999785</c:v>
                </c:pt>
                <c:pt idx="134">
                  <c:v>2.3999999999999786</c:v>
                </c:pt>
                <c:pt idx="135">
                  <c:v>2.4999999999999787</c:v>
                </c:pt>
                <c:pt idx="136">
                  <c:v>2.5999999999999788</c:v>
                </c:pt>
                <c:pt idx="137">
                  <c:v>2.6999999999999789</c:v>
                </c:pt>
                <c:pt idx="138">
                  <c:v>2.799999999999979</c:v>
                </c:pt>
                <c:pt idx="139">
                  <c:v>2.899999999999979</c:v>
                </c:pt>
                <c:pt idx="140">
                  <c:v>2.9999999999999791</c:v>
                </c:pt>
                <c:pt idx="141">
                  <c:v>3.0999999999999792</c:v>
                </c:pt>
                <c:pt idx="142">
                  <c:v>3.1999999999999793</c:v>
                </c:pt>
                <c:pt idx="143">
                  <c:v>3.2999999999999794</c:v>
                </c:pt>
                <c:pt idx="144">
                  <c:v>3.3999999999999795</c:v>
                </c:pt>
                <c:pt idx="145">
                  <c:v>3.4999999999999796</c:v>
                </c:pt>
                <c:pt idx="146">
                  <c:v>3.5999999999999797</c:v>
                </c:pt>
                <c:pt idx="147">
                  <c:v>3.6999999999999797</c:v>
                </c:pt>
                <c:pt idx="148">
                  <c:v>3.7999999999999798</c:v>
                </c:pt>
                <c:pt idx="149">
                  <c:v>3.8999999999999799</c:v>
                </c:pt>
                <c:pt idx="150">
                  <c:v>3.99999999999998</c:v>
                </c:pt>
                <c:pt idx="151">
                  <c:v>4.0999999999999801</c:v>
                </c:pt>
                <c:pt idx="152">
                  <c:v>4.1999999999999797</c:v>
                </c:pt>
                <c:pt idx="153">
                  <c:v>4.2999999999999794</c:v>
                </c:pt>
                <c:pt idx="154">
                  <c:v>4.399999999999979</c:v>
                </c:pt>
                <c:pt idx="155">
                  <c:v>4.4999999999999787</c:v>
                </c:pt>
                <c:pt idx="156">
                  <c:v>4.5999999999999783</c:v>
                </c:pt>
                <c:pt idx="157">
                  <c:v>4.699999999999978</c:v>
                </c:pt>
                <c:pt idx="158">
                  <c:v>4.7999999999999776</c:v>
                </c:pt>
                <c:pt idx="159">
                  <c:v>4.8999999999999773</c:v>
                </c:pt>
                <c:pt idx="160">
                  <c:v>4.9999999999999769</c:v>
                </c:pt>
                <c:pt idx="161">
                  <c:v>5.0999999999999766</c:v>
                </c:pt>
                <c:pt idx="162">
                  <c:v>5.1999999999999762</c:v>
                </c:pt>
                <c:pt idx="163">
                  <c:v>5.2999999999999758</c:v>
                </c:pt>
                <c:pt idx="164">
                  <c:v>5.3999999999999755</c:v>
                </c:pt>
                <c:pt idx="165">
                  <c:v>5.4999999999999751</c:v>
                </c:pt>
                <c:pt idx="166">
                  <c:v>5.5999999999999748</c:v>
                </c:pt>
                <c:pt idx="167">
                  <c:v>5.6999999999999744</c:v>
                </c:pt>
                <c:pt idx="168">
                  <c:v>5.7999999999999741</c:v>
                </c:pt>
                <c:pt idx="169">
                  <c:v>5.8999999999999737</c:v>
                </c:pt>
                <c:pt idx="170">
                  <c:v>5.9999999999999734</c:v>
                </c:pt>
                <c:pt idx="171">
                  <c:v>6.099999999999973</c:v>
                </c:pt>
                <c:pt idx="172">
                  <c:v>6.1999999999999726</c:v>
                </c:pt>
                <c:pt idx="173">
                  <c:v>6.2999999999999723</c:v>
                </c:pt>
                <c:pt idx="174">
                  <c:v>6.3999999999999719</c:v>
                </c:pt>
                <c:pt idx="175">
                  <c:v>6.4999999999999716</c:v>
                </c:pt>
                <c:pt idx="176">
                  <c:v>6.5999999999999712</c:v>
                </c:pt>
                <c:pt idx="177">
                  <c:v>6.6999999999999709</c:v>
                </c:pt>
                <c:pt idx="178">
                  <c:v>6.7999999999999705</c:v>
                </c:pt>
                <c:pt idx="179">
                  <c:v>6.8999999999999702</c:v>
                </c:pt>
                <c:pt idx="180">
                  <c:v>6.9999999999999698</c:v>
                </c:pt>
                <c:pt idx="181">
                  <c:v>7.0999999999999694</c:v>
                </c:pt>
                <c:pt idx="182">
                  <c:v>7.1999999999999691</c:v>
                </c:pt>
                <c:pt idx="183">
                  <c:v>7.2999999999999687</c:v>
                </c:pt>
                <c:pt idx="184">
                  <c:v>7.3999999999999684</c:v>
                </c:pt>
                <c:pt idx="185">
                  <c:v>7.499999999999968</c:v>
                </c:pt>
                <c:pt idx="186">
                  <c:v>7.5999999999999677</c:v>
                </c:pt>
                <c:pt idx="187">
                  <c:v>7.6999999999999673</c:v>
                </c:pt>
                <c:pt idx="188">
                  <c:v>7.799999999999967</c:v>
                </c:pt>
                <c:pt idx="189">
                  <c:v>7.8999999999999666</c:v>
                </c:pt>
                <c:pt idx="190">
                  <c:v>7.9999999999999662</c:v>
                </c:pt>
                <c:pt idx="191">
                  <c:v>8.0999999999999659</c:v>
                </c:pt>
                <c:pt idx="192">
                  <c:v>8.1999999999999655</c:v>
                </c:pt>
                <c:pt idx="193">
                  <c:v>8.2999999999999652</c:v>
                </c:pt>
                <c:pt idx="194">
                  <c:v>8.3999999999999648</c:v>
                </c:pt>
                <c:pt idx="195">
                  <c:v>8.4999999999999645</c:v>
                </c:pt>
                <c:pt idx="196">
                  <c:v>8.5999999999999641</c:v>
                </c:pt>
                <c:pt idx="197">
                  <c:v>8.6999999999999638</c:v>
                </c:pt>
                <c:pt idx="198">
                  <c:v>8.7999999999999634</c:v>
                </c:pt>
                <c:pt idx="199">
                  <c:v>8.8999999999999631</c:v>
                </c:pt>
                <c:pt idx="200">
                  <c:v>8.9999999999999627</c:v>
                </c:pt>
                <c:pt idx="201">
                  <c:v>9.0999999999999623</c:v>
                </c:pt>
                <c:pt idx="202">
                  <c:v>9.199999999999962</c:v>
                </c:pt>
                <c:pt idx="203">
                  <c:v>9.2999999999999616</c:v>
                </c:pt>
                <c:pt idx="204">
                  <c:v>9.3999999999999613</c:v>
                </c:pt>
                <c:pt idx="205">
                  <c:v>9.4999999999999609</c:v>
                </c:pt>
                <c:pt idx="206">
                  <c:v>9.5999999999999606</c:v>
                </c:pt>
                <c:pt idx="207">
                  <c:v>9.6999999999999602</c:v>
                </c:pt>
                <c:pt idx="208">
                  <c:v>9.7999999999999599</c:v>
                </c:pt>
                <c:pt idx="209">
                  <c:v>9.8999999999999595</c:v>
                </c:pt>
                <c:pt idx="210">
                  <c:v>9.9999999999999591</c:v>
                </c:pt>
                <c:pt idx="211">
                  <c:v>10.099999999999959</c:v>
                </c:pt>
                <c:pt idx="212">
                  <c:v>10.199999999999958</c:v>
                </c:pt>
                <c:pt idx="213">
                  <c:v>10.299999999999958</c:v>
                </c:pt>
                <c:pt idx="214">
                  <c:v>10.399999999999958</c:v>
                </c:pt>
                <c:pt idx="215">
                  <c:v>10.499999999999957</c:v>
                </c:pt>
                <c:pt idx="216">
                  <c:v>10.599999999999957</c:v>
                </c:pt>
                <c:pt idx="217">
                  <c:v>10.699999999999957</c:v>
                </c:pt>
                <c:pt idx="218">
                  <c:v>10.799999999999956</c:v>
                </c:pt>
                <c:pt idx="219">
                  <c:v>10.899999999999956</c:v>
                </c:pt>
                <c:pt idx="220">
                  <c:v>10.999999999999956</c:v>
                </c:pt>
              </c:numCache>
            </c:numRef>
          </c:xVal>
          <c:yVal>
            <c:numRef>
              <c:f>ArtificialTreatments!$J$21:$J$241</c:f>
              <c:numCache>
                <c:formatCode>General</c:formatCode>
                <c:ptCount val="2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9.9999999999979217E-2</c:v>
                </c:pt>
                <c:pt idx="142">
                  <c:v>0.19999999999997931</c:v>
                </c:pt>
                <c:pt idx="143">
                  <c:v>0.29999999999997939</c:v>
                </c:pt>
                <c:pt idx="144">
                  <c:v>0.39999999999997948</c:v>
                </c:pt>
                <c:pt idx="145">
                  <c:v>0.49999999999997957</c:v>
                </c:pt>
                <c:pt idx="146">
                  <c:v>0.59999999999997966</c:v>
                </c:pt>
                <c:pt idx="147">
                  <c:v>0.69999999999997975</c:v>
                </c:pt>
                <c:pt idx="148">
                  <c:v>0.79999999999997984</c:v>
                </c:pt>
                <c:pt idx="149">
                  <c:v>0.89999999999997993</c:v>
                </c:pt>
                <c:pt idx="150">
                  <c:v>0.99999999999998002</c:v>
                </c:pt>
                <c:pt idx="151">
                  <c:v>0.9000000000000199</c:v>
                </c:pt>
                <c:pt idx="152">
                  <c:v>0.80000000000002025</c:v>
                </c:pt>
                <c:pt idx="153">
                  <c:v>0.70000000000002061</c:v>
                </c:pt>
                <c:pt idx="154">
                  <c:v>0.60000000000002096</c:v>
                </c:pt>
                <c:pt idx="155">
                  <c:v>0.50000000000002132</c:v>
                </c:pt>
                <c:pt idx="156">
                  <c:v>0.40000000000002167</c:v>
                </c:pt>
                <c:pt idx="157">
                  <c:v>0.30000000000002203</c:v>
                </c:pt>
                <c:pt idx="158">
                  <c:v>0.20000000000002238</c:v>
                </c:pt>
                <c:pt idx="159">
                  <c:v>0.10000000000002274</c:v>
                </c:pt>
                <c:pt idx="160">
                  <c:v>2.3092638912203256E-14</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numCache>
            </c:numRef>
          </c:yVal>
          <c:smooth val="0"/>
          <c:extLst>
            <c:ext xmlns:c16="http://schemas.microsoft.com/office/drawing/2014/chart" uri="{C3380CC4-5D6E-409C-BE32-E72D297353CC}">
              <c16:uniqueId val="{00000004-0B1D-48C5-A548-65EA566F20AE}"/>
            </c:ext>
          </c:extLst>
        </c:ser>
        <c:ser>
          <c:idx val="5"/>
          <c:order val="5"/>
          <c:tx>
            <c:strRef>
              <c:f>ArtificialTreatments!$K$20</c:f>
              <c:strCache>
                <c:ptCount val="1"/>
                <c:pt idx="0">
                  <c:v>X5</c:v>
                </c:pt>
              </c:strCache>
            </c:strRef>
          </c:tx>
          <c:spPr>
            <a:ln w="19050" cap="rnd">
              <a:solidFill>
                <a:schemeClr val="accent6"/>
              </a:solidFill>
              <a:round/>
            </a:ln>
            <a:effectLst/>
          </c:spPr>
          <c:marker>
            <c:symbol val="none"/>
          </c:marker>
          <c:xVal>
            <c:numRef>
              <c:f>ArtificialTreatments!$B$21:$B$241</c:f>
              <c:numCache>
                <c:formatCode>General</c:formatCode>
                <c:ptCount val="221"/>
                <c:pt idx="0">
                  <c:v>-11</c:v>
                </c:pt>
                <c:pt idx="1">
                  <c:v>-10.9</c:v>
                </c:pt>
                <c:pt idx="2">
                  <c:v>-10.8</c:v>
                </c:pt>
                <c:pt idx="3">
                  <c:v>-10.700000000000001</c:v>
                </c:pt>
                <c:pt idx="4">
                  <c:v>-10.600000000000001</c:v>
                </c:pt>
                <c:pt idx="5">
                  <c:v>-10.500000000000002</c:v>
                </c:pt>
                <c:pt idx="6">
                  <c:v>-10.400000000000002</c:v>
                </c:pt>
                <c:pt idx="7">
                  <c:v>-10.300000000000002</c:v>
                </c:pt>
                <c:pt idx="8">
                  <c:v>-10.200000000000003</c:v>
                </c:pt>
                <c:pt idx="9">
                  <c:v>-10.100000000000003</c:v>
                </c:pt>
                <c:pt idx="10">
                  <c:v>-10.000000000000004</c:v>
                </c:pt>
                <c:pt idx="11">
                  <c:v>-9.9000000000000039</c:v>
                </c:pt>
                <c:pt idx="12">
                  <c:v>-9.8000000000000043</c:v>
                </c:pt>
                <c:pt idx="13">
                  <c:v>-9.7000000000000046</c:v>
                </c:pt>
                <c:pt idx="14">
                  <c:v>-9.600000000000005</c:v>
                </c:pt>
                <c:pt idx="15">
                  <c:v>-9.5000000000000053</c:v>
                </c:pt>
                <c:pt idx="16">
                  <c:v>-9.4000000000000057</c:v>
                </c:pt>
                <c:pt idx="17">
                  <c:v>-9.300000000000006</c:v>
                </c:pt>
                <c:pt idx="18">
                  <c:v>-9.2000000000000064</c:v>
                </c:pt>
                <c:pt idx="19">
                  <c:v>-9.1000000000000068</c:v>
                </c:pt>
                <c:pt idx="20">
                  <c:v>-9.0000000000000071</c:v>
                </c:pt>
                <c:pt idx="21">
                  <c:v>-8.9000000000000075</c:v>
                </c:pt>
                <c:pt idx="22">
                  <c:v>-8.8000000000000078</c:v>
                </c:pt>
                <c:pt idx="23">
                  <c:v>-8.7000000000000082</c:v>
                </c:pt>
                <c:pt idx="24">
                  <c:v>-8.6000000000000085</c:v>
                </c:pt>
                <c:pt idx="25">
                  <c:v>-8.5000000000000089</c:v>
                </c:pt>
                <c:pt idx="26">
                  <c:v>-8.4000000000000092</c:v>
                </c:pt>
                <c:pt idx="27">
                  <c:v>-8.3000000000000096</c:v>
                </c:pt>
                <c:pt idx="28">
                  <c:v>-8.2000000000000099</c:v>
                </c:pt>
                <c:pt idx="29">
                  <c:v>-8.1000000000000103</c:v>
                </c:pt>
                <c:pt idx="30">
                  <c:v>-8.0000000000000107</c:v>
                </c:pt>
                <c:pt idx="31">
                  <c:v>-7.900000000000011</c:v>
                </c:pt>
                <c:pt idx="32">
                  <c:v>-7.8000000000000114</c:v>
                </c:pt>
                <c:pt idx="33">
                  <c:v>-7.7000000000000117</c:v>
                </c:pt>
                <c:pt idx="34">
                  <c:v>-7.6000000000000121</c:v>
                </c:pt>
                <c:pt idx="35">
                  <c:v>-7.5000000000000124</c:v>
                </c:pt>
                <c:pt idx="36">
                  <c:v>-7.4000000000000128</c:v>
                </c:pt>
                <c:pt idx="37">
                  <c:v>-7.3000000000000131</c:v>
                </c:pt>
                <c:pt idx="38">
                  <c:v>-7.2000000000000135</c:v>
                </c:pt>
                <c:pt idx="39">
                  <c:v>-7.1000000000000139</c:v>
                </c:pt>
                <c:pt idx="40">
                  <c:v>-7.0000000000000142</c:v>
                </c:pt>
                <c:pt idx="41">
                  <c:v>-6.9000000000000146</c:v>
                </c:pt>
                <c:pt idx="42">
                  <c:v>-6.8000000000000149</c:v>
                </c:pt>
                <c:pt idx="43">
                  <c:v>-6.7000000000000153</c:v>
                </c:pt>
                <c:pt idx="44">
                  <c:v>-6.6000000000000156</c:v>
                </c:pt>
                <c:pt idx="45">
                  <c:v>-6.500000000000016</c:v>
                </c:pt>
                <c:pt idx="46">
                  <c:v>-6.4000000000000163</c:v>
                </c:pt>
                <c:pt idx="47">
                  <c:v>-6.3000000000000167</c:v>
                </c:pt>
                <c:pt idx="48">
                  <c:v>-6.2000000000000171</c:v>
                </c:pt>
                <c:pt idx="49">
                  <c:v>-6.1000000000000174</c:v>
                </c:pt>
                <c:pt idx="50">
                  <c:v>-6.0000000000000178</c:v>
                </c:pt>
                <c:pt idx="51">
                  <c:v>-5.9000000000000181</c:v>
                </c:pt>
                <c:pt idx="52">
                  <c:v>-5.8000000000000185</c:v>
                </c:pt>
                <c:pt idx="53">
                  <c:v>-5.7000000000000188</c:v>
                </c:pt>
                <c:pt idx="54">
                  <c:v>-5.6000000000000192</c:v>
                </c:pt>
                <c:pt idx="55">
                  <c:v>-5.5000000000000195</c:v>
                </c:pt>
                <c:pt idx="56">
                  <c:v>-5.4000000000000199</c:v>
                </c:pt>
                <c:pt idx="57">
                  <c:v>-5.3000000000000203</c:v>
                </c:pt>
                <c:pt idx="58">
                  <c:v>-5.2000000000000206</c:v>
                </c:pt>
                <c:pt idx="59">
                  <c:v>-5.100000000000021</c:v>
                </c:pt>
                <c:pt idx="60">
                  <c:v>-5.0000000000000213</c:v>
                </c:pt>
                <c:pt idx="61">
                  <c:v>-4.9000000000000217</c:v>
                </c:pt>
                <c:pt idx="62">
                  <c:v>-4.800000000000022</c:v>
                </c:pt>
                <c:pt idx="63">
                  <c:v>-4.7000000000000224</c:v>
                </c:pt>
                <c:pt idx="64">
                  <c:v>-4.6000000000000227</c:v>
                </c:pt>
                <c:pt idx="65">
                  <c:v>-4.5000000000000231</c:v>
                </c:pt>
                <c:pt idx="66">
                  <c:v>-4.4000000000000234</c:v>
                </c:pt>
                <c:pt idx="67">
                  <c:v>-4.3000000000000238</c:v>
                </c:pt>
                <c:pt idx="68">
                  <c:v>-4.2000000000000242</c:v>
                </c:pt>
                <c:pt idx="69">
                  <c:v>-4.1000000000000245</c:v>
                </c:pt>
                <c:pt idx="70">
                  <c:v>-4.0000000000000249</c:v>
                </c:pt>
                <c:pt idx="71">
                  <c:v>-3.9000000000000248</c:v>
                </c:pt>
                <c:pt idx="72">
                  <c:v>-3.8000000000000247</c:v>
                </c:pt>
                <c:pt idx="73">
                  <c:v>-3.7000000000000246</c:v>
                </c:pt>
                <c:pt idx="74">
                  <c:v>-3.6000000000000245</c:v>
                </c:pt>
                <c:pt idx="75">
                  <c:v>-3.5000000000000244</c:v>
                </c:pt>
                <c:pt idx="76">
                  <c:v>-3.4000000000000243</c:v>
                </c:pt>
                <c:pt idx="77">
                  <c:v>-3.3000000000000242</c:v>
                </c:pt>
                <c:pt idx="78">
                  <c:v>-3.2000000000000242</c:v>
                </c:pt>
                <c:pt idx="79">
                  <c:v>-3.1000000000000241</c:v>
                </c:pt>
                <c:pt idx="80">
                  <c:v>-3.000000000000024</c:v>
                </c:pt>
                <c:pt idx="81">
                  <c:v>-2.9000000000000239</c:v>
                </c:pt>
                <c:pt idx="82">
                  <c:v>-2.8000000000000238</c:v>
                </c:pt>
                <c:pt idx="83">
                  <c:v>-2.7000000000000237</c:v>
                </c:pt>
                <c:pt idx="84">
                  <c:v>-2.6000000000000236</c:v>
                </c:pt>
                <c:pt idx="85">
                  <c:v>-2.5000000000000235</c:v>
                </c:pt>
                <c:pt idx="86">
                  <c:v>-2.4000000000000234</c:v>
                </c:pt>
                <c:pt idx="87">
                  <c:v>-2.3000000000000234</c:v>
                </c:pt>
                <c:pt idx="88">
                  <c:v>-2.2000000000000233</c:v>
                </c:pt>
                <c:pt idx="89">
                  <c:v>-2.1000000000000232</c:v>
                </c:pt>
                <c:pt idx="90">
                  <c:v>-2.0000000000000231</c:v>
                </c:pt>
                <c:pt idx="91">
                  <c:v>-1.900000000000023</c:v>
                </c:pt>
                <c:pt idx="92">
                  <c:v>-1.8000000000000229</c:v>
                </c:pt>
                <c:pt idx="93">
                  <c:v>-1.7000000000000228</c:v>
                </c:pt>
                <c:pt idx="94">
                  <c:v>-1.6000000000000227</c:v>
                </c:pt>
                <c:pt idx="95">
                  <c:v>-1.5000000000000226</c:v>
                </c:pt>
                <c:pt idx="96">
                  <c:v>-1.4000000000000226</c:v>
                </c:pt>
                <c:pt idx="97">
                  <c:v>-1.3000000000000225</c:v>
                </c:pt>
                <c:pt idx="98">
                  <c:v>-1.2000000000000224</c:v>
                </c:pt>
                <c:pt idx="99">
                  <c:v>-1.1000000000000223</c:v>
                </c:pt>
                <c:pt idx="100">
                  <c:v>-1.0000000000000222</c:v>
                </c:pt>
                <c:pt idx="101">
                  <c:v>-0.90000000000002223</c:v>
                </c:pt>
                <c:pt idx="102">
                  <c:v>-0.80000000000002225</c:v>
                </c:pt>
                <c:pt idx="103">
                  <c:v>-0.70000000000002227</c:v>
                </c:pt>
                <c:pt idx="104">
                  <c:v>-0.60000000000002229</c:v>
                </c:pt>
                <c:pt idx="105">
                  <c:v>-0.50000000000002232</c:v>
                </c:pt>
                <c:pt idx="106">
                  <c:v>-0.40000000000002234</c:v>
                </c:pt>
                <c:pt idx="107">
                  <c:v>-0.30000000000002236</c:v>
                </c:pt>
                <c:pt idx="108">
                  <c:v>-0.20000000000002235</c:v>
                </c:pt>
                <c:pt idx="109">
                  <c:v>-0.10000000000002235</c:v>
                </c:pt>
                <c:pt idx="110">
                  <c:v>-2.2343238370581275E-14</c:v>
                </c:pt>
                <c:pt idx="111">
                  <c:v>9.9999999999977662E-2</c:v>
                </c:pt>
                <c:pt idx="112">
                  <c:v>0.19999999999997767</c:v>
                </c:pt>
                <c:pt idx="113">
                  <c:v>0.29999999999997767</c:v>
                </c:pt>
                <c:pt idx="114">
                  <c:v>0.39999999999997771</c:v>
                </c:pt>
                <c:pt idx="115">
                  <c:v>0.49999999999997768</c:v>
                </c:pt>
                <c:pt idx="116">
                  <c:v>0.59999999999997766</c:v>
                </c:pt>
                <c:pt idx="117">
                  <c:v>0.69999999999997764</c:v>
                </c:pt>
                <c:pt idx="118">
                  <c:v>0.79999999999997762</c:v>
                </c:pt>
                <c:pt idx="119">
                  <c:v>0.8999999999999776</c:v>
                </c:pt>
                <c:pt idx="120">
                  <c:v>0.99999999999997757</c:v>
                </c:pt>
                <c:pt idx="121">
                  <c:v>1.0999999999999777</c:v>
                </c:pt>
                <c:pt idx="122">
                  <c:v>1.1999999999999778</c:v>
                </c:pt>
                <c:pt idx="123">
                  <c:v>1.2999999999999778</c:v>
                </c:pt>
                <c:pt idx="124">
                  <c:v>1.3999999999999779</c:v>
                </c:pt>
                <c:pt idx="125">
                  <c:v>1.499999999999978</c:v>
                </c:pt>
                <c:pt idx="126">
                  <c:v>1.5999999999999781</c:v>
                </c:pt>
                <c:pt idx="127">
                  <c:v>1.6999999999999782</c:v>
                </c:pt>
                <c:pt idx="128">
                  <c:v>1.7999999999999783</c:v>
                </c:pt>
                <c:pt idx="129">
                  <c:v>1.8999999999999784</c:v>
                </c:pt>
                <c:pt idx="130">
                  <c:v>1.9999999999999785</c:v>
                </c:pt>
                <c:pt idx="131">
                  <c:v>2.0999999999999783</c:v>
                </c:pt>
                <c:pt idx="132">
                  <c:v>2.1999999999999784</c:v>
                </c:pt>
                <c:pt idx="133">
                  <c:v>2.2999999999999785</c:v>
                </c:pt>
                <c:pt idx="134">
                  <c:v>2.3999999999999786</c:v>
                </c:pt>
                <c:pt idx="135">
                  <c:v>2.4999999999999787</c:v>
                </c:pt>
                <c:pt idx="136">
                  <c:v>2.5999999999999788</c:v>
                </c:pt>
                <c:pt idx="137">
                  <c:v>2.6999999999999789</c:v>
                </c:pt>
                <c:pt idx="138">
                  <c:v>2.799999999999979</c:v>
                </c:pt>
                <c:pt idx="139">
                  <c:v>2.899999999999979</c:v>
                </c:pt>
                <c:pt idx="140">
                  <c:v>2.9999999999999791</c:v>
                </c:pt>
                <c:pt idx="141">
                  <c:v>3.0999999999999792</c:v>
                </c:pt>
                <c:pt idx="142">
                  <c:v>3.1999999999999793</c:v>
                </c:pt>
                <c:pt idx="143">
                  <c:v>3.2999999999999794</c:v>
                </c:pt>
                <c:pt idx="144">
                  <c:v>3.3999999999999795</c:v>
                </c:pt>
                <c:pt idx="145">
                  <c:v>3.4999999999999796</c:v>
                </c:pt>
                <c:pt idx="146">
                  <c:v>3.5999999999999797</c:v>
                </c:pt>
                <c:pt idx="147">
                  <c:v>3.6999999999999797</c:v>
                </c:pt>
                <c:pt idx="148">
                  <c:v>3.7999999999999798</c:v>
                </c:pt>
                <c:pt idx="149">
                  <c:v>3.8999999999999799</c:v>
                </c:pt>
                <c:pt idx="150">
                  <c:v>3.99999999999998</c:v>
                </c:pt>
                <c:pt idx="151">
                  <c:v>4.0999999999999801</c:v>
                </c:pt>
                <c:pt idx="152">
                  <c:v>4.1999999999999797</c:v>
                </c:pt>
                <c:pt idx="153">
                  <c:v>4.2999999999999794</c:v>
                </c:pt>
                <c:pt idx="154">
                  <c:v>4.399999999999979</c:v>
                </c:pt>
                <c:pt idx="155">
                  <c:v>4.4999999999999787</c:v>
                </c:pt>
                <c:pt idx="156">
                  <c:v>4.5999999999999783</c:v>
                </c:pt>
                <c:pt idx="157">
                  <c:v>4.699999999999978</c:v>
                </c:pt>
                <c:pt idx="158">
                  <c:v>4.7999999999999776</c:v>
                </c:pt>
                <c:pt idx="159">
                  <c:v>4.8999999999999773</c:v>
                </c:pt>
                <c:pt idx="160">
                  <c:v>4.9999999999999769</c:v>
                </c:pt>
                <c:pt idx="161">
                  <c:v>5.0999999999999766</c:v>
                </c:pt>
                <c:pt idx="162">
                  <c:v>5.1999999999999762</c:v>
                </c:pt>
                <c:pt idx="163">
                  <c:v>5.2999999999999758</c:v>
                </c:pt>
                <c:pt idx="164">
                  <c:v>5.3999999999999755</c:v>
                </c:pt>
                <c:pt idx="165">
                  <c:v>5.4999999999999751</c:v>
                </c:pt>
                <c:pt idx="166">
                  <c:v>5.5999999999999748</c:v>
                </c:pt>
                <c:pt idx="167">
                  <c:v>5.6999999999999744</c:v>
                </c:pt>
                <c:pt idx="168">
                  <c:v>5.7999999999999741</c:v>
                </c:pt>
                <c:pt idx="169">
                  <c:v>5.8999999999999737</c:v>
                </c:pt>
                <c:pt idx="170">
                  <c:v>5.9999999999999734</c:v>
                </c:pt>
                <c:pt idx="171">
                  <c:v>6.099999999999973</c:v>
                </c:pt>
                <c:pt idx="172">
                  <c:v>6.1999999999999726</c:v>
                </c:pt>
                <c:pt idx="173">
                  <c:v>6.2999999999999723</c:v>
                </c:pt>
                <c:pt idx="174">
                  <c:v>6.3999999999999719</c:v>
                </c:pt>
                <c:pt idx="175">
                  <c:v>6.4999999999999716</c:v>
                </c:pt>
                <c:pt idx="176">
                  <c:v>6.5999999999999712</c:v>
                </c:pt>
                <c:pt idx="177">
                  <c:v>6.6999999999999709</c:v>
                </c:pt>
                <c:pt idx="178">
                  <c:v>6.7999999999999705</c:v>
                </c:pt>
                <c:pt idx="179">
                  <c:v>6.8999999999999702</c:v>
                </c:pt>
                <c:pt idx="180">
                  <c:v>6.9999999999999698</c:v>
                </c:pt>
                <c:pt idx="181">
                  <c:v>7.0999999999999694</c:v>
                </c:pt>
                <c:pt idx="182">
                  <c:v>7.1999999999999691</c:v>
                </c:pt>
                <c:pt idx="183">
                  <c:v>7.2999999999999687</c:v>
                </c:pt>
                <c:pt idx="184">
                  <c:v>7.3999999999999684</c:v>
                </c:pt>
                <c:pt idx="185">
                  <c:v>7.499999999999968</c:v>
                </c:pt>
                <c:pt idx="186">
                  <c:v>7.5999999999999677</c:v>
                </c:pt>
                <c:pt idx="187">
                  <c:v>7.6999999999999673</c:v>
                </c:pt>
                <c:pt idx="188">
                  <c:v>7.799999999999967</c:v>
                </c:pt>
                <c:pt idx="189">
                  <c:v>7.8999999999999666</c:v>
                </c:pt>
                <c:pt idx="190">
                  <c:v>7.9999999999999662</c:v>
                </c:pt>
                <c:pt idx="191">
                  <c:v>8.0999999999999659</c:v>
                </c:pt>
                <c:pt idx="192">
                  <c:v>8.1999999999999655</c:v>
                </c:pt>
                <c:pt idx="193">
                  <c:v>8.2999999999999652</c:v>
                </c:pt>
                <c:pt idx="194">
                  <c:v>8.3999999999999648</c:v>
                </c:pt>
                <c:pt idx="195">
                  <c:v>8.4999999999999645</c:v>
                </c:pt>
                <c:pt idx="196">
                  <c:v>8.5999999999999641</c:v>
                </c:pt>
                <c:pt idx="197">
                  <c:v>8.6999999999999638</c:v>
                </c:pt>
                <c:pt idx="198">
                  <c:v>8.7999999999999634</c:v>
                </c:pt>
                <c:pt idx="199">
                  <c:v>8.8999999999999631</c:v>
                </c:pt>
                <c:pt idx="200">
                  <c:v>8.9999999999999627</c:v>
                </c:pt>
                <c:pt idx="201">
                  <c:v>9.0999999999999623</c:v>
                </c:pt>
                <c:pt idx="202">
                  <c:v>9.199999999999962</c:v>
                </c:pt>
                <c:pt idx="203">
                  <c:v>9.2999999999999616</c:v>
                </c:pt>
                <c:pt idx="204">
                  <c:v>9.3999999999999613</c:v>
                </c:pt>
                <c:pt idx="205">
                  <c:v>9.4999999999999609</c:v>
                </c:pt>
                <c:pt idx="206">
                  <c:v>9.5999999999999606</c:v>
                </c:pt>
                <c:pt idx="207">
                  <c:v>9.6999999999999602</c:v>
                </c:pt>
                <c:pt idx="208">
                  <c:v>9.7999999999999599</c:v>
                </c:pt>
                <c:pt idx="209">
                  <c:v>9.8999999999999595</c:v>
                </c:pt>
                <c:pt idx="210">
                  <c:v>9.9999999999999591</c:v>
                </c:pt>
                <c:pt idx="211">
                  <c:v>10.099999999999959</c:v>
                </c:pt>
                <c:pt idx="212">
                  <c:v>10.199999999999958</c:v>
                </c:pt>
                <c:pt idx="213">
                  <c:v>10.299999999999958</c:v>
                </c:pt>
                <c:pt idx="214">
                  <c:v>10.399999999999958</c:v>
                </c:pt>
                <c:pt idx="215">
                  <c:v>10.499999999999957</c:v>
                </c:pt>
                <c:pt idx="216">
                  <c:v>10.599999999999957</c:v>
                </c:pt>
                <c:pt idx="217">
                  <c:v>10.699999999999957</c:v>
                </c:pt>
                <c:pt idx="218">
                  <c:v>10.799999999999956</c:v>
                </c:pt>
                <c:pt idx="219">
                  <c:v>10.899999999999956</c:v>
                </c:pt>
                <c:pt idx="220">
                  <c:v>10.999999999999956</c:v>
                </c:pt>
              </c:numCache>
            </c:numRef>
          </c:xVal>
          <c:yVal>
            <c:numRef>
              <c:f>ArtificialTreatments!$K$21:$K$241</c:f>
              <c:numCache>
                <c:formatCode>General</c:formatCode>
                <c:ptCount val="2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9.9999999999980105E-2</c:v>
                </c:pt>
                <c:pt idx="152">
                  <c:v>0.19999999999997975</c:v>
                </c:pt>
                <c:pt idx="153">
                  <c:v>0.29999999999997939</c:v>
                </c:pt>
                <c:pt idx="154">
                  <c:v>0.39999999999997904</c:v>
                </c:pt>
                <c:pt idx="155">
                  <c:v>0.49999999999997868</c:v>
                </c:pt>
                <c:pt idx="156">
                  <c:v>0.59999999999997833</c:v>
                </c:pt>
                <c:pt idx="157">
                  <c:v>0.69999999999997797</c:v>
                </c:pt>
                <c:pt idx="158">
                  <c:v>0.79999999999997762</c:v>
                </c:pt>
                <c:pt idx="159">
                  <c:v>0.89999999999997726</c:v>
                </c:pt>
                <c:pt idx="160">
                  <c:v>0.99999999999997691</c:v>
                </c:pt>
                <c:pt idx="161">
                  <c:v>0.90000000000002345</c:v>
                </c:pt>
                <c:pt idx="162">
                  <c:v>0.8000000000000238</c:v>
                </c:pt>
                <c:pt idx="163">
                  <c:v>0.70000000000002416</c:v>
                </c:pt>
                <c:pt idx="164">
                  <c:v>0.60000000000002451</c:v>
                </c:pt>
                <c:pt idx="165">
                  <c:v>0.50000000000002487</c:v>
                </c:pt>
                <c:pt idx="166">
                  <c:v>0.40000000000002522</c:v>
                </c:pt>
                <c:pt idx="167">
                  <c:v>0.30000000000002558</c:v>
                </c:pt>
                <c:pt idx="168">
                  <c:v>0.20000000000002593</c:v>
                </c:pt>
                <c:pt idx="169">
                  <c:v>0.10000000000002629</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numCache>
            </c:numRef>
          </c:yVal>
          <c:smooth val="0"/>
          <c:extLst>
            <c:ext xmlns:c16="http://schemas.microsoft.com/office/drawing/2014/chart" uri="{C3380CC4-5D6E-409C-BE32-E72D297353CC}">
              <c16:uniqueId val="{00000005-0B1D-48C5-A548-65EA566F20AE}"/>
            </c:ext>
          </c:extLst>
        </c:ser>
        <c:ser>
          <c:idx val="6"/>
          <c:order val="6"/>
          <c:tx>
            <c:strRef>
              <c:f>ArtificialTreatments!$L$20</c:f>
              <c:strCache>
                <c:ptCount val="1"/>
                <c:pt idx="0">
                  <c:v>X6</c:v>
                </c:pt>
              </c:strCache>
            </c:strRef>
          </c:tx>
          <c:spPr>
            <a:ln w="19050" cap="rnd">
              <a:solidFill>
                <a:schemeClr val="accent1">
                  <a:lumMod val="60000"/>
                </a:schemeClr>
              </a:solidFill>
              <a:round/>
            </a:ln>
            <a:effectLst/>
          </c:spPr>
          <c:marker>
            <c:symbol val="none"/>
          </c:marker>
          <c:xVal>
            <c:numRef>
              <c:f>ArtificialTreatments!$E$21:$E$241</c:f>
              <c:numCache>
                <c:formatCode>General</c:formatCode>
                <c:ptCount val="221"/>
                <c:pt idx="0">
                  <c:v>-11</c:v>
                </c:pt>
                <c:pt idx="1">
                  <c:v>-10.9</c:v>
                </c:pt>
                <c:pt idx="2">
                  <c:v>-10.8</c:v>
                </c:pt>
                <c:pt idx="3">
                  <c:v>-10.700000000000001</c:v>
                </c:pt>
                <c:pt idx="4">
                  <c:v>-10.600000000000001</c:v>
                </c:pt>
                <c:pt idx="5">
                  <c:v>-10.500000000000002</c:v>
                </c:pt>
                <c:pt idx="6">
                  <c:v>-10.400000000000002</c:v>
                </c:pt>
                <c:pt idx="7">
                  <c:v>-10.300000000000002</c:v>
                </c:pt>
                <c:pt idx="8">
                  <c:v>-10.200000000000003</c:v>
                </c:pt>
                <c:pt idx="9">
                  <c:v>-10.100000000000003</c:v>
                </c:pt>
                <c:pt idx="10">
                  <c:v>-10.000000000000004</c:v>
                </c:pt>
                <c:pt idx="11">
                  <c:v>-9.9000000000000039</c:v>
                </c:pt>
                <c:pt idx="12">
                  <c:v>-9.8000000000000043</c:v>
                </c:pt>
                <c:pt idx="13">
                  <c:v>-9.7000000000000046</c:v>
                </c:pt>
                <c:pt idx="14">
                  <c:v>-9.600000000000005</c:v>
                </c:pt>
                <c:pt idx="15">
                  <c:v>-9.5000000000000053</c:v>
                </c:pt>
                <c:pt idx="16">
                  <c:v>-9.4000000000000057</c:v>
                </c:pt>
                <c:pt idx="17">
                  <c:v>-9.300000000000006</c:v>
                </c:pt>
                <c:pt idx="18">
                  <c:v>-9.2000000000000064</c:v>
                </c:pt>
                <c:pt idx="19">
                  <c:v>-9.1000000000000068</c:v>
                </c:pt>
                <c:pt idx="20">
                  <c:v>-9.0000000000000071</c:v>
                </c:pt>
                <c:pt idx="21">
                  <c:v>-8.9000000000000075</c:v>
                </c:pt>
                <c:pt idx="22">
                  <c:v>-8.8000000000000078</c:v>
                </c:pt>
                <c:pt idx="23">
                  <c:v>-8.7000000000000082</c:v>
                </c:pt>
                <c:pt idx="24">
                  <c:v>-8.6000000000000085</c:v>
                </c:pt>
                <c:pt idx="25">
                  <c:v>-8.5000000000000089</c:v>
                </c:pt>
                <c:pt idx="26">
                  <c:v>-8.4000000000000092</c:v>
                </c:pt>
                <c:pt idx="27">
                  <c:v>-8.3000000000000096</c:v>
                </c:pt>
                <c:pt idx="28">
                  <c:v>-8.2000000000000099</c:v>
                </c:pt>
                <c:pt idx="29">
                  <c:v>-8.1000000000000103</c:v>
                </c:pt>
                <c:pt idx="30">
                  <c:v>-8.0000000000000107</c:v>
                </c:pt>
                <c:pt idx="31">
                  <c:v>-7.900000000000011</c:v>
                </c:pt>
                <c:pt idx="32">
                  <c:v>-7.8000000000000114</c:v>
                </c:pt>
                <c:pt idx="33">
                  <c:v>-7.7000000000000117</c:v>
                </c:pt>
                <c:pt idx="34">
                  <c:v>-7.6000000000000121</c:v>
                </c:pt>
                <c:pt idx="35">
                  <c:v>-7.5000000000000124</c:v>
                </c:pt>
                <c:pt idx="36">
                  <c:v>-7.4000000000000128</c:v>
                </c:pt>
                <c:pt idx="37">
                  <c:v>-7.3000000000000131</c:v>
                </c:pt>
                <c:pt idx="38">
                  <c:v>-7.2000000000000135</c:v>
                </c:pt>
                <c:pt idx="39">
                  <c:v>-7.1000000000000139</c:v>
                </c:pt>
                <c:pt idx="40">
                  <c:v>-7.0000000000000142</c:v>
                </c:pt>
                <c:pt idx="41">
                  <c:v>-6.9000000000000146</c:v>
                </c:pt>
                <c:pt idx="42">
                  <c:v>-6.8000000000000149</c:v>
                </c:pt>
                <c:pt idx="43">
                  <c:v>-6.7000000000000153</c:v>
                </c:pt>
                <c:pt idx="44">
                  <c:v>-6.6000000000000156</c:v>
                </c:pt>
                <c:pt idx="45">
                  <c:v>-6.500000000000016</c:v>
                </c:pt>
                <c:pt idx="46">
                  <c:v>-6.4000000000000163</c:v>
                </c:pt>
                <c:pt idx="47">
                  <c:v>-6.3000000000000167</c:v>
                </c:pt>
                <c:pt idx="48">
                  <c:v>-6.2000000000000171</c:v>
                </c:pt>
                <c:pt idx="49">
                  <c:v>-6.1000000000000174</c:v>
                </c:pt>
                <c:pt idx="50">
                  <c:v>-6.0000000000000178</c:v>
                </c:pt>
                <c:pt idx="51">
                  <c:v>-5.9000000000000181</c:v>
                </c:pt>
                <c:pt idx="52">
                  <c:v>-5.8000000000000185</c:v>
                </c:pt>
                <c:pt idx="53">
                  <c:v>-5.7000000000000188</c:v>
                </c:pt>
                <c:pt idx="54">
                  <c:v>-5.6000000000000192</c:v>
                </c:pt>
                <c:pt idx="55">
                  <c:v>-5.5000000000000195</c:v>
                </c:pt>
                <c:pt idx="56">
                  <c:v>#N/A</c:v>
                </c:pt>
                <c:pt idx="57">
                  <c:v>-5.3000000000000203</c:v>
                </c:pt>
                <c:pt idx="58">
                  <c:v>-5.2000000000000206</c:v>
                </c:pt>
                <c:pt idx="59">
                  <c:v>-5.100000000000021</c:v>
                </c:pt>
                <c:pt idx="60">
                  <c:v>-5.0000000000000213</c:v>
                </c:pt>
                <c:pt idx="61">
                  <c:v>-4.9000000000000217</c:v>
                </c:pt>
                <c:pt idx="62">
                  <c:v>-4.800000000000022</c:v>
                </c:pt>
                <c:pt idx="63">
                  <c:v>-4.7000000000000224</c:v>
                </c:pt>
                <c:pt idx="64">
                  <c:v>-4.6000000000000227</c:v>
                </c:pt>
                <c:pt idx="65">
                  <c:v>-4.5000000000000231</c:v>
                </c:pt>
                <c:pt idx="66">
                  <c:v>-4.4000000000000234</c:v>
                </c:pt>
                <c:pt idx="67">
                  <c:v>-4.3000000000000238</c:v>
                </c:pt>
                <c:pt idx="68">
                  <c:v>-4.2000000000000242</c:v>
                </c:pt>
                <c:pt idx="69">
                  <c:v>-4.1000000000000245</c:v>
                </c:pt>
                <c:pt idx="70">
                  <c:v>-4.0000000000000249</c:v>
                </c:pt>
                <c:pt idx="71">
                  <c:v>-3.9000000000000248</c:v>
                </c:pt>
                <c:pt idx="72">
                  <c:v>-3.8000000000000247</c:v>
                </c:pt>
                <c:pt idx="73">
                  <c:v>-3.7000000000000246</c:v>
                </c:pt>
                <c:pt idx="74">
                  <c:v>-3.6000000000000245</c:v>
                </c:pt>
                <c:pt idx="75">
                  <c:v>-3.5000000000000244</c:v>
                </c:pt>
                <c:pt idx="76">
                  <c:v>-3.4000000000000243</c:v>
                </c:pt>
                <c:pt idx="77">
                  <c:v>-3.3000000000000242</c:v>
                </c:pt>
                <c:pt idx="78">
                  <c:v>-3.2000000000000242</c:v>
                </c:pt>
                <c:pt idx="79">
                  <c:v>-3.1000000000000241</c:v>
                </c:pt>
                <c:pt idx="80">
                  <c:v>-3.000000000000024</c:v>
                </c:pt>
                <c:pt idx="81">
                  <c:v>-2.9000000000000239</c:v>
                </c:pt>
                <c:pt idx="82">
                  <c:v>-2.8000000000000238</c:v>
                </c:pt>
                <c:pt idx="83">
                  <c:v>-2.7000000000000237</c:v>
                </c:pt>
                <c:pt idx="84">
                  <c:v>-2.6000000000000236</c:v>
                </c:pt>
                <c:pt idx="85">
                  <c:v>-2.5000000000000235</c:v>
                </c:pt>
                <c:pt idx="86">
                  <c:v>-2.4000000000000234</c:v>
                </c:pt>
                <c:pt idx="87">
                  <c:v>-2.3000000000000234</c:v>
                </c:pt>
                <c:pt idx="88">
                  <c:v>-2.2000000000000233</c:v>
                </c:pt>
                <c:pt idx="89">
                  <c:v>-2.1000000000000232</c:v>
                </c:pt>
                <c:pt idx="90">
                  <c:v>-2.0000000000000231</c:v>
                </c:pt>
                <c:pt idx="91">
                  <c:v>-1.900000000000023</c:v>
                </c:pt>
                <c:pt idx="92">
                  <c:v>-1.8000000000000229</c:v>
                </c:pt>
                <c:pt idx="93">
                  <c:v>-1.7000000000000228</c:v>
                </c:pt>
                <c:pt idx="94">
                  <c:v>-1.6000000000000227</c:v>
                </c:pt>
                <c:pt idx="95">
                  <c:v>-1.5000000000000226</c:v>
                </c:pt>
                <c:pt idx="96">
                  <c:v>-1.4000000000000226</c:v>
                </c:pt>
                <c:pt idx="97">
                  <c:v>-1.3000000000000225</c:v>
                </c:pt>
                <c:pt idx="98">
                  <c:v>-1.2000000000000224</c:v>
                </c:pt>
                <c:pt idx="99">
                  <c:v>-1.1000000000000223</c:v>
                </c:pt>
                <c:pt idx="100">
                  <c:v>-1.0000000000000222</c:v>
                </c:pt>
                <c:pt idx="101">
                  <c:v>-0.90000000000002223</c:v>
                </c:pt>
                <c:pt idx="102">
                  <c:v>-0.80000000000002225</c:v>
                </c:pt>
                <c:pt idx="103">
                  <c:v>-0.70000000000002227</c:v>
                </c:pt>
                <c:pt idx="104">
                  <c:v>-0.60000000000002229</c:v>
                </c:pt>
                <c:pt idx="105">
                  <c:v>-0.50000000000002232</c:v>
                </c:pt>
                <c:pt idx="106">
                  <c:v>-0.40000000000002234</c:v>
                </c:pt>
                <c:pt idx="107">
                  <c:v>-0.30000000000002236</c:v>
                </c:pt>
                <c:pt idx="108">
                  <c:v>-0.20000000000002235</c:v>
                </c:pt>
                <c:pt idx="109">
                  <c:v>-0.10000000000002235</c:v>
                </c:pt>
                <c:pt idx="110">
                  <c:v>-2.2343238370581275E-14</c:v>
                </c:pt>
                <c:pt idx="111">
                  <c:v>9.9999999999977662E-2</c:v>
                </c:pt>
                <c:pt idx="112">
                  <c:v>0.19999999999997767</c:v>
                </c:pt>
                <c:pt idx="113">
                  <c:v>0.29999999999997767</c:v>
                </c:pt>
                <c:pt idx="114">
                  <c:v>0.39999999999997771</c:v>
                </c:pt>
                <c:pt idx="115">
                  <c:v>0.49999999999997768</c:v>
                </c:pt>
                <c:pt idx="116">
                  <c:v>0.59999999999997766</c:v>
                </c:pt>
                <c:pt idx="117">
                  <c:v>0.69999999999997764</c:v>
                </c:pt>
                <c:pt idx="118">
                  <c:v>0.79999999999997762</c:v>
                </c:pt>
                <c:pt idx="119">
                  <c:v>0.8999999999999776</c:v>
                </c:pt>
                <c:pt idx="120">
                  <c:v>0.99999999999997757</c:v>
                </c:pt>
                <c:pt idx="121">
                  <c:v>1.0999999999999777</c:v>
                </c:pt>
                <c:pt idx="122">
                  <c:v>1.1999999999999778</c:v>
                </c:pt>
                <c:pt idx="123">
                  <c:v>1.2999999999999778</c:v>
                </c:pt>
                <c:pt idx="124">
                  <c:v>1.3999999999999779</c:v>
                </c:pt>
                <c:pt idx="125">
                  <c:v>1.499999999999978</c:v>
                </c:pt>
                <c:pt idx="126">
                  <c:v>1.5999999999999781</c:v>
                </c:pt>
                <c:pt idx="127">
                  <c:v>1.6999999999999782</c:v>
                </c:pt>
                <c:pt idx="128">
                  <c:v>1.7999999999999783</c:v>
                </c:pt>
                <c:pt idx="129">
                  <c:v>1.8999999999999784</c:v>
                </c:pt>
                <c:pt idx="130">
                  <c:v>1.9999999999999785</c:v>
                </c:pt>
                <c:pt idx="131">
                  <c:v>2.0999999999999783</c:v>
                </c:pt>
                <c:pt idx="132">
                  <c:v>2.1999999999999784</c:v>
                </c:pt>
                <c:pt idx="133">
                  <c:v>2.2999999999999785</c:v>
                </c:pt>
                <c:pt idx="134">
                  <c:v>2.3999999999999786</c:v>
                </c:pt>
                <c:pt idx="135">
                  <c:v>2.4999999999999787</c:v>
                </c:pt>
                <c:pt idx="136">
                  <c:v>2.5999999999999788</c:v>
                </c:pt>
                <c:pt idx="137">
                  <c:v>2.6999999999999789</c:v>
                </c:pt>
                <c:pt idx="138">
                  <c:v>2.799999999999979</c:v>
                </c:pt>
                <c:pt idx="139">
                  <c:v>2.899999999999979</c:v>
                </c:pt>
                <c:pt idx="140">
                  <c:v>2.9999999999999791</c:v>
                </c:pt>
                <c:pt idx="141">
                  <c:v>3.0999999999999792</c:v>
                </c:pt>
                <c:pt idx="142">
                  <c:v>3.1999999999999793</c:v>
                </c:pt>
                <c:pt idx="143">
                  <c:v>3.2999999999999794</c:v>
                </c:pt>
                <c:pt idx="144">
                  <c:v>3.3999999999999795</c:v>
                </c:pt>
                <c:pt idx="145">
                  <c:v>3.4999999999999796</c:v>
                </c:pt>
                <c:pt idx="146">
                  <c:v>3.5999999999999797</c:v>
                </c:pt>
                <c:pt idx="147">
                  <c:v>3.6999999999999797</c:v>
                </c:pt>
                <c:pt idx="148">
                  <c:v>3.7999999999999798</c:v>
                </c:pt>
                <c:pt idx="149">
                  <c:v>3.8999999999999799</c:v>
                </c:pt>
                <c:pt idx="150">
                  <c:v>3.99999999999998</c:v>
                </c:pt>
                <c:pt idx="151">
                  <c:v>4.0999999999999801</c:v>
                </c:pt>
                <c:pt idx="152">
                  <c:v>4.1999999999999797</c:v>
                </c:pt>
                <c:pt idx="153">
                  <c:v>4.2999999999999794</c:v>
                </c:pt>
                <c:pt idx="154">
                  <c:v>4.399999999999979</c:v>
                </c:pt>
                <c:pt idx="155">
                  <c:v>4.4999999999999787</c:v>
                </c:pt>
                <c:pt idx="156">
                  <c:v>4.5999999999999783</c:v>
                </c:pt>
                <c:pt idx="157">
                  <c:v>4.699999999999978</c:v>
                </c:pt>
                <c:pt idx="158">
                  <c:v>4.7999999999999776</c:v>
                </c:pt>
                <c:pt idx="159">
                  <c:v>4.8999999999999773</c:v>
                </c:pt>
                <c:pt idx="160">
                  <c:v>4.9999999999999769</c:v>
                </c:pt>
                <c:pt idx="161">
                  <c:v>5.0999999999999766</c:v>
                </c:pt>
                <c:pt idx="162">
                  <c:v>5.1999999999999762</c:v>
                </c:pt>
                <c:pt idx="163">
                  <c:v>5.2999999999999758</c:v>
                </c:pt>
                <c:pt idx="164">
                  <c:v>5.3999999999999755</c:v>
                </c:pt>
                <c:pt idx="165">
                  <c:v>5.4999999999999751</c:v>
                </c:pt>
                <c:pt idx="166">
                  <c:v>5.5999999999999748</c:v>
                </c:pt>
                <c:pt idx="167">
                  <c:v>5.6999999999999744</c:v>
                </c:pt>
                <c:pt idx="168">
                  <c:v>5.7999999999999741</c:v>
                </c:pt>
                <c:pt idx="169">
                  <c:v>5.8999999999999737</c:v>
                </c:pt>
                <c:pt idx="170">
                  <c:v>5.9999999999999734</c:v>
                </c:pt>
                <c:pt idx="171">
                  <c:v>6.099999999999973</c:v>
                </c:pt>
                <c:pt idx="172">
                  <c:v>6.1999999999999726</c:v>
                </c:pt>
                <c:pt idx="173">
                  <c:v>6.2999999999999723</c:v>
                </c:pt>
                <c:pt idx="174">
                  <c:v>6.3999999999999719</c:v>
                </c:pt>
                <c:pt idx="175">
                  <c:v>6.4999999999999716</c:v>
                </c:pt>
                <c:pt idx="176">
                  <c:v>6.5999999999999712</c:v>
                </c:pt>
                <c:pt idx="177">
                  <c:v>6.6999999999999709</c:v>
                </c:pt>
                <c:pt idx="178">
                  <c:v>6.7999999999999705</c:v>
                </c:pt>
                <c:pt idx="179">
                  <c:v>6.8999999999999702</c:v>
                </c:pt>
                <c:pt idx="180">
                  <c:v>6.9999999999999698</c:v>
                </c:pt>
                <c:pt idx="181">
                  <c:v>7.0999999999999694</c:v>
                </c:pt>
                <c:pt idx="182">
                  <c:v>7.1999999999999691</c:v>
                </c:pt>
                <c:pt idx="183">
                  <c:v>7.2999999999999687</c:v>
                </c:pt>
                <c:pt idx="184">
                  <c:v>7.3999999999999684</c:v>
                </c:pt>
                <c:pt idx="185">
                  <c:v>7.499999999999968</c:v>
                </c:pt>
                <c:pt idx="186">
                  <c:v>7.5999999999999677</c:v>
                </c:pt>
                <c:pt idx="187">
                  <c:v>7.6999999999999673</c:v>
                </c:pt>
                <c:pt idx="188">
                  <c:v>7.799999999999967</c:v>
                </c:pt>
                <c:pt idx="189">
                  <c:v>7.8999999999999666</c:v>
                </c:pt>
                <c:pt idx="190">
                  <c:v>7.9999999999999662</c:v>
                </c:pt>
                <c:pt idx="191">
                  <c:v>8.0999999999999659</c:v>
                </c:pt>
                <c:pt idx="192">
                  <c:v>8.1999999999999655</c:v>
                </c:pt>
                <c:pt idx="193">
                  <c:v>8.2999999999999652</c:v>
                </c:pt>
                <c:pt idx="194">
                  <c:v>8.3999999999999648</c:v>
                </c:pt>
                <c:pt idx="195">
                  <c:v>8.4999999999999645</c:v>
                </c:pt>
                <c:pt idx="196">
                  <c:v>8.5999999999999641</c:v>
                </c:pt>
                <c:pt idx="197">
                  <c:v>8.6999999999999638</c:v>
                </c:pt>
                <c:pt idx="198">
                  <c:v>8.7999999999999634</c:v>
                </c:pt>
                <c:pt idx="199">
                  <c:v>8.8999999999999631</c:v>
                </c:pt>
                <c:pt idx="200">
                  <c:v>8.9999999999999627</c:v>
                </c:pt>
                <c:pt idx="201">
                  <c:v>9.0999999999999623</c:v>
                </c:pt>
                <c:pt idx="202">
                  <c:v>9.199999999999962</c:v>
                </c:pt>
                <c:pt idx="203">
                  <c:v>9.2999999999999616</c:v>
                </c:pt>
                <c:pt idx="204">
                  <c:v>9.3999999999999613</c:v>
                </c:pt>
                <c:pt idx="205">
                  <c:v>9.4999999999999609</c:v>
                </c:pt>
                <c:pt idx="206">
                  <c:v>9.5999999999999606</c:v>
                </c:pt>
                <c:pt idx="207">
                  <c:v>9.6999999999999602</c:v>
                </c:pt>
                <c:pt idx="208">
                  <c:v>9.7999999999999599</c:v>
                </c:pt>
                <c:pt idx="209">
                  <c:v>9.8999999999999595</c:v>
                </c:pt>
                <c:pt idx="210">
                  <c:v>9.9999999999999591</c:v>
                </c:pt>
                <c:pt idx="211">
                  <c:v>10.099999999999959</c:v>
                </c:pt>
                <c:pt idx="212">
                  <c:v>10.199999999999958</c:v>
                </c:pt>
                <c:pt idx="213">
                  <c:v>10.299999999999958</c:v>
                </c:pt>
                <c:pt idx="214">
                  <c:v>10.399999999999958</c:v>
                </c:pt>
                <c:pt idx="215">
                  <c:v>10.499999999999957</c:v>
                </c:pt>
                <c:pt idx="216">
                  <c:v>10.599999999999957</c:v>
                </c:pt>
                <c:pt idx="217">
                  <c:v>10.699999999999957</c:v>
                </c:pt>
                <c:pt idx="218">
                  <c:v>10.799999999999956</c:v>
                </c:pt>
                <c:pt idx="219">
                  <c:v>10.899999999999956</c:v>
                </c:pt>
                <c:pt idx="220">
                  <c:v>10.999999999999956</c:v>
                </c:pt>
              </c:numCache>
            </c:numRef>
          </c:xVal>
          <c:yVal>
            <c:numRef>
              <c:f>ArtificialTreatments!$L$21:$L$241</c:f>
              <c:numCache>
                <c:formatCode>General</c:formatCode>
                <c:ptCount val="2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9.9999999999976552E-2</c:v>
                </c:pt>
                <c:pt idx="162">
                  <c:v>0.1999999999999762</c:v>
                </c:pt>
                <c:pt idx="163">
                  <c:v>0.29999999999997584</c:v>
                </c:pt>
                <c:pt idx="164">
                  <c:v>0.39999999999997549</c:v>
                </c:pt>
                <c:pt idx="165">
                  <c:v>0.49999999999997513</c:v>
                </c:pt>
                <c:pt idx="166">
                  <c:v>0.59999999999997478</c:v>
                </c:pt>
                <c:pt idx="167">
                  <c:v>0.69999999999997442</c:v>
                </c:pt>
                <c:pt idx="168">
                  <c:v>0.79999999999997407</c:v>
                </c:pt>
                <c:pt idx="169">
                  <c:v>0.89999999999997371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numCache>
            </c:numRef>
          </c:yVal>
          <c:smooth val="0"/>
          <c:extLst>
            <c:ext xmlns:c16="http://schemas.microsoft.com/office/drawing/2014/chart" uri="{C3380CC4-5D6E-409C-BE32-E72D297353CC}">
              <c16:uniqueId val="{00000006-0B1D-48C5-A548-65EA566F20AE}"/>
            </c:ext>
          </c:extLst>
        </c:ser>
        <c:ser>
          <c:idx val="7"/>
          <c:order val="7"/>
          <c:tx>
            <c:strRef>
              <c:f>ArtificialTreatments!$M$20</c:f>
              <c:strCache>
                <c:ptCount val="1"/>
              </c:strCache>
            </c:strRef>
          </c:tx>
          <c:spPr>
            <a:ln w="19050" cap="rnd">
              <a:solidFill>
                <a:schemeClr val="accent2">
                  <a:lumMod val="60000"/>
                </a:schemeClr>
              </a:solidFill>
              <a:round/>
            </a:ln>
            <a:effectLst/>
          </c:spPr>
          <c:marker>
            <c:symbol val="none"/>
          </c:marker>
          <c:xVal>
            <c:numRef>
              <c:f>ArtificialTreatments!$B$21:$B$241</c:f>
              <c:numCache>
                <c:formatCode>General</c:formatCode>
                <c:ptCount val="221"/>
                <c:pt idx="0">
                  <c:v>-11</c:v>
                </c:pt>
                <c:pt idx="1">
                  <c:v>-10.9</c:v>
                </c:pt>
                <c:pt idx="2">
                  <c:v>-10.8</c:v>
                </c:pt>
                <c:pt idx="3">
                  <c:v>-10.700000000000001</c:v>
                </c:pt>
                <c:pt idx="4">
                  <c:v>-10.600000000000001</c:v>
                </c:pt>
                <c:pt idx="5">
                  <c:v>-10.500000000000002</c:v>
                </c:pt>
                <c:pt idx="6">
                  <c:v>-10.400000000000002</c:v>
                </c:pt>
                <c:pt idx="7">
                  <c:v>-10.300000000000002</c:v>
                </c:pt>
                <c:pt idx="8">
                  <c:v>-10.200000000000003</c:v>
                </c:pt>
                <c:pt idx="9">
                  <c:v>-10.100000000000003</c:v>
                </c:pt>
                <c:pt idx="10">
                  <c:v>-10.000000000000004</c:v>
                </c:pt>
                <c:pt idx="11">
                  <c:v>-9.9000000000000039</c:v>
                </c:pt>
                <c:pt idx="12">
                  <c:v>-9.8000000000000043</c:v>
                </c:pt>
                <c:pt idx="13">
                  <c:v>-9.7000000000000046</c:v>
                </c:pt>
                <c:pt idx="14">
                  <c:v>-9.600000000000005</c:v>
                </c:pt>
                <c:pt idx="15">
                  <c:v>-9.5000000000000053</c:v>
                </c:pt>
                <c:pt idx="16">
                  <c:v>-9.4000000000000057</c:v>
                </c:pt>
                <c:pt idx="17">
                  <c:v>-9.300000000000006</c:v>
                </c:pt>
                <c:pt idx="18">
                  <c:v>-9.2000000000000064</c:v>
                </c:pt>
                <c:pt idx="19">
                  <c:v>-9.1000000000000068</c:v>
                </c:pt>
                <c:pt idx="20">
                  <c:v>-9.0000000000000071</c:v>
                </c:pt>
                <c:pt idx="21">
                  <c:v>-8.9000000000000075</c:v>
                </c:pt>
                <c:pt idx="22">
                  <c:v>-8.8000000000000078</c:v>
                </c:pt>
                <c:pt idx="23">
                  <c:v>-8.7000000000000082</c:v>
                </c:pt>
                <c:pt idx="24">
                  <c:v>-8.6000000000000085</c:v>
                </c:pt>
                <c:pt idx="25">
                  <c:v>-8.5000000000000089</c:v>
                </c:pt>
                <c:pt idx="26">
                  <c:v>-8.4000000000000092</c:v>
                </c:pt>
                <c:pt idx="27">
                  <c:v>-8.3000000000000096</c:v>
                </c:pt>
                <c:pt idx="28">
                  <c:v>-8.2000000000000099</c:v>
                </c:pt>
                <c:pt idx="29">
                  <c:v>-8.1000000000000103</c:v>
                </c:pt>
                <c:pt idx="30">
                  <c:v>-8.0000000000000107</c:v>
                </c:pt>
                <c:pt idx="31">
                  <c:v>-7.900000000000011</c:v>
                </c:pt>
                <c:pt idx="32">
                  <c:v>-7.8000000000000114</c:v>
                </c:pt>
                <c:pt idx="33">
                  <c:v>-7.7000000000000117</c:v>
                </c:pt>
                <c:pt idx="34">
                  <c:v>-7.6000000000000121</c:v>
                </c:pt>
                <c:pt idx="35">
                  <c:v>-7.5000000000000124</c:v>
                </c:pt>
                <c:pt idx="36">
                  <c:v>-7.4000000000000128</c:v>
                </c:pt>
                <c:pt idx="37">
                  <c:v>-7.3000000000000131</c:v>
                </c:pt>
                <c:pt idx="38">
                  <c:v>-7.2000000000000135</c:v>
                </c:pt>
                <c:pt idx="39">
                  <c:v>-7.1000000000000139</c:v>
                </c:pt>
                <c:pt idx="40">
                  <c:v>-7.0000000000000142</c:v>
                </c:pt>
                <c:pt idx="41">
                  <c:v>-6.9000000000000146</c:v>
                </c:pt>
                <c:pt idx="42">
                  <c:v>-6.8000000000000149</c:v>
                </c:pt>
                <c:pt idx="43">
                  <c:v>-6.7000000000000153</c:v>
                </c:pt>
                <c:pt idx="44">
                  <c:v>-6.6000000000000156</c:v>
                </c:pt>
                <c:pt idx="45">
                  <c:v>-6.500000000000016</c:v>
                </c:pt>
                <c:pt idx="46">
                  <c:v>-6.4000000000000163</c:v>
                </c:pt>
                <c:pt idx="47">
                  <c:v>-6.3000000000000167</c:v>
                </c:pt>
                <c:pt idx="48">
                  <c:v>-6.2000000000000171</c:v>
                </c:pt>
                <c:pt idx="49">
                  <c:v>-6.1000000000000174</c:v>
                </c:pt>
                <c:pt idx="50">
                  <c:v>-6.0000000000000178</c:v>
                </c:pt>
                <c:pt idx="51">
                  <c:v>-5.9000000000000181</c:v>
                </c:pt>
                <c:pt idx="52">
                  <c:v>-5.8000000000000185</c:v>
                </c:pt>
                <c:pt idx="53">
                  <c:v>-5.7000000000000188</c:v>
                </c:pt>
                <c:pt idx="54">
                  <c:v>-5.6000000000000192</c:v>
                </c:pt>
                <c:pt idx="55">
                  <c:v>-5.5000000000000195</c:v>
                </c:pt>
                <c:pt idx="56">
                  <c:v>-5.4000000000000199</c:v>
                </c:pt>
                <c:pt idx="57">
                  <c:v>-5.3000000000000203</c:v>
                </c:pt>
                <c:pt idx="58">
                  <c:v>-5.2000000000000206</c:v>
                </c:pt>
                <c:pt idx="59">
                  <c:v>-5.100000000000021</c:v>
                </c:pt>
                <c:pt idx="60">
                  <c:v>-5.0000000000000213</c:v>
                </c:pt>
                <c:pt idx="61">
                  <c:v>-4.9000000000000217</c:v>
                </c:pt>
                <c:pt idx="62">
                  <c:v>-4.800000000000022</c:v>
                </c:pt>
                <c:pt idx="63">
                  <c:v>-4.7000000000000224</c:v>
                </c:pt>
                <c:pt idx="64">
                  <c:v>-4.6000000000000227</c:v>
                </c:pt>
                <c:pt idx="65">
                  <c:v>-4.5000000000000231</c:v>
                </c:pt>
                <c:pt idx="66">
                  <c:v>-4.4000000000000234</c:v>
                </c:pt>
                <c:pt idx="67">
                  <c:v>-4.3000000000000238</c:v>
                </c:pt>
                <c:pt idx="68">
                  <c:v>-4.2000000000000242</c:v>
                </c:pt>
                <c:pt idx="69">
                  <c:v>-4.1000000000000245</c:v>
                </c:pt>
                <c:pt idx="70">
                  <c:v>-4.0000000000000249</c:v>
                </c:pt>
                <c:pt idx="71">
                  <c:v>-3.9000000000000248</c:v>
                </c:pt>
                <c:pt idx="72">
                  <c:v>-3.8000000000000247</c:v>
                </c:pt>
                <c:pt idx="73">
                  <c:v>-3.7000000000000246</c:v>
                </c:pt>
                <c:pt idx="74">
                  <c:v>-3.6000000000000245</c:v>
                </c:pt>
                <c:pt idx="75">
                  <c:v>-3.5000000000000244</c:v>
                </c:pt>
                <c:pt idx="76">
                  <c:v>-3.4000000000000243</c:v>
                </c:pt>
                <c:pt idx="77">
                  <c:v>-3.3000000000000242</c:v>
                </c:pt>
                <c:pt idx="78">
                  <c:v>-3.2000000000000242</c:v>
                </c:pt>
                <c:pt idx="79">
                  <c:v>-3.1000000000000241</c:v>
                </c:pt>
                <c:pt idx="80">
                  <c:v>-3.000000000000024</c:v>
                </c:pt>
                <c:pt idx="81">
                  <c:v>-2.9000000000000239</c:v>
                </c:pt>
                <c:pt idx="82">
                  <c:v>-2.8000000000000238</c:v>
                </c:pt>
                <c:pt idx="83">
                  <c:v>-2.7000000000000237</c:v>
                </c:pt>
                <c:pt idx="84">
                  <c:v>-2.6000000000000236</c:v>
                </c:pt>
                <c:pt idx="85">
                  <c:v>-2.5000000000000235</c:v>
                </c:pt>
                <c:pt idx="86">
                  <c:v>-2.4000000000000234</c:v>
                </c:pt>
                <c:pt idx="87">
                  <c:v>-2.3000000000000234</c:v>
                </c:pt>
                <c:pt idx="88">
                  <c:v>-2.2000000000000233</c:v>
                </c:pt>
                <c:pt idx="89">
                  <c:v>-2.1000000000000232</c:v>
                </c:pt>
                <c:pt idx="90">
                  <c:v>-2.0000000000000231</c:v>
                </c:pt>
                <c:pt idx="91">
                  <c:v>-1.900000000000023</c:v>
                </c:pt>
                <c:pt idx="92">
                  <c:v>-1.8000000000000229</c:v>
                </c:pt>
                <c:pt idx="93">
                  <c:v>-1.7000000000000228</c:v>
                </c:pt>
                <c:pt idx="94">
                  <c:v>-1.6000000000000227</c:v>
                </c:pt>
                <c:pt idx="95">
                  <c:v>-1.5000000000000226</c:v>
                </c:pt>
                <c:pt idx="96">
                  <c:v>-1.4000000000000226</c:v>
                </c:pt>
                <c:pt idx="97">
                  <c:v>-1.3000000000000225</c:v>
                </c:pt>
                <c:pt idx="98">
                  <c:v>-1.2000000000000224</c:v>
                </c:pt>
                <c:pt idx="99">
                  <c:v>-1.1000000000000223</c:v>
                </c:pt>
                <c:pt idx="100">
                  <c:v>-1.0000000000000222</c:v>
                </c:pt>
                <c:pt idx="101">
                  <c:v>-0.90000000000002223</c:v>
                </c:pt>
                <c:pt idx="102">
                  <c:v>-0.80000000000002225</c:v>
                </c:pt>
                <c:pt idx="103">
                  <c:v>-0.70000000000002227</c:v>
                </c:pt>
                <c:pt idx="104">
                  <c:v>-0.60000000000002229</c:v>
                </c:pt>
                <c:pt idx="105">
                  <c:v>-0.50000000000002232</c:v>
                </c:pt>
                <c:pt idx="106">
                  <c:v>-0.40000000000002234</c:v>
                </c:pt>
                <c:pt idx="107">
                  <c:v>-0.30000000000002236</c:v>
                </c:pt>
                <c:pt idx="108">
                  <c:v>-0.20000000000002235</c:v>
                </c:pt>
                <c:pt idx="109">
                  <c:v>-0.10000000000002235</c:v>
                </c:pt>
                <c:pt idx="110">
                  <c:v>-2.2343238370581275E-14</c:v>
                </c:pt>
                <c:pt idx="111">
                  <c:v>9.9999999999977662E-2</c:v>
                </c:pt>
                <c:pt idx="112">
                  <c:v>0.19999999999997767</c:v>
                </c:pt>
                <c:pt idx="113">
                  <c:v>0.29999999999997767</c:v>
                </c:pt>
                <c:pt idx="114">
                  <c:v>0.39999999999997771</c:v>
                </c:pt>
                <c:pt idx="115">
                  <c:v>0.49999999999997768</c:v>
                </c:pt>
                <c:pt idx="116">
                  <c:v>0.59999999999997766</c:v>
                </c:pt>
                <c:pt idx="117">
                  <c:v>0.69999999999997764</c:v>
                </c:pt>
                <c:pt idx="118">
                  <c:v>0.79999999999997762</c:v>
                </c:pt>
                <c:pt idx="119">
                  <c:v>0.8999999999999776</c:v>
                </c:pt>
                <c:pt idx="120">
                  <c:v>0.99999999999997757</c:v>
                </c:pt>
                <c:pt idx="121">
                  <c:v>1.0999999999999777</c:v>
                </c:pt>
                <c:pt idx="122">
                  <c:v>1.1999999999999778</c:v>
                </c:pt>
                <c:pt idx="123">
                  <c:v>1.2999999999999778</c:v>
                </c:pt>
                <c:pt idx="124">
                  <c:v>1.3999999999999779</c:v>
                </c:pt>
                <c:pt idx="125">
                  <c:v>1.499999999999978</c:v>
                </c:pt>
                <c:pt idx="126">
                  <c:v>1.5999999999999781</c:v>
                </c:pt>
                <c:pt idx="127">
                  <c:v>1.6999999999999782</c:v>
                </c:pt>
                <c:pt idx="128">
                  <c:v>1.7999999999999783</c:v>
                </c:pt>
                <c:pt idx="129">
                  <c:v>1.8999999999999784</c:v>
                </c:pt>
                <c:pt idx="130">
                  <c:v>1.9999999999999785</c:v>
                </c:pt>
                <c:pt idx="131">
                  <c:v>2.0999999999999783</c:v>
                </c:pt>
                <c:pt idx="132">
                  <c:v>2.1999999999999784</c:v>
                </c:pt>
                <c:pt idx="133">
                  <c:v>2.2999999999999785</c:v>
                </c:pt>
                <c:pt idx="134">
                  <c:v>2.3999999999999786</c:v>
                </c:pt>
                <c:pt idx="135">
                  <c:v>2.4999999999999787</c:v>
                </c:pt>
                <c:pt idx="136">
                  <c:v>2.5999999999999788</c:v>
                </c:pt>
                <c:pt idx="137">
                  <c:v>2.6999999999999789</c:v>
                </c:pt>
                <c:pt idx="138">
                  <c:v>2.799999999999979</c:v>
                </c:pt>
                <c:pt idx="139">
                  <c:v>2.899999999999979</c:v>
                </c:pt>
                <c:pt idx="140">
                  <c:v>2.9999999999999791</c:v>
                </c:pt>
                <c:pt idx="141">
                  <c:v>3.0999999999999792</c:v>
                </c:pt>
                <c:pt idx="142">
                  <c:v>3.1999999999999793</c:v>
                </c:pt>
                <c:pt idx="143">
                  <c:v>3.2999999999999794</c:v>
                </c:pt>
                <c:pt idx="144">
                  <c:v>3.3999999999999795</c:v>
                </c:pt>
                <c:pt idx="145">
                  <c:v>3.4999999999999796</c:v>
                </c:pt>
                <c:pt idx="146">
                  <c:v>3.5999999999999797</c:v>
                </c:pt>
                <c:pt idx="147">
                  <c:v>3.6999999999999797</c:v>
                </c:pt>
                <c:pt idx="148">
                  <c:v>3.7999999999999798</c:v>
                </c:pt>
                <c:pt idx="149">
                  <c:v>3.8999999999999799</c:v>
                </c:pt>
                <c:pt idx="150">
                  <c:v>3.99999999999998</c:v>
                </c:pt>
                <c:pt idx="151">
                  <c:v>4.0999999999999801</c:v>
                </c:pt>
                <c:pt idx="152">
                  <c:v>4.1999999999999797</c:v>
                </c:pt>
                <c:pt idx="153">
                  <c:v>4.2999999999999794</c:v>
                </c:pt>
                <c:pt idx="154">
                  <c:v>4.399999999999979</c:v>
                </c:pt>
                <c:pt idx="155">
                  <c:v>4.4999999999999787</c:v>
                </c:pt>
                <c:pt idx="156">
                  <c:v>4.5999999999999783</c:v>
                </c:pt>
                <c:pt idx="157">
                  <c:v>4.699999999999978</c:v>
                </c:pt>
                <c:pt idx="158">
                  <c:v>4.7999999999999776</c:v>
                </c:pt>
                <c:pt idx="159">
                  <c:v>4.8999999999999773</c:v>
                </c:pt>
                <c:pt idx="160">
                  <c:v>4.9999999999999769</c:v>
                </c:pt>
                <c:pt idx="161">
                  <c:v>5.0999999999999766</c:v>
                </c:pt>
                <c:pt idx="162">
                  <c:v>5.1999999999999762</c:v>
                </c:pt>
                <c:pt idx="163">
                  <c:v>5.2999999999999758</c:v>
                </c:pt>
                <c:pt idx="164">
                  <c:v>5.3999999999999755</c:v>
                </c:pt>
                <c:pt idx="165">
                  <c:v>5.4999999999999751</c:v>
                </c:pt>
                <c:pt idx="166">
                  <c:v>5.5999999999999748</c:v>
                </c:pt>
                <c:pt idx="167">
                  <c:v>5.6999999999999744</c:v>
                </c:pt>
                <c:pt idx="168">
                  <c:v>5.7999999999999741</c:v>
                </c:pt>
                <c:pt idx="169">
                  <c:v>5.8999999999999737</c:v>
                </c:pt>
                <c:pt idx="170">
                  <c:v>5.9999999999999734</c:v>
                </c:pt>
                <c:pt idx="171">
                  <c:v>6.099999999999973</c:v>
                </c:pt>
                <c:pt idx="172">
                  <c:v>6.1999999999999726</c:v>
                </c:pt>
                <c:pt idx="173">
                  <c:v>6.2999999999999723</c:v>
                </c:pt>
                <c:pt idx="174">
                  <c:v>6.3999999999999719</c:v>
                </c:pt>
                <c:pt idx="175">
                  <c:v>6.4999999999999716</c:v>
                </c:pt>
                <c:pt idx="176">
                  <c:v>6.5999999999999712</c:v>
                </c:pt>
                <c:pt idx="177">
                  <c:v>6.6999999999999709</c:v>
                </c:pt>
                <c:pt idx="178">
                  <c:v>6.7999999999999705</c:v>
                </c:pt>
                <c:pt idx="179">
                  <c:v>6.8999999999999702</c:v>
                </c:pt>
                <c:pt idx="180">
                  <c:v>6.9999999999999698</c:v>
                </c:pt>
                <c:pt idx="181">
                  <c:v>7.0999999999999694</c:v>
                </c:pt>
                <c:pt idx="182">
                  <c:v>7.1999999999999691</c:v>
                </c:pt>
                <c:pt idx="183">
                  <c:v>7.2999999999999687</c:v>
                </c:pt>
                <c:pt idx="184">
                  <c:v>7.3999999999999684</c:v>
                </c:pt>
                <c:pt idx="185">
                  <c:v>7.499999999999968</c:v>
                </c:pt>
                <c:pt idx="186">
                  <c:v>7.5999999999999677</c:v>
                </c:pt>
                <c:pt idx="187">
                  <c:v>7.6999999999999673</c:v>
                </c:pt>
                <c:pt idx="188">
                  <c:v>7.799999999999967</c:v>
                </c:pt>
                <c:pt idx="189">
                  <c:v>7.8999999999999666</c:v>
                </c:pt>
                <c:pt idx="190">
                  <c:v>7.9999999999999662</c:v>
                </c:pt>
                <c:pt idx="191">
                  <c:v>8.0999999999999659</c:v>
                </c:pt>
                <c:pt idx="192">
                  <c:v>8.1999999999999655</c:v>
                </c:pt>
                <c:pt idx="193">
                  <c:v>8.2999999999999652</c:v>
                </c:pt>
                <c:pt idx="194">
                  <c:v>8.3999999999999648</c:v>
                </c:pt>
                <c:pt idx="195">
                  <c:v>8.4999999999999645</c:v>
                </c:pt>
                <c:pt idx="196">
                  <c:v>8.5999999999999641</c:v>
                </c:pt>
                <c:pt idx="197">
                  <c:v>8.6999999999999638</c:v>
                </c:pt>
                <c:pt idx="198">
                  <c:v>8.7999999999999634</c:v>
                </c:pt>
                <c:pt idx="199">
                  <c:v>8.8999999999999631</c:v>
                </c:pt>
                <c:pt idx="200">
                  <c:v>8.9999999999999627</c:v>
                </c:pt>
                <c:pt idx="201">
                  <c:v>9.0999999999999623</c:v>
                </c:pt>
                <c:pt idx="202">
                  <c:v>9.199999999999962</c:v>
                </c:pt>
                <c:pt idx="203">
                  <c:v>9.2999999999999616</c:v>
                </c:pt>
                <c:pt idx="204">
                  <c:v>9.3999999999999613</c:v>
                </c:pt>
                <c:pt idx="205">
                  <c:v>9.4999999999999609</c:v>
                </c:pt>
                <c:pt idx="206">
                  <c:v>9.5999999999999606</c:v>
                </c:pt>
                <c:pt idx="207">
                  <c:v>9.6999999999999602</c:v>
                </c:pt>
                <c:pt idx="208">
                  <c:v>9.7999999999999599</c:v>
                </c:pt>
                <c:pt idx="209">
                  <c:v>9.8999999999999595</c:v>
                </c:pt>
                <c:pt idx="210">
                  <c:v>9.9999999999999591</c:v>
                </c:pt>
                <c:pt idx="211">
                  <c:v>10.099999999999959</c:v>
                </c:pt>
                <c:pt idx="212">
                  <c:v>10.199999999999958</c:v>
                </c:pt>
                <c:pt idx="213">
                  <c:v>10.299999999999958</c:v>
                </c:pt>
                <c:pt idx="214">
                  <c:v>10.399999999999958</c:v>
                </c:pt>
                <c:pt idx="215">
                  <c:v>10.499999999999957</c:v>
                </c:pt>
                <c:pt idx="216">
                  <c:v>10.599999999999957</c:v>
                </c:pt>
                <c:pt idx="217">
                  <c:v>10.699999999999957</c:v>
                </c:pt>
                <c:pt idx="218">
                  <c:v>10.799999999999956</c:v>
                </c:pt>
                <c:pt idx="219">
                  <c:v>10.899999999999956</c:v>
                </c:pt>
                <c:pt idx="220">
                  <c:v>10.999999999999956</c:v>
                </c:pt>
              </c:numCache>
            </c:numRef>
          </c:xVal>
          <c:yVal>
            <c:numRef>
              <c:f>ArtificialTreatments!$M$21:$M$241</c:f>
              <c:numCache>
                <c:formatCode>General</c:formatCode>
                <c:ptCount val="221"/>
              </c:numCache>
            </c:numRef>
          </c:yVal>
          <c:smooth val="0"/>
          <c:extLst>
            <c:ext xmlns:c16="http://schemas.microsoft.com/office/drawing/2014/chart" uri="{C3380CC4-5D6E-409C-BE32-E72D297353CC}">
              <c16:uniqueId val="{00000007-0B1D-48C5-A548-65EA566F20AE}"/>
            </c:ext>
          </c:extLst>
        </c:ser>
        <c:dLbls>
          <c:showLegendKey val="0"/>
          <c:showVal val="0"/>
          <c:showCatName val="0"/>
          <c:showSerName val="0"/>
          <c:showPercent val="0"/>
          <c:showBubbleSize val="0"/>
        </c:dLbls>
        <c:axId val="1656155856"/>
        <c:axId val="1894328256"/>
      </c:scatterChart>
      <c:valAx>
        <c:axId val="165615585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4328256"/>
        <c:crosses val="autoZero"/>
        <c:crossBetween val="midCat"/>
      </c:valAx>
      <c:valAx>
        <c:axId val="18943282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61558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ArtificialTreatments!$S$1</c:f>
          <c:strCache>
            <c:ptCount val="1"/>
            <c:pt idx="0">
              <c:v>Scored Hats Test, CVs={-9,-3,3,4,5,6}, CLs={-100,9.7}</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ArtificialTreatments!$R$20</c:f>
              <c:strCache>
                <c:ptCount val="1"/>
                <c:pt idx="0">
                  <c:v>Score1</c:v>
                </c:pt>
              </c:strCache>
            </c:strRef>
          </c:tx>
          <c:spPr>
            <a:ln w="19050" cap="rnd">
              <a:solidFill>
                <a:schemeClr val="accent1"/>
              </a:solidFill>
              <a:round/>
            </a:ln>
            <a:effectLst/>
          </c:spPr>
          <c:marker>
            <c:symbol val="none"/>
          </c:marker>
          <c:xVal>
            <c:numRef>
              <c:f>ArtificialTreatments!$B$21:$B$241</c:f>
              <c:numCache>
                <c:formatCode>General</c:formatCode>
                <c:ptCount val="221"/>
                <c:pt idx="0">
                  <c:v>-11</c:v>
                </c:pt>
                <c:pt idx="1">
                  <c:v>-10.9</c:v>
                </c:pt>
                <c:pt idx="2">
                  <c:v>-10.8</c:v>
                </c:pt>
                <c:pt idx="3">
                  <c:v>-10.700000000000001</c:v>
                </c:pt>
                <c:pt idx="4">
                  <c:v>-10.600000000000001</c:v>
                </c:pt>
                <c:pt idx="5">
                  <c:v>-10.500000000000002</c:v>
                </c:pt>
                <c:pt idx="6">
                  <c:v>-10.400000000000002</c:v>
                </c:pt>
                <c:pt idx="7">
                  <c:v>-10.300000000000002</c:v>
                </c:pt>
                <c:pt idx="8">
                  <c:v>-10.200000000000003</c:v>
                </c:pt>
                <c:pt idx="9">
                  <c:v>-10.100000000000003</c:v>
                </c:pt>
                <c:pt idx="10">
                  <c:v>-10.000000000000004</c:v>
                </c:pt>
                <c:pt idx="11">
                  <c:v>-9.9000000000000039</c:v>
                </c:pt>
                <c:pt idx="12">
                  <c:v>-9.8000000000000043</c:v>
                </c:pt>
                <c:pt idx="13">
                  <c:v>-9.7000000000000046</c:v>
                </c:pt>
                <c:pt idx="14">
                  <c:v>-9.600000000000005</c:v>
                </c:pt>
                <c:pt idx="15">
                  <c:v>-9.5000000000000053</c:v>
                </c:pt>
                <c:pt idx="16">
                  <c:v>-9.4000000000000057</c:v>
                </c:pt>
                <c:pt idx="17">
                  <c:v>-9.300000000000006</c:v>
                </c:pt>
                <c:pt idx="18">
                  <c:v>-9.2000000000000064</c:v>
                </c:pt>
                <c:pt idx="19">
                  <c:v>-9.1000000000000068</c:v>
                </c:pt>
                <c:pt idx="20">
                  <c:v>-9.0000000000000071</c:v>
                </c:pt>
                <c:pt idx="21">
                  <c:v>-8.9000000000000075</c:v>
                </c:pt>
                <c:pt idx="22">
                  <c:v>-8.8000000000000078</c:v>
                </c:pt>
                <c:pt idx="23">
                  <c:v>-8.7000000000000082</c:v>
                </c:pt>
                <c:pt idx="24">
                  <c:v>-8.6000000000000085</c:v>
                </c:pt>
                <c:pt idx="25">
                  <c:v>-8.5000000000000089</c:v>
                </c:pt>
                <c:pt idx="26">
                  <c:v>-8.4000000000000092</c:v>
                </c:pt>
                <c:pt idx="27">
                  <c:v>-8.3000000000000096</c:v>
                </c:pt>
                <c:pt idx="28">
                  <c:v>-8.2000000000000099</c:v>
                </c:pt>
                <c:pt idx="29">
                  <c:v>-8.1000000000000103</c:v>
                </c:pt>
                <c:pt idx="30">
                  <c:v>-8.0000000000000107</c:v>
                </c:pt>
                <c:pt idx="31">
                  <c:v>-7.900000000000011</c:v>
                </c:pt>
                <c:pt idx="32">
                  <c:v>-7.8000000000000114</c:v>
                </c:pt>
                <c:pt idx="33">
                  <c:v>-7.7000000000000117</c:v>
                </c:pt>
                <c:pt idx="34">
                  <c:v>-7.6000000000000121</c:v>
                </c:pt>
                <c:pt idx="35">
                  <c:v>-7.5000000000000124</c:v>
                </c:pt>
                <c:pt idx="36">
                  <c:v>-7.4000000000000128</c:v>
                </c:pt>
                <c:pt idx="37">
                  <c:v>-7.3000000000000131</c:v>
                </c:pt>
                <c:pt idx="38">
                  <c:v>-7.2000000000000135</c:v>
                </c:pt>
                <c:pt idx="39">
                  <c:v>-7.1000000000000139</c:v>
                </c:pt>
                <c:pt idx="40">
                  <c:v>-7.0000000000000142</c:v>
                </c:pt>
                <c:pt idx="41">
                  <c:v>-6.9000000000000146</c:v>
                </c:pt>
                <c:pt idx="42">
                  <c:v>-6.8000000000000149</c:v>
                </c:pt>
                <c:pt idx="43">
                  <c:v>-6.7000000000000153</c:v>
                </c:pt>
                <c:pt idx="44">
                  <c:v>-6.6000000000000156</c:v>
                </c:pt>
                <c:pt idx="45">
                  <c:v>-6.500000000000016</c:v>
                </c:pt>
                <c:pt idx="46">
                  <c:v>-6.4000000000000163</c:v>
                </c:pt>
                <c:pt idx="47">
                  <c:v>-6.3000000000000167</c:v>
                </c:pt>
                <c:pt idx="48">
                  <c:v>-6.2000000000000171</c:v>
                </c:pt>
                <c:pt idx="49">
                  <c:v>-6.1000000000000174</c:v>
                </c:pt>
                <c:pt idx="50">
                  <c:v>-6.0000000000000178</c:v>
                </c:pt>
                <c:pt idx="51">
                  <c:v>-5.9000000000000181</c:v>
                </c:pt>
                <c:pt idx="52">
                  <c:v>-5.8000000000000185</c:v>
                </c:pt>
                <c:pt idx="53">
                  <c:v>-5.7000000000000188</c:v>
                </c:pt>
                <c:pt idx="54">
                  <c:v>-5.6000000000000192</c:v>
                </c:pt>
                <c:pt idx="55">
                  <c:v>-5.5000000000000195</c:v>
                </c:pt>
                <c:pt idx="56">
                  <c:v>-5.4000000000000199</c:v>
                </c:pt>
                <c:pt idx="57">
                  <c:v>-5.3000000000000203</c:v>
                </c:pt>
                <c:pt idx="58">
                  <c:v>-5.2000000000000206</c:v>
                </c:pt>
                <c:pt idx="59">
                  <c:v>-5.100000000000021</c:v>
                </c:pt>
                <c:pt idx="60">
                  <c:v>-5.0000000000000213</c:v>
                </c:pt>
                <c:pt idx="61">
                  <c:v>-4.9000000000000217</c:v>
                </c:pt>
                <c:pt idx="62">
                  <c:v>-4.800000000000022</c:v>
                </c:pt>
                <c:pt idx="63">
                  <c:v>-4.7000000000000224</c:v>
                </c:pt>
                <c:pt idx="64">
                  <c:v>-4.6000000000000227</c:v>
                </c:pt>
                <c:pt idx="65">
                  <c:v>-4.5000000000000231</c:v>
                </c:pt>
                <c:pt idx="66">
                  <c:v>-4.4000000000000234</c:v>
                </c:pt>
                <c:pt idx="67">
                  <c:v>-4.3000000000000238</c:v>
                </c:pt>
                <c:pt idx="68">
                  <c:v>-4.2000000000000242</c:v>
                </c:pt>
                <c:pt idx="69">
                  <c:v>-4.1000000000000245</c:v>
                </c:pt>
                <c:pt idx="70">
                  <c:v>-4.0000000000000249</c:v>
                </c:pt>
                <c:pt idx="71">
                  <c:v>-3.9000000000000248</c:v>
                </c:pt>
                <c:pt idx="72">
                  <c:v>-3.8000000000000247</c:v>
                </c:pt>
                <c:pt idx="73">
                  <c:v>-3.7000000000000246</c:v>
                </c:pt>
                <c:pt idx="74">
                  <c:v>-3.6000000000000245</c:v>
                </c:pt>
                <c:pt idx="75">
                  <c:v>-3.5000000000000244</c:v>
                </c:pt>
                <c:pt idx="76">
                  <c:v>-3.4000000000000243</c:v>
                </c:pt>
                <c:pt idx="77">
                  <c:v>-3.3000000000000242</c:v>
                </c:pt>
                <c:pt idx="78">
                  <c:v>-3.2000000000000242</c:v>
                </c:pt>
                <c:pt idx="79">
                  <c:v>-3.1000000000000241</c:v>
                </c:pt>
                <c:pt idx="80">
                  <c:v>-3.000000000000024</c:v>
                </c:pt>
                <c:pt idx="81">
                  <c:v>-2.9000000000000239</c:v>
                </c:pt>
                <c:pt idx="82">
                  <c:v>-2.8000000000000238</c:v>
                </c:pt>
                <c:pt idx="83">
                  <c:v>-2.7000000000000237</c:v>
                </c:pt>
                <c:pt idx="84">
                  <c:v>-2.6000000000000236</c:v>
                </c:pt>
                <c:pt idx="85">
                  <c:v>-2.5000000000000235</c:v>
                </c:pt>
                <c:pt idx="86">
                  <c:v>-2.4000000000000234</c:v>
                </c:pt>
                <c:pt idx="87">
                  <c:v>-2.3000000000000234</c:v>
                </c:pt>
                <c:pt idx="88">
                  <c:v>-2.2000000000000233</c:v>
                </c:pt>
                <c:pt idx="89">
                  <c:v>-2.1000000000000232</c:v>
                </c:pt>
                <c:pt idx="90">
                  <c:v>-2.0000000000000231</c:v>
                </c:pt>
                <c:pt idx="91">
                  <c:v>-1.900000000000023</c:v>
                </c:pt>
                <c:pt idx="92">
                  <c:v>-1.8000000000000229</c:v>
                </c:pt>
                <c:pt idx="93">
                  <c:v>-1.7000000000000228</c:v>
                </c:pt>
                <c:pt idx="94">
                  <c:v>-1.6000000000000227</c:v>
                </c:pt>
                <c:pt idx="95">
                  <c:v>-1.5000000000000226</c:v>
                </c:pt>
                <c:pt idx="96">
                  <c:v>-1.4000000000000226</c:v>
                </c:pt>
                <c:pt idx="97">
                  <c:v>-1.3000000000000225</c:v>
                </c:pt>
                <c:pt idx="98">
                  <c:v>-1.2000000000000224</c:v>
                </c:pt>
                <c:pt idx="99">
                  <c:v>-1.1000000000000223</c:v>
                </c:pt>
                <c:pt idx="100">
                  <c:v>-1.0000000000000222</c:v>
                </c:pt>
                <c:pt idx="101">
                  <c:v>-0.90000000000002223</c:v>
                </c:pt>
                <c:pt idx="102">
                  <c:v>-0.80000000000002225</c:v>
                </c:pt>
                <c:pt idx="103">
                  <c:v>-0.70000000000002227</c:v>
                </c:pt>
                <c:pt idx="104">
                  <c:v>-0.60000000000002229</c:v>
                </c:pt>
                <c:pt idx="105">
                  <c:v>-0.50000000000002232</c:v>
                </c:pt>
                <c:pt idx="106">
                  <c:v>-0.40000000000002234</c:v>
                </c:pt>
                <c:pt idx="107">
                  <c:v>-0.30000000000002236</c:v>
                </c:pt>
                <c:pt idx="108">
                  <c:v>-0.20000000000002235</c:v>
                </c:pt>
                <c:pt idx="109">
                  <c:v>-0.10000000000002235</c:v>
                </c:pt>
                <c:pt idx="110">
                  <c:v>-2.2343238370581275E-14</c:v>
                </c:pt>
                <c:pt idx="111">
                  <c:v>9.9999999999977662E-2</c:v>
                </c:pt>
                <c:pt idx="112">
                  <c:v>0.19999999999997767</c:v>
                </c:pt>
                <c:pt idx="113">
                  <c:v>0.29999999999997767</c:v>
                </c:pt>
                <c:pt idx="114">
                  <c:v>0.39999999999997771</c:v>
                </c:pt>
                <c:pt idx="115">
                  <c:v>0.49999999999997768</c:v>
                </c:pt>
                <c:pt idx="116">
                  <c:v>0.59999999999997766</c:v>
                </c:pt>
                <c:pt idx="117">
                  <c:v>0.69999999999997764</c:v>
                </c:pt>
                <c:pt idx="118">
                  <c:v>0.79999999999997762</c:v>
                </c:pt>
                <c:pt idx="119">
                  <c:v>0.8999999999999776</c:v>
                </c:pt>
                <c:pt idx="120">
                  <c:v>0.99999999999997757</c:v>
                </c:pt>
                <c:pt idx="121">
                  <c:v>1.0999999999999777</c:v>
                </c:pt>
                <c:pt idx="122">
                  <c:v>1.1999999999999778</c:v>
                </c:pt>
                <c:pt idx="123">
                  <c:v>1.2999999999999778</c:v>
                </c:pt>
                <c:pt idx="124">
                  <c:v>1.3999999999999779</c:v>
                </c:pt>
                <c:pt idx="125">
                  <c:v>1.499999999999978</c:v>
                </c:pt>
                <c:pt idx="126">
                  <c:v>1.5999999999999781</c:v>
                </c:pt>
                <c:pt idx="127">
                  <c:v>1.6999999999999782</c:v>
                </c:pt>
                <c:pt idx="128">
                  <c:v>1.7999999999999783</c:v>
                </c:pt>
                <c:pt idx="129">
                  <c:v>1.8999999999999784</c:v>
                </c:pt>
                <c:pt idx="130">
                  <c:v>1.9999999999999785</c:v>
                </c:pt>
                <c:pt idx="131">
                  <c:v>2.0999999999999783</c:v>
                </c:pt>
                <c:pt idx="132">
                  <c:v>2.1999999999999784</c:v>
                </c:pt>
                <c:pt idx="133">
                  <c:v>2.2999999999999785</c:v>
                </c:pt>
                <c:pt idx="134">
                  <c:v>2.3999999999999786</c:v>
                </c:pt>
                <c:pt idx="135">
                  <c:v>2.4999999999999787</c:v>
                </c:pt>
                <c:pt idx="136">
                  <c:v>2.5999999999999788</c:v>
                </c:pt>
                <c:pt idx="137">
                  <c:v>2.6999999999999789</c:v>
                </c:pt>
                <c:pt idx="138">
                  <c:v>2.799999999999979</c:v>
                </c:pt>
                <c:pt idx="139">
                  <c:v>2.899999999999979</c:v>
                </c:pt>
                <c:pt idx="140">
                  <c:v>2.9999999999999791</c:v>
                </c:pt>
                <c:pt idx="141">
                  <c:v>3.0999999999999792</c:v>
                </c:pt>
                <c:pt idx="142">
                  <c:v>3.1999999999999793</c:v>
                </c:pt>
                <c:pt idx="143">
                  <c:v>3.2999999999999794</c:v>
                </c:pt>
                <c:pt idx="144">
                  <c:v>3.3999999999999795</c:v>
                </c:pt>
                <c:pt idx="145">
                  <c:v>3.4999999999999796</c:v>
                </c:pt>
                <c:pt idx="146">
                  <c:v>3.5999999999999797</c:v>
                </c:pt>
                <c:pt idx="147">
                  <c:v>3.6999999999999797</c:v>
                </c:pt>
                <c:pt idx="148">
                  <c:v>3.7999999999999798</c:v>
                </c:pt>
                <c:pt idx="149">
                  <c:v>3.8999999999999799</c:v>
                </c:pt>
                <c:pt idx="150">
                  <c:v>3.99999999999998</c:v>
                </c:pt>
                <c:pt idx="151">
                  <c:v>4.0999999999999801</c:v>
                </c:pt>
                <c:pt idx="152">
                  <c:v>4.1999999999999797</c:v>
                </c:pt>
                <c:pt idx="153">
                  <c:v>4.2999999999999794</c:v>
                </c:pt>
                <c:pt idx="154">
                  <c:v>4.399999999999979</c:v>
                </c:pt>
                <c:pt idx="155">
                  <c:v>4.4999999999999787</c:v>
                </c:pt>
                <c:pt idx="156">
                  <c:v>4.5999999999999783</c:v>
                </c:pt>
                <c:pt idx="157">
                  <c:v>4.699999999999978</c:v>
                </c:pt>
                <c:pt idx="158">
                  <c:v>4.7999999999999776</c:v>
                </c:pt>
                <c:pt idx="159">
                  <c:v>4.8999999999999773</c:v>
                </c:pt>
                <c:pt idx="160">
                  <c:v>4.9999999999999769</c:v>
                </c:pt>
                <c:pt idx="161">
                  <c:v>5.0999999999999766</c:v>
                </c:pt>
                <c:pt idx="162">
                  <c:v>5.1999999999999762</c:v>
                </c:pt>
                <c:pt idx="163">
                  <c:v>5.2999999999999758</c:v>
                </c:pt>
                <c:pt idx="164">
                  <c:v>5.3999999999999755</c:v>
                </c:pt>
                <c:pt idx="165">
                  <c:v>5.4999999999999751</c:v>
                </c:pt>
                <c:pt idx="166">
                  <c:v>5.5999999999999748</c:v>
                </c:pt>
                <c:pt idx="167">
                  <c:v>5.6999999999999744</c:v>
                </c:pt>
                <c:pt idx="168">
                  <c:v>5.7999999999999741</c:v>
                </c:pt>
                <c:pt idx="169">
                  <c:v>5.8999999999999737</c:v>
                </c:pt>
                <c:pt idx="170">
                  <c:v>5.9999999999999734</c:v>
                </c:pt>
                <c:pt idx="171">
                  <c:v>6.099999999999973</c:v>
                </c:pt>
                <c:pt idx="172">
                  <c:v>6.1999999999999726</c:v>
                </c:pt>
                <c:pt idx="173">
                  <c:v>6.2999999999999723</c:v>
                </c:pt>
                <c:pt idx="174">
                  <c:v>6.3999999999999719</c:v>
                </c:pt>
                <c:pt idx="175">
                  <c:v>6.4999999999999716</c:v>
                </c:pt>
                <c:pt idx="176">
                  <c:v>6.5999999999999712</c:v>
                </c:pt>
                <c:pt idx="177">
                  <c:v>6.6999999999999709</c:v>
                </c:pt>
                <c:pt idx="178">
                  <c:v>6.7999999999999705</c:v>
                </c:pt>
                <c:pt idx="179">
                  <c:v>6.8999999999999702</c:v>
                </c:pt>
                <c:pt idx="180">
                  <c:v>6.9999999999999698</c:v>
                </c:pt>
                <c:pt idx="181">
                  <c:v>7.0999999999999694</c:v>
                </c:pt>
                <c:pt idx="182">
                  <c:v>7.1999999999999691</c:v>
                </c:pt>
                <c:pt idx="183">
                  <c:v>7.2999999999999687</c:v>
                </c:pt>
                <c:pt idx="184">
                  <c:v>7.3999999999999684</c:v>
                </c:pt>
                <c:pt idx="185">
                  <c:v>7.499999999999968</c:v>
                </c:pt>
                <c:pt idx="186">
                  <c:v>7.5999999999999677</c:v>
                </c:pt>
                <c:pt idx="187">
                  <c:v>7.6999999999999673</c:v>
                </c:pt>
                <c:pt idx="188">
                  <c:v>7.799999999999967</c:v>
                </c:pt>
                <c:pt idx="189">
                  <c:v>7.8999999999999666</c:v>
                </c:pt>
                <c:pt idx="190">
                  <c:v>7.9999999999999662</c:v>
                </c:pt>
                <c:pt idx="191">
                  <c:v>8.0999999999999659</c:v>
                </c:pt>
                <c:pt idx="192">
                  <c:v>8.1999999999999655</c:v>
                </c:pt>
                <c:pt idx="193">
                  <c:v>8.2999999999999652</c:v>
                </c:pt>
                <c:pt idx="194">
                  <c:v>8.3999999999999648</c:v>
                </c:pt>
                <c:pt idx="195">
                  <c:v>8.4999999999999645</c:v>
                </c:pt>
                <c:pt idx="196">
                  <c:v>8.5999999999999641</c:v>
                </c:pt>
                <c:pt idx="197">
                  <c:v>8.6999999999999638</c:v>
                </c:pt>
                <c:pt idx="198">
                  <c:v>8.7999999999999634</c:v>
                </c:pt>
                <c:pt idx="199">
                  <c:v>8.8999999999999631</c:v>
                </c:pt>
                <c:pt idx="200">
                  <c:v>8.9999999999999627</c:v>
                </c:pt>
                <c:pt idx="201">
                  <c:v>9.0999999999999623</c:v>
                </c:pt>
                <c:pt idx="202">
                  <c:v>9.199999999999962</c:v>
                </c:pt>
                <c:pt idx="203">
                  <c:v>9.2999999999999616</c:v>
                </c:pt>
                <c:pt idx="204">
                  <c:v>9.3999999999999613</c:v>
                </c:pt>
                <c:pt idx="205">
                  <c:v>9.4999999999999609</c:v>
                </c:pt>
                <c:pt idx="206">
                  <c:v>9.5999999999999606</c:v>
                </c:pt>
                <c:pt idx="207">
                  <c:v>9.6999999999999602</c:v>
                </c:pt>
                <c:pt idx="208">
                  <c:v>9.7999999999999599</c:v>
                </c:pt>
                <c:pt idx="209">
                  <c:v>9.8999999999999595</c:v>
                </c:pt>
                <c:pt idx="210">
                  <c:v>9.9999999999999591</c:v>
                </c:pt>
                <c:pt idx="211">
                  <c:v>10.099999999999959</c:v>
                </c:pt>
                <c:pt idx="212">
                  <c:v>10.199999999999958</c:v>
                </c:pt>
                <c:pt idx="213">
                  <c:v>10.299999999999958</c:v>
                </c:pt>
                <c:pt idx="214">
                  <c:v>10.399999999999958</c:v>
                </c:pt>
                <c:pt idx="215">
                  <c:v>10.499999999999957</c:v>
                </c:pt>
                <c:pt idx="216">
                  <c:v>10.599999999999957</c:v>
                </c:pt>
                <c:pt idx="217">
                  <c:v>10.699999999999957</c:v>
                </c:pt>
                <c:pt idx="218">
                  <c:v>10.799999999999956</c:v>
                </c:pt>
                <c:pt idx="219">
                  <c:v>10.899999999999956</c:v>
                </c:pt>
                <c:pt idx="220">
                  <c:v>10.999999999999956</c:v>
                </c:pt>
              </c:numCache>
            </c:numRef>
          </c:xVal>
          <c:yVal>
            <c:numRef>
              <c:f>ArtificialTreatments!$R$21:$R$241</c:f>
              <c:numCache>
                <c:formatCode>General</c:formatCode>
                <c:ptCount val="221"/>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numCache>
            </c:numRef>
          </c:yVal>
          <c:smooth val="0"/>
          <c:extLst>
            <c:ext xmlns:c16="http://schemas.microsoft.com/office/drawing/2014/chart" uri="{C3380CC4-5D6E-409C-BE32-E72D297353CC}">
              <c16:uniqueId val="{00000000-EDB6-4D34-8790-930E2059F474}"/>
            </c:ext>
          </c:extLst>
        </c:ser>
        <c:ser>
          <c:idx val="1"/>
          <c:order val="1"/>
          <c:tx>
            <c:strRef>
              <c:f>ArtificialTreatments!$S$20</c:f>
              <c:strCache>
                <c:ptCount val="1"/>
                <c:pt idx="0">
                  <c:v>Score2</c:v>
                </c:pt>
              </c:strCache>
            </c:strRef>
          </c:tx>
          <c:spPr>
            <a:ln w="19050" cap="rnd">
              <a:solidFill>
                <a:schemeClr val="accent2"/>
              </a:solidFill>
              <a:round/>
            </a:ln>
            <a:effectLst/>
          </c:spPr>
          <c:marker>
            <c:symbol val="none"/>
          </c:marker>
          <c:xVal>
            <c:numRef>
              <c:f>ArtificialTreatments!$B$21:$B$241</c:f>
              <c:numCache>
                <c:formatCode>General</c:formatCode>
                <c:ptCount val="221"/>
                <c:pt idx="0">
                  <c:v>-11</c:v>
                </c:pt>
                <c:pt idx="1">
                  <c:v>-10.9</c:v>
                </c:pt>
                <c:pt idx="2">
                  <c:v>-10.8</c:v>
                </c:pt>
                <c:pt idx="3">
                  <c:v>-10.700000000000001</c:v>
                </c:pt>
                <c:pt idx="4">
                  <c:v>-10.600000000000001</c:v>
                </c:pt>
                <c:pt idx="5">
                  <c:v>-10.500000000000002</c:v>
                </c:pt>
                <c:pt idx="6">
                  <c:v>-10.400000000000002</c:v>
                </c:pt>
                <c:pt idx="7">
                  <c:v>-10.300000000000002</c:v>
                </c:pt>
                <c:pt idx="8">
                  <c:v>-10.200000000000003</c:v>
                </c:pt>
                <c:pt idx="9">
                  <c:v>-10.100000000000003</c:v>
                </c:pt>
                <c:pt idx="10">
                  <c:v>-10.000000000000004</c:v>
                </c:pt>
                <c:pt idx="11">
                  <c:v>-9.9000000000000039</c:v>
                </c:pt>
                <c:pt idx="12">
                  <c:v>-9.8000000000000043</c:v>
                </c:pt>
                <c:pt idx="13">
                  <c:v>-9.7000000000000046</c:v>
                </c:pt>
                <c:pt idx="14">
                  <c:v>-9.600000000000005</c:v>
                </c:pt>
                <c:pt idx="15">
                  <c:v>-9.5000000000000053</c:v>
                </c:pt>
                <c:pt idx="16">
                  <c:v>-9.4000000000000057</c:v>
                </c:pt>
                <c:pt idx="17">
                  <c:v>-9.300000000000006</c:v>
                </c:pt>
                <c:pt idx="18">
                  <c:v>-9.2000000000000064</c:v>
                </c:pt>
                <c:pt idx="19">
                  <c:v>-9.1000000000000068</c:v>
                </c:pt>
                <c:pt idx="20">
                  <c:v>-9.0000000000000071</c:v>
                </c:pt>
                <c:pt idx="21">
                  <c:v>-8.9000000000000075</c:v>
                </c:pt>
                <c:pt idx="22">
                  <c:v>-8.8000000000000078</c:v>
                </c:pt>
                <c:pt idx="23">
                  <c:v>-8.7000000000000082</c:v>
                </c:pt>
                <c:pt idx="24">
                  <c:v>-8.6000000000000085</c:v>
                </c:pt>
                <c:pt idx="25">
                  <c:v>-8.5000000000000089</c:v>
                </c:pt>
                <c:pt idx="26">
                  <c:v>-8.4000000000000092</c:v>
                </c:pt>
                <c:pt idx="27">
                  <c:v>-8.3000000000000096</c:v>
                </c:pt>
                <c:pt idx="28">
                  <c:v>-8.2000000000000099</c:v>
                </c:pt>
                <c:pt idx="29">
                  <c:v>-8.1000000000000103</c:v>
                </c:pt>
                <c:pt idx="30">
                  <c:v>-8.0000000000000107</c:v>
                </c:pt>
                <c:pt idx="31">
                  <c:v>-7.900000000000011</c:v>
                </c:pt>
                <c:pt idx="32">
                  <c:v>-7.8000000000000114</c:v>
                </c:pt>
                <c:pt idx="33">
                  <c:v>-7.7000000000000117</c:v>
                </c:pt>
                <c:pt idx="34">
                  <c:v>-7.6000000000000121</c:v>
                </c:pt>
                <c:pt idx="35">
                  <c:v>-7.5000000000000124</c:v>
                </c:pt>
                <c:pt idx="36">
                  <c:v>-7.4000000000000128</c:v>
                </c:pt>
                <c:pt idx="37">
                  <c:v>-7.3000000000000131</c:v>
                </c:pt>
                <c:pt idx="38">
                  <c:v>-7.2000000000000135</c:v>
                </c:pt>
                <c:pt idx="39">
                  <c:v>-7.1000000000000139</c:v>
                </c:pt>
                <c:pt idx="40">
                  <c:v>-7.0000000000000142</c:v>
                </c:pt>
                <c:pt idx="41">
                  <c:v>-6.9000000000000146</c:v>
                </c:pt>
                <c:pt idx="42">
                  <c:v>-6.8000000000000149</c:v>
                </c:pt>
                <c:pt idx="43">
                  <c:v>-6.7000000000000153</c:v>
                </c:pt>
                <c:pt idx="44">
                  <c:v>-6.6000000000000156</c:v>
                </c:pt>
                <c:pt idx="45">
                  <c:v>-6.500000000000016</c:v>
                </c:pt>
                <c:pt idx="46">
                  <c:v>-6.4000000000000163</c:v>
                </c:pt>
                <c:pt idx="47">
                  <c:v>-6.3000000000000167</c:v>
                </c:pt>
                <c:pt idx="48">
                  <c:v>-6.2000000000000171</c:v>
                </c:pt>
                <c:pt idx="49">
                  <c:v>-6.1000000000000174</c:v>
                </c:pt>
                <c:pt idx="50">
                  <c:v>-6.0000000000000178</c:v>
                </c:pt>
                <c:pt idx="51">
                  <c:v>-5.9000000000000181</c:v>
                </c:pt>
                <c:pt idx="52">
                  <c:v>-5.8000000000000185</c:v>
                </c:pt>
                <c:pt idx="53">
                  <c:v>-5.7000000000000188</c:v>
                </c:pt>
                <c:pt idx="54">
                  <c:v>-5.6000000000000192</c:v>
                </c:pt>
                <c:pt idx="55">
                  <c:v>-5.5000000000000195</c:v>
                </c:pt>
                <c:pt idx="56">
                  <c:v>-5.4000000000000199</c:v>
                </c:pt>
                <c:pt idx="57">
                  <c:v>-5.3000000000000203</c:v>
                </c:pt>
                <c:pt idx="58">
                  <c:v>-5.2000000000000206</c:v>
                </c:pt>
                <c:pt idx="59">
                  <c:v>-5.100000000000021</c:v>
                </c:pt>
                <c:pt idx="60">
                  <c:v>-5.0000000000000213</c:v>
                </c:pt>
                <c:pt idx="61">
                  <c:v>-4.9000000000000217</c:v>
                </c:pt>
                <c:pt idx="62">
                  <c:v>-4.800000000000022</c:v>
                </c:pt>
                <c:pt idx="63">
                  <c:v>-4.7000000000000224</c:v>
                </c:pt>
                <c:pt idx="64">
                  <c:v>-4.6000000000000227</c:v>
                </c:pt>
                <c:pt idx="65">
                  <c:v>-4.5000000000000231</c:v>
                </c:pt>
                <c:pt idx="66">
                  <c:v>-4.4000000000000234</c:v>
                </c:pt>
                <c:pt idx="67">
                  <c:v>-4.3000000000000238</c:v>
                </c:pt>
                <c:pt idx="68">
                  <c:v>-4.2000000000000242</c:v>
                </c:pt>
                <c:pt idx="69">
                  <c:v>-4.1000000000000245</c:v>
                </c:pt>
                <c:pt idx="70">
                  <c:v>-4.0000000000000249</c:v>
                </c:pt>
                <c:pt idx="71">
                  <c:v>-3.9000000000000248</c:v>
                </c:pt>
                <c:pt idx="72">
                  <c:v>-3.8000000000000247</c:v>
                </c:pt>
                <c:pt idx="73">
                  <c:v>-3.7000000000000246</c:v>
                </c:pt>
                <c:pt idx="74">
                  <c:v>-3.6000000000000245</c:v>
                </c:pt>
                <c:pt idx="75">
                  <c:v>-3.5000000000000244</c:v>
                </c:pt>
                <c:pt idx="76">
                  <c:v>-3.4000000000000243</c:v>
                </c:pt>
                <c:pt idx="77">
                  <c:v>-3.3000000000000242</c:v>
                </c:pt>
                <c:pt idx="78">
                  <c:v>-3.2000000000000242</c:v>
                </c:pt>
                <c:pt idx="79">
                  <c:v>-3.1000000000000241</c:v>
                </c:pt>
                <c:pt idx="80">
                  <c:v>-3.000000000000024</c:v>
                </c:pt>
                <c:pt idx="81">
                  <c:v>-2.9000000000000239</c:v>
                </c:pt>
                <c:pt idx="82">
                  <c:v>-2.8000000000000238</c:v>
                </c:pt>
                <c:pt idx="83">
                  <c:v>-2.7000000000000237</c:v>
                </c:pt>
                <c:pt idx="84">
                  <c:v>-2.6000000000000236</c:v>
                </c:pt>
                <c:pt idx="85">
                  <c:v>-2.5000000000000235</c:v>
                </c:pt>
                <c:pt idx="86">
                  <c:v>-2.4000000000000234</c:v>
                </c:pt>
                <c:pt idx="87">
                  <c:v>-2.3000000000000234</c:v>
                </c:pt>
                <c:pt idx="88">
                  <c:v>-2.2000000000000233</c:v>
                </c:pt>
                <c:pt idx="89">
                  <c:v>-2.1000000000000232</c:v>
                </c:pt>
                <c:pt idx="90">
                  <c:v>-2.0000000000000231</c:v>
                </c:pt>
                <c:pt idx="91">
                  <c:v>-1.900000000000023</c:v>
                </c:pt>
                <c:pt idx="92">
                  <c:v>-1.8000000000000229</c:v>
                </c:pt>
                <c:pt idx="93">
                  <c:v>-1.7000000000000228</c:v>
                </c:pt>
                <c:pt idx="94">
                  <c:v>-1.6000000000000227</c:v>
                </c:pt>
                <c:pt idx="95">
                  <c:v>-1.5000000000000226</c:v>
                </c:pt>
                <c:pt idx="96">
                  <c:v>-1.4000000000000226</c:v>
                </c:pt>
                <c:pt idx="97">
                  <c:v>-1.3000000000000225</c:v>
                </c:pt>
                <c:pt idx="98">
                  <c:v>-1.2000000000000224</c:v>
                </c:pt>
                <c:pt idx="99">
                  <c:v>-1.1000000000000223</c:v>
                </c:pt>
                <c:pt idx="100">
                  <c:v>-1.0000000000000222</c:v>
                </c:pt>
                <c:pt idx="101">
                  <c:v>-0.90000000000002223</c:v>
                </c:pt>
                <c:pt idx="102">
                  <c:v>-0.80000000000002225</c:v>
                </c:pt>
                <c:pt idx="103">
                  <c:v>-0.70000000000002227</c:v>
                </c:pt>
                <c:pt idx="104">
                  <c:v>-0.60000000000002229</c:v>
                </c:pt>
                <c:pt idx="105">
                  <c:v>-0.50000000000002232</c:v>
                </c:pt>
                <c:pt idx="106">
                  <c:v>-0.40000000000002234</c:v>
                </c:pt>
                <c:pt idx="107">
                  <c:v>-0.30000000000002236</c:v>
                </c:pt>
                <c:pt idx="108">
                  <c:v>-0.20000000000002235</c:v>
                </c:pt>
                <c:pt idx="109">
                  <c:v>-0.10000000000002235</c:v>
                </c:pt>
                <c:pt idx="110">
                  <c:v>-2.2343238370581275E-14</c:v>
                </c:pt>
                <c:pt idx="111">
                  <c:v>9.9999999999977662E-2</c:v>
                </c:pt>
                <c:pt idx="112">
                  <c:v>0.19999999999997767</c:v>
                </c:pt>
                <c:pt idx="113">
                  <c:v>0.29999999999997767</c:v>
                </c:pt>
                <c:pt idx="114">
                  <c:v>0.39999999999997771</c:v>
                </c:pt>
                <c:pt idx="115">
                  <c:v>0.49999999999997768</c:v>
                </c:pt>
                <c:pt idx="116">
                  <c:v>0.59999999999997766</c:v>
                </c:pt>
                <c:pt idx="117">
                  <c:v>0.69999999999997764</c:v>
                </c:pt>
                <c:pt idx="118">
                  <c:v>0.79999999999997762</c:v>
                </c:pt>
                <c:pt idx="119">
                  <c:v>0.8999999999999776</c:v>
                </c:pt>
                <c:pt idx="120">
                  <c:v>0.99999999999997757</c:v>
                </c:pt>
                <c:pt idx="121">
                  <c:v>1.0999999999999777</c:v>
                </c:pt>
                <c:pt idx="122">
                  <c:v>1.1999999999999778</c:v>
                </c:pt>
                <c:pt idx="123">
                  <c:v>1.2999999999999778</c:v>
                </c:pt>
                <c:pt idx="124">
                  <c:v>1.3999999999999779</c:v>
                </c:pt>
                <c:pt idx="125">
                  <c:v>1.499999999999978</c:v>
                </c:pt>
                <c:pt idx="126">
                  <c:v>1.5999999999999781</c:v>
                </c:pt>
                <c:pt idx="127">
                  <c:v>1.6999999999999782</c:v>
                </c:pt>
                <c:pt idx="128">
                  <c:v>1.7999999999999783</c:v>
                </c:pt>
                <c:pt idx="129">
                  <c:v>1.8999999999999784</c:v>
                </c:pt>
                <c:pt idx="130">
                  <c:v>1.9999999999999785</c:v>
                </c:pt>
                <c:pt idx="131">
                  <c:v>2.0999999999999783</c:v>
                </c:pt>
                <c:pt idx="132">
                  <c:v>2.1999999999999784</c:v>
                </c:pt>
                <c:pt idx="133">
                  <c:v>2.2999999999999785</c:v>
                </c:pt>
                <c:pt idx="134">
                  <c:v>2.3999999999999786</c:v>
                </c:pt>
                <c:pt idx="135">
                  <c:v>2.4999999999999787</c:v>
                </c:pt>
                <c:pt idx="136">
                  <c:v>2.5999999999999788</c:v>
                </c:pt>
                <c:pt idx="137">
                  <c:v>2.6999999999999789</c:v>
                </c:pt>
                <c:pt idx="138">
                  <c:v>2.799999999999979</c:v>
                </c:pt>
                <c:pt idx="139">
                  <c:v>2.899999999999979</c:v>
                </c:pt>
                <c:pt idx="140">
                  <c:v>2.9999999999999791</c:v>
                </c:pt>
                <c:pt idx="141">
                  <c:v>3.0999999999999792</c:v>
                </c:pt>
                <c:pt idx="142">
                  <c:v>3.1999999999999793</c:v>
                </c:pt>
                <c:pt idx="143">
                  <c:v>3.2999999999999794</c:v>
                </c:pt>
                <c:pt idx="144">
                  <c:v>3.3999999999999795</c:v>
                </c:pt>
                <c:pt idx="145">
                  <c:v>3.4999999999999796</c:v>
                </c:pt>
                <c:pt idx="146">
                  <c:v>3.5999999999999797</c:v>
                </c:pt>
                <c:pt idx="147">
                  <c:v>3.6999999999999797</c:v>
                </c:pt>
                <c:pt idx="148">
                  <c:v>3.7999999999999798</c:v>
                </c:pt>
                <c:pt idx="149">
                  <c:v>3.8999999999999799</c:v>
                </c:pt>
                <c:pt idx="150">
                  <c:v>3.99999999999998</c:v>
                </c:pt>
                <c:pt idx="151">
                  <c:v>4.0999999999999801</c:v>
                </c:pt>
                <c:pt idx="152">
                  <c:v>4.1999999999999797</c:v>
                </c:pt>
                <c:pt idx="153">
                  <c:v>4.2999999999999794</c:v>
                </c:pt>
                <c:pt idx="154">
                  <c:v>4.399999999999979</c:v>
                </c:pt>
                <c:pt idx="155">
                  <c:v>4.4999999999999787</c:v>
                </c:pt>
                <c:pt idx="156">
                  <c:v>4.5999999999999783</c:v>
                </c:pt>
                <c:pt idx="157">
                  <c:v>4.699999999999978</c:v>
                </c:pt>
                <c:pt idx="158">
                  <c:v>4.7999999999999776</c:v>
                </c:pt>
                <c:pt idx="159">
                  <c:v>4.8999999999999773</c:v>
                </c:pt>
                <c:pt idx="160">
                  <c:v>4.9999999999999769</c:v>
                </c:pt>
                <c:pt idx="161">
                  <c:v>5.0999999999999766</c:v>
                </c:pt>
                <c:pt idx="162">
                  <c:v>5.1999999999999762</c:v>
                </c:pt>
                <c:pt idx="163">
                  <c:v>5.2999999999999758</c:v>
                </c:pt>
                <c:pt idx="164">
                  <c:v>5.3999999999999755</c:v>
                </c:pt>
                <c:pt idx="165">
                  <c:v>5.4999999999999751</c:v>
                </c:pt>
                <c:pt idx="166">
                  <c:v>5.5999999999999748</c:v>
                </c:pt>
                <c:pt idx="167">
                  <c:v>5.6999999999999744</c:v>
                </c:pt>
                <c:pt idx="168">
                  <c:v>5.7999999999999741</c:v>
                </c:pt>
                <c:pt idx="169">
                  <c:v>5.8999999999999737</c:v>
                </c:pt>
                <c:pt idx="170">
                  <c:v>5.9999999999999734</c:v>
                </c:pt>
                <c:pt idx="171">
                  <c:v>6.099999999999973</c:v>
                </c:pt>
                <c:pt idx="172">
                  <c:v>6.1999999999999726</c:v>
                </c:pt>
                <c:pt idx="173">
                  <c:v>6.2999999999999723</c:v>
                </c:pt>
                <c:pt idx="174">
                  <c:v>6.3999999999999719</c:v>
                </c:pt>
                <c:pt idx="175">
                  <c:v>6.4999999999999716</c:v>
                </c:pt>
                <c:pt idx="176">
                  <c:v>6.5999999999999712</c:v>
                </c:pt>
                <c:pt idx="177">
                  <c:v>6.6999999999999709</c:v>
                </c:pt>
                <c:pt idx="178">
                  <c:v>6.7999999999999705</c:v>
                </c:pt>
                <c:pt idx="179">
                  <c:v>6.8999999999999702</c:v>
                </c:pt>
                <c:pt idx="180">
                  <c:v>6.9999999999999698</c:v>
                </c:pt>
                <c:pt idx="181">
                  <c:v>7.0999999999999694</c:v>
                </c:pt>
                <c:pt idx="182">
                  <c:v>7.1999999999999691</c:v>
                </c:pt>
                <c:pt idx="183">
                  <c:v>7.2999999999999687</c:v>
                </c:pt>
                <c:pt idx="184">
                  <c:v>7.3999999999999684</c:v>
                </c:pt>
                <c:pt idx="185">
                  <c:v>7.499999999999968</c:v>
                </c:pt>
                <c:pt idx="186">
                  <c:v>7.5999999999999677</c:v>
                </c:pt>
                <c:pt idx="187">
                  <c:v>7.6999999999999673</c:v>
                </c:pt>
                <c:pt idx="188">
                  <c:v>7.799999999999967</c:v>
                </c:pt>
                <c:pt idx="189">
                  <c:v>7.8999999999999666</c:v>
                </c:pt>
                <c:pt idx="190">
                  <c:v>7.9999999999999662</c:v>
                </c:pt>
                <c:pt idx="191">
                  <c:v>8.0999999999999659</c:v>
                </c:pt>
                <c:pt idx="192">
                  <c:v>8.1999999999999655</c:v>
                </c:pt>
                <c:pt idx="193">
                  <c:v>8.2999999999999652</c:v>
                </c:pt>
                <c:pt idx="194">
                  <c:v>8.3999999999999648</c:v>
                </c:pt>
                <c:pt idx="195">
                  <c:v>8.4999999999999645</c:v>
                </c:pt>
                <c:pt idx="196">
                  <c:v>8.5999999999999641</c:v>
                </c:pt>
                <c:pt idx="197">
                  <c:v>8.6999999999999638</c:v>
                </c:pt>
                <c:pt idx="198">
                  <c:v>8.7999999999999634</c:v>
                </c:pt>
                <c:pt idx="199">
                  <c:v>8.8999999999999631</c:v>
                </c:pt>
                <c:pt idx="200">
                  <c:v>8.9999999999999627</c:v>
                </c:pt>
                <c:pt idx="201">
                  <c:v>9.0999999999999623</c:v>
                </c:pt>
                <c:pt idx="202">
                  <c:v>9.199999999999962</c:v>
                </c:pt>
                <c:pt idx="203">
                  <c:v>9.2999999999999616</c:v>
                </c:pt>
                <c:pt idx="204">
                  <c:v>9.3999999999999613</c:v>
                </c:pt>
                <c:pt idx="205">
                  <c:v>9.4999999999999609</c:v>
                </c:pt>
                <c:pt idx="206">
                  <c:v>9.5999999999999606</c:v>
                </c:pt>
                <c:pt idx="207">
                  <c:v>9.6999999999999602</c:v>
                </c:pt>
                <c:pt idx="208">
                  <c:v>9.7999999999999599</c:v>
                </c:pt>
                <c:pt idx="209">
                  <c:v>9.8999999999999595</c:v>
                </c:pt>
                <c:pt idx="210">
                  <c:v>9.9999999999999591</c:v>
                </c:pt>
                <c:pt idx="211">
                  <c:v>10.099999999999959</c:v>
                </c:pt>
                <c:pt idx="212">
                  <c:v>10.199999999999958</c:v>
                </c:pt>
                <c:pt idx="213">
                  <c:v>10.299999999999958</c:v>
                </c:pt>
                <c:pt idx="214">
                  <c:v>10.399999999999958</c:v>
                </c:pt>
                <c:pt idx="215">
                  <c:v>10.499999999999957</c:v>
                </c:pt>
                <c:pt idx="216">
                  <c:v>10.599999999999957</c:v>
                </c:pt>
                <c:pt idx="217">
                  <c:v>10.699999999999957</c:v>
                </c:pt>
                <c:pt idx="218">
                  <c:v>10.799999999999956</c:v>
                </c:pt>
                <c:pt idx="219">
                  <c:v>10.899999999999956</c:v>
                </c:pt>
                <c:pt idx="220">
                  <c:v>10.999999999999956</c:v>
                </c:pt>
              </c:numCache>
            </c:numRef>
          </c:xVal>
          <c:yVal>
            <c:numRef>
              <c:f>ArtificialTreatments!$S$21:$S$241</c:f>
              <c:numCache>
                <c:formatCode>General</c:formatCode>
                <c:ptCount val="221"/>
                <c:pt idx="0">
                  <c:v>1.403442308506798</c:v>
                </c:pt>
                <c:pt idx="1">
                  <c:v>1.403442308506798</c:v>
                </c:pt>
                <c:pt idx="2">
                  <c:v>1.403442308506798</c:v>
                </c:pt>
                <c:pt idx="3">
                  <c:v>1.403442308506798</c:v>
                </c:pt>
                <c:pt idx="4">
                  <c:v>1.403442308506798</c:v>
                </c:pt>
                <c:pt idx="5">
                  <c:v>1.403442308506798</c:v>
                </c:pt>
                <c:pt idx="6">
                  <c:v>1.403442308506798</c:v>
                </c:pt>
                <c:pt idx="7">
                  <c:v>1.403442308506798</c:v>
                </c:pt>
                <c:pt idx="8">
                  <c:v>1.403442308506798</c:v>
                </c:pt>
                <c:pt idx="9">
                  <c:v>1.403442308506798</c:v>
                </c:pt>
                <c:pt idx="10">
                  <c:v>1.403442308506798</c:v>
                </c:pt>
                <c:pt idx="11">
                  <c:v>1.403442308506798</c:v>
                </c:pt>
                <c:pt idx="12">
                  <c:v>1.403442308506798</c:v>
                </c:pt>
                <c:pt idx="13">
                  <c:v>1.403442308506798</c:v>
                </c:pt>
                <c:pt idx="14">
                  <c:v>1.403442308506798</c:v>
                </c:pt>
                <c:pt idx="15">
                  <c:v>1.403442308506798</c:v>
                </c:pt>
                <c:pt idx="16">
                  <c:v>1.403442308506798</c:v>
                </c:pt>
                <c:pt idx="17">
                  <c:v>1.403442308506798</c:v>
                </c:pt>
                <c:pt idx="18">
                  <c:v>1.403442308506798</c:v>
                </c:pt>
                <c:pt idx="19">
                  <c:v>1.403442308506798</c:v>
                </c:pt>
                <c:pt idx="20">
                  <c:v>1.403442308506798</c:v>
                </c:pt>
                <c:pt idx="21">
                  <c:v>1.406018831652319</c:v>
                </c:pt>
                <c:pt idx="22">
                  <c:v>1.4085953547978403</c:v>
                </c:pt>
                <c:pt idx="23">
                  <c:v>1.4111718779433615</c:v>
                </c:pt>
                <c:pt idx="24">
                  <c:v>1.4137484010888826</c:v>
                </c:pt>
                <c:pt idx="25">
                  <c:v>1.4163249242344038</c:v>
                </c:pt>
                <c:pt idx="26">
                  <c:v>1.4189014473799249</c:v>
                </c:pt>
                <c:pt idx="27">
                  <c:v>1.4214779705254461</c:v>
                </c:pt>
                <c:pt idx="28">
                  <c:v>1.4240544936709674</c:v>
                </c:pt>
                <c:pt idx="29">
                  <c:v>1.4266310168164882</c:v>
                </c:pt>
                <c:pt idx="30">
                  <c:v>1.4292075399620094</c:v>
                </c:pt>
                <c:pt idx="31">
                  <c:v>1.4317840631075307</c:v>
                </c:pt>
                <c:pt idx="32">
                  <c:v>1.4343605862530517</c:v>
                </c:pt>
                <c:pt idx="33">
                  <c:v>1.436937109398573</c:v>
                </c:pt>
                <c:pt idx="34">
                  <c:v>1.439513632544094</c:v>
                </c:pt>
                <c:pt idx="35">
                  <c:v>1.4420901556896153</c:v>
                </c:pt>
                <c:pt idx="36">
                  <c:v>1.4446666788351366</c:v>
                </c:pt>
                <c:pt idx="37">
                  <c:v>1.4472432019806576</c:v>
                </c:pt>
                <c:pt idx="38">
                  <c:v>1.4498197251261788</c:v>
                </c:pt>
                <c:pt idx="39">
                  <c:v>1.4523962482716999</c:v>
                </c:pt>
                <c:pt idx="40">
                  <c:v>1.4549727714172209</c:v>
                </c:pt>
                <c:pt idx="41">
                  <c:v>1.4575492945627424</c:v>
                </c:pt>
                <c:pt idx="42">
                  <c:v>1.4601258177082634</c:v>
                </c:pt>
                <c:pt idx="43">
                  <c:v>1.4627023408537845</c:v>
                </c:pt>
                <c:pt idx="44">
                  <c:v>1.4652788639993057</c:v>
                </c:pt>
                <c:pt idx="45">
                  <c:v>1.467855387144827</c:v>
                </c:pt>
                <c:pt idx="46">
                  <c:v>1.470431910290348</c:v>
                </c:pt>
                <c:pt idx="47">
                  <c:v>1.4730084334358693</c:v>
                </c:pt>
                <c:pt idx="48">
                  <c:v>1.4755849565813905</c:v>
                </c:pt>
                <c:pt idx="49">
                  <c:v>1.4781614797269116</c:v>
                </c:pt>
                <c:pt idx="50">
                  <c:v>1.4807380028724326</c:v>
                </c:pt>
                <c:pt idx="51">
                  <c:v>1.4833145260179541</c:v>
                </c:pt>
                <c:pt idx="52">
                  <c:v>1.4858910491634751</c:v>
                </c:pt>
                <c:pt idx="53">
                  <c:v>1.4884675723089964</c:v>
                </c:pt>
                <c:pt idx="54">
                  <c:v>1.4910440954545177</c:v>
                </c:pt>
                <c:pt idx="55">
                  <c:v>1.4936206186000387</c:v>
                </c:pt>
                <c:pt idx="56">
                  <c:v>1.9187624212949141</c:v>
                </c:pt>
                <c:pt idx="57">
                  <c:v>1.4987736648910812</c:v>
                </c:pt>
                <c:pt idx="58">
                  <c:v>1.5013501880366023</c:v>
                </c:pt>
                <c:pt idx="59">
                  <c:v>1.5039267111821235</c:v>
                </c:pt>
                <c:pt idx="60">
                  <c:v>1.5065032343276445</c:v>
                </c:pt>
                <c:pt idx="61">
                  <c:v>1.5090797574731658</c:v>
                </c:pt>
                <c:pt idx="62">
                  <c:v>1.5116562806186868</c:v>
                </c:pt>
                <c:pt idx="63">
                  <c:v>1.5142328037642079</c:v>
                </c:pt>
                <c:pt idx="64">
                  <c:v>1.5168093269097294</c:v>
                </c:pt>
                <c:pt idx="65">
                  <c:v>1.5193858500552504</c:v>
                </c:pt>
                <c:pt idx="66">
                  <c:v>1.5219623732007714</c:v>
                </c:pt>
                <c:pt idx="67">
                  <c:v>1.5245388963462925</c:v>
                </c:pt>
                <c:pt idx="68">
                  <c:v>1.527115419491814</c:v>
                </c:pt>
                <c:pt idx="69">
                  <c:v>1.529691942637335</c:v>
                </c:pt>
                <c:pt idx="70">
                  <c:v>1.532268465782856</c:v>
                </c:pt>
                <c:pt idx="71">
                  <c:v>1.5348449889283773</c:v>
                </c:pt>
                <c:pt idx="72">
                  <c:v>1.5374215120738985</c:v>
                </c:pt>
                <c:pt idx="73">
                  <c:v>1.5399980352194198</c:v>
                </c:pt>
                <c:pt idx="74">
                  <c:v>1.5425745583649408</c:v>
                </c:pt>
                <c:pt idx="75">
                  <c:v>1.5451510815104621</c:v>
                </c:pt>
                <c:pt idx="76">
                  <c:v>1.5477276046559831</c:v>
                </c:pt>
                <c:pt idx="77">
                  <c:v>1.5503041278015044</c:v>
                </c:pt>
                <c:pt idx="78">
                  <c:v>1.5528806509470257</c:v>
                </c:pt>
                <c:pt idx="79">
                  <c:v>1.5554571740925469</c:v>
                </c:pt>
                <c:pt idx="80">
                  <c:v>1.5580336972380679</c:v>
                </c:pt>
                <c:pt idx="81">
                  <c:v>1.504443062886881</c:v>
                </c:pt>
                <c:pt idx="82">
                  <c:v>1.4508524285356807</c:v>
                </c:pt>
                <c:pt idx="83">
                  <c:v>1.3972617941844803</c:v>
                </c:pt>
                <c:pt idx="84">
                  <c:v>1.3436711598332798</c:v>
                </c:pt>
                <c:pt idx="85">
                  <c:v>1.2900805254820795</c:v>
                </c:pt>
                <c:pt idx="86">
                  <c:v>1.236489891130879</c:v>
                </c:pt>
                <c:pt idx="87">
                  <c:v>1.1828992567796786</c:v>
                </c:pt>
                <c:pt idx="88">
                  <c:v>1.1293086224284781</c:v>
                </c:pt>
                <c:pt idx="89">
                  <c:v>1.0757179880772778</c:v>
                </c:pt>
                <c:pt idx="90">
                  <c:v>1.0221273537260771</c:v>
                </c:pt>
                <c:pt idx="91">
                  <c:v>0.96853671937487706</c:v>
                </c:pt>
                <c:pt idx="92">
                  <c:v>0.91494608502367636</c:v>
                </c:pt>
                <c:pt idx="93">
                  <c:v>0.8613554506724761</c:v>
                </c:pt>
                <c:pt idx="94">
                  <c:v>0.80776481632127561</c:v>
                </c:pt>
                <c:pt idx="95">
                  <c:v>0.75417418197007535</c:v>
                </c:pt>
                <c:pt idx="96">
                  <c:v>0.70058354761887487</c:v>
                </c:pt>
                <c:pt idx="97">
                  <c:v>0.64699291326767427</c:v>
                </c:pt>
                <c:pt idx="98">
                  <c:v>0.59340227891647412</c:v>
                </c:pt>
                <c:pt idx="99">
                  <c:v>0.53981164456527375</c:v>
                </c:pt>
                <c:pt idx="100">
                  <c:v>0.48622101021407316</c:v>
                </c:pt>
                <c:pt idx="101">
                  <c:v>0.43263037586287278</c:v>
                </c:pt>
                <c:pt idx="102">
                  <c:v>0.37903974151167252</c:v>
                </c:pt>
                <c:pt idx="103">
                  <c:v>0.32544910716047237</c:v>
                </c:pt>
                <c:pt idx="104">
                  <c:v>0.27185847280927167</c:v>
                </c:pt>
                <c:pt idx="105">
                  <c:v>0.21826783845807141</c:v>
                </c:pt>
                <c:pt idx="106">
                  <c:v>0.16467720410687126</c:v>
                </c:pt>
                <c:pt idx="107">
                  <c:v>0.11108656975567099</c:v>
                </c:pt>
                <c:pt idx="108">
                  <c:v>5.7495935404470178E-2</c:v>
                </c:pt>
                <c:pt idx="109">
                  <c:v>3.9053010532699162E-3</c:v>
                </c:pt>
                <c:pt idx="110">
                  <c:v>-4.9685333297930234E-2</c:v>
                </c:pt>
                <c:pt idx="111">
                  <c:v>-0.10327596764913072</c:v>
                </c:pt>
                <c:pt idx="112">
                  <c:v>-0.15686660200033087</c:v>
                </c:pt>
                <c:pt idx="113">
                  <c:v>-0.21045723635153146</c:v>
                </c:pt>
                <c:pt idx="114">
                  <c:v>-0.26404787070273206</c:v>
                </c:pt>
                <c:pt idx="115">
                  <c:v>-0.31763850505393221</c:v>
                </c:pt>
                <c:pt idx="116">
                  <c:v>-0.37122913940513236</c:v>
                </c:pt>
                <c:pt idx="117">
                  <c:v>-0.42481977375633284</c:v>
                </c:pt>
                <c:pt idx="118">
                  <c:v>-0.47841040810753344</c:v>
                </c:pt>
                <c:pt idx="119">
                  <c:v>-0.53200104245873359</c:v>
                </c:pt>
                <c:pt idx="120">
                  <c:v>-0.58559167680993418</c:v>
                </c:pt>
                <c:pt idx="121">
                  <c:v>-0.63918231116113433</c:v>
                </c:pt>
                <c:pt idx="122">
                  <c:v>-0.69277294551233493</c:v>
                </c:pt>
                <c:pt idx="123">
                  <c:v>-0.74636357986353508</c:v>
                </c:pt>
                <c:pt idx="124">
                  <c:v>-0.79995421421473578</c:v>
                </c:pt>
                <c:pt idx="125">
                  <c:v>-0.85354484856593604</c:v>
                </c:pt>
                <c:pt idx="126">
                  <c:v>-0.90713548291713653</c:v>
                </c:pt>
                <c:pt idx="127">
                  <c:v>-0.96072611726833679</c:v>
                </c:pt>
                <c:pt idx="128">
                  <c:v>-1.0143167516195373</c:v>
                </c:pt>
                <c:pt idx="129">
                  <c:v>-1.0679073859707375</c:v>
                </c:pt>
                <c:pt idx="130">
                  <c:v>-1.1214980203219382</c:v>
                </c:pt>
                <c:pt idx="131">
                  <c:v>-1.1750886546731385</c:v>
                </c:pt>
                <c:pt idx="132">
                  <c:v>-1.2286792890243385</c:v>
                </c:pt>
                <c:pt idx="133">
                  <c:v>-1.2822699233755392</c:v>
                </c:pt>
                <c:pt idx="134">
                  <c:v>-1.3358605577267397</c:v>
                </c:pt>
                <c:pt idx="135">
                  <c:v>-1.38945119207794</c:v>
                </c:pt>
                <c:pt idx="136">
                  <c:v>-1.44304182642914</c:v>
                </c:pt>
                <c:pt idx="137">
                  <c:v>-1.496632460780341</c:v>
                </c:pt>
                <c:pt idx="138">
                  <c:v>-1.5502230951315414</c:v>
                </c:pt>
                <c:pt idx="139">
                  <c:v>-1.6038137294827415</c:v>
                </c:pt>
                <c:pt idx="140">
                  <c:v>-1.6574043638339417</c:v>
                </c:pt>
                <c:pt idx="141">
                  <c:v>-1.5405384286339663</c:v>
                </c:pt>
                <c:pt idx="142">
                  <c:v>-1.4236724934339546</c:v>
                </c:pt>
                <c:pt idx="143">
                  <c:v>-1.3068065582339434</c:v>
                </c:pt>
                <c:pt idx="144">
                  <c:v>-1.1899406230339318</c:v>
                </c:pt>
                <c:pt idx="145">
                  <c:v>-1.0730746878339206</c:v>
                </c:pt>
                <c:pt idx="146">
                  <c:v>-0.95620875263390892</c:v>
                </c:pt>
                <c:pt idx="147">
                  <c:v>-0.8393428174338976</c:v>
                </c:pt>
                <c:pt idx="148">
                  <c:v>-0.72247688223388606</c:v>
                </c:pt>
                <c:pt idx="149">
                  <c:v>-0.60561094703387464</c:v>
                </c:pt>
                <c:pt idx="150">
                  <c:v>-0.48874501183386326</c:v>
                </c:pt>
                <c:pt idx="151">
                  <c:v>-0.30389989601701917</c:v>
                </c:pt>
                <c:pt idx="152">
                  <c:v>-0.1190547802001623</c:v>
                </c:pt>
                <c:pt idx="153">
                  <c:v>6.5790335616694506E-2</c:v>
                </c:pt>
                <c:pt idx="154">
                  <c:v>0.25063545143355132</c:v>
                </c:pt>
                <c:pt idx="155">
                  <c:v>0.43548056725040818</c:v>
                </c:pt>
                <c:pt idx="156">
                  <c:v>0.62032568306726499</c:v>
                </c:pt>
                <c:pt idx="157">
                  <c:v>0.80517079888412191</c:v>
                </c:pt>
                <c:pt idx="158">
                  <c:v>0.99001591470097883</c:v>
                </c:pt>
                <c:pt idx="159">
                  <c:v>1.1748610305178355</c:v>
                </c:pt>
                <c:pt idx="160">
                  <c:v>1.3597061463346924</c:v>
                </c:pt>
                <c:pt idx="161">
                  <c:v>1.3359231860654697</c:v>
                </c:pt>
                <c:pt idx="162">
                  <c:v>1.3121402257961987</c:v>
                </c:pt>
                <c:pt idx="163">
                  <c:v>1.2883572655269275</c:v>
                </c:pt>
                <c:pt idx="164">
                  <c:v>1.2645743052576566</c:v>
                </c:pt>
                <c:pt idx="165">
                  <c:v>1.2407913449883858</c:v>
                </c:pt>
                <c:pt idx="166">
                  <c:v>1.2170083847191149</c:v>
                </c:pt>
                <c:pt idx="167">
                  <c:v>1.1932254244498437</c:v>
                </c:pt>
                <c:pt idx="168">
                  <c:v>1.1694424641805727</c:v>
                </c:pt>
                <c:pt idx="169">
                  <c:v>1.145659503911302</c:v>
                </c:pt>
                <c:pt idx="170">
                  <c:v>1.1218765436420246</c:v>
                </c:pt>
                <c:pt idx="171">
                  <c:v>1.1218765436420246</c:v>
                </c:pt>
                <c:pt idx="172">
                  <c:v>1.1218765436420246</c:v>
                </c:pt>
                <c:pt idx="173">
                  <c:v>1.1218765436420246</c:v>
                </c:pt>
                <c:pt idx="174">
                  <c:v>1.1218765436420246</c:v>
                </c:pt>
                <c:pt idx="175">
                  <c:v>1.1218765436420246</c:v>
                </c:pt>
                <c:pt idx="176">
                  <c:v>1.1218765436420246</c:v>
                </c:pt>
                <c:pt idx="177">
                  <c:v>1.1218765436420246</c:v>
                </c:pt>
                <c:pt idx="178">
                  <c:v>1.1218765436420246</c:v>
                </c:pt>
                <c:pt idx="179">
                  <c:v>1.1218765436420246</c:v>
                </c:pt>
                <c:pt idx="180">
                  <c:v>1.1218765436420246</c:v>
                </c:pt>
                <c:pt idx="181">
                  <c:v>1.1218765436420246</c:v>
                </c:pt>
                <c:pt idx="182">
                  <c:v>1.1218765436420246</c:v>
                </c:pt>
                <c:pt idx="183">
                  <c:v>1.1218765436420246</c:v>
                </c:pt>
                <c:pt idx="184">
                  <c:v>1.1218765436420246</c:v>
                </c:pt>
                <c:pt idx="185">
                  <c:v>1.1218765436420246</c:v>
                </c:pt>
                <c:pt idx="186">
                  <c:v>1.1218765436420246</c:v>
                </c:pt>
                <c:pt idx="187">
                  <c:v>1.1218765436420246</c:v>
                </c:pt>
                <c:pt idx="188">
                  <c:v>1.1218765436420246</c:v>
                </c:pt>
                <c:pt idx="189">
                  <c:v>1.1218765436420246</c:v>
                </c:pt>
                <c:pt idx="190">
                  <c:v>1.1218765436420246</c:v>
                </c:pt>
                <c:pt idx="191">
                  <c:v>1.1218765436420246</c:v>
                </c:pt>
                <c:pt idx="192">
                  <c:v>1.1218765436420246</c:v>
                </c:pt>
                <c:pt idx="193">
                  <c:v>1.1218765436420246</c:v>
                </c:pt>
                <c:pt idx="194">
                  <c:v>1.1218765436420246</c:v>
                </c:pt>
                <c:pt idx="195">
                  <c:v>1.1218765436420246</c:v>
                </c:pt>
                <c:pt idx="196">
                  <c:v>1.1218765436420246</c:v>
                </c:pt>
                <c:pt idx="197">
                  <c:v>1.1218765436420246</c:v>
                </c:pt>
                <c:pt idx="198">
                  <c:v>1.1218765436420246</c:v>
                </c:pt>
                <c:pt idx="199">
                  <c:v>1.1218765436420246</c:v>
                </c:pt>
                <c:pt idx="200">
                  <c:v>1.1218765436420246</c:v>
                </c:pt>
                <c:pt idx="201">
                  <c:v>1.1218765436420246</c:v>
                </c:pt>
                <c:pt idx="202">
                  <c:v>1.1218765436420246</c:v>
                </c:pt>
                <c:pt idx="203">
                  <c:v>1.1218765436420246</c:v>
                </c:pt>
                <c:pt idx="204">
                  <c:v>1.1218765436420246</c:v>
                </c:pt>
                <c:pt idx="205">
                  <c:v>1.1218765436420246</c:v>
                </c:pt>
                <c:pt idx="206">
                  <c:v>1.1218765436420246</c:v>
                </c:pt>
                <c:pt idx="207">
                  <c:v>1.1218765436420246</c:v>
                </c:pt>
                <c:pt idx="208">
                  <c:v>1.9187624212949141</c:v>
                </c:pt>
                <c:pt idx="209">
                  <c:v>1.9187624212949141</c:v>
                </c:pt>
                <c:pt idx="210">
                  <c:v>1.9187624212949141</c:v>
                </c:pt>
                <c:pt idx="211">
                  <c:v>1.9187624212949141</c:v>
                </c:pt>
                <c:pt idx="212">
                  <c:v>1.9187624212949141</c:v>
                </c:pt>
                <c:pt idx="213">
                  <c:v>1.9187624212949141</c:v>
                </c:pt>
                <c:pt idx="214">
                  <c:v>1.9187624212949141</c:v>
                </c:pt>
                <c:pt idx="215">
                  <c:v>1.9187624212949141</c:v>
                </c:pt>
                <c:pt idx="216">
                  <c:v>1.9187624212949141</c:v>
                </c:pt>
                <c:pt idx="217">
                  <c:v>1.9187624212949141</c:v>
                </c:pt>
                <c:pt idx="218">
                  <c:v>1.9187624212949141</c:v>
                </c:pt>
                <c:pt idx="219">
                  <c:v>1.9187624212949141</c:v>
                </c:pt>
                <c:pt idx="220">
                  <c:v>1.9187624212949141</c:v>
                </c:pt>
              </c:numCache>
            </c:numRef>
          </c:yVal>
          <c:smooth val="0"/>
          <c:extLst>
            <c:ext xmlns:c16="http://schemas.microsoft.com/office/drawing/2014/chart" uri="{C3380CC4-5D6E-409C-BE32-E72D297353CC}">
              <c16:uniqueId val="{00000001-EDB6-4D34-8790-930E2059F474}"/>
            </c:ext>
          </c:extLst>
        </c:ser>
        <c:ser>
          <c:idx val="2"/>
          <c:order val="2"/>
          <c:tx>
            <c:strRef>
              <c:f>ArtificialTreatments!$T$20</c:f>
              <c:strCache>
                <c:ptCount val="1"/>
                <c:pt idx="0">
                  <c:v>Score3</c:v>
                </c:pt>
              </c:strCache>
            </c:strRef>
          </c:tx>
          <c:spPr>
            <a:ln w="19050" cap="rnd">
              <a:solidFill>
                <a:schemeClr val="accent3"/>
              </a:solidFill>
              <a:round/>
            </a:ln>
            <a:effectLst/>
          </c:spPr>
          <c:marker>
            <c:symbol val="none"/>
          </c:marker>
          <c:xVal>
            <c:numRef>
              <c:f>ArtificialTreatments!$B$21:$B$241</c:f>
              <c:numCache>
                <c:formatCode>General</c:formatCode>
                <c:ptCount val="221"/>
                <c:pt idx="0">
                  <c:v>-11</c:v>
                </c:pt>
                <c:pt idx="1">
                  <c:v>-10.9</c:v>
                </c:pt>
                <c:pt idx="2">
                  <c:v>-10.8</c:v>
                </c:pt>
                <c:pt idx="3">
                  <c:v>-10.700000000000001</c:v>
                </c:pt>
                <c:pt idx="4">
                  <c:v>-10.600000000000001</c:v>
                </c:pt>
                <c:pt idx="5">
                  <c:v>-10.500000000000002</c:v>
                </c:pt>
                <c:pt idx="6">
                  <c:v>-10.400000000000002</c:v>
                </c:pt>
                <c:pt idx="7">
                  <c:v>-10.300000000000002</c:v>
                </c:pt>
                <c:pt idx="8">
                  <c:v>-10.200000000000003</c:v>
                </c:pt>
                <c:pt idx="9">
                  <c:v>-10.100000000000003</c:v>
                </c:pt>
                <c:pt idx="10">
                  <c:v>-10.000000000000004</c:v>
                </c:pt>
                <c:pt idx="11">
                  <c:v>-9.9000000000000039</c:v>
                </c:pt>
                <c:pt idx="12">
                  <c:v>-9.8000000000000043</c:v>
                </c:pt>
                <c:pt idx="13">
                  <c:v>-9.7000000000000046</c:v>
                </c:pt>
                <c:pt idx="14">
                  <c:v>-9.600000000000005</c:v>
                </c:pt>
                <c:pt idx="15">
                  <c:v>-9.5000000000000053</c:v>
                </c:pt>
                <c:pt idx="16">
                  <c:v>-9.4000000000000057</c:v>
                </c:pt>
                <c:pt idx="17">
                  <c:v>-9.300000000000006</c:v>
                </c:pt>
                <c:pt idx="18">
                  <c:v>-9.2000000000000064</c:v>
                </c:pt>
                <c:pt idx="19">
                  <c:v>-9.1000000000000068</c:v>
                </c:pt>
                <c:pt idx="20">
                  <c:v>-9.0000000000000071</c:v>
                </c:pt>
                <c:pt idx="21">
                  <c:v>-8.9000000000000075</c:v>
                </c:pt>
                <c:pt idx="22">
                  <c:v>-8.8000000000000078</c:v>
                </c:pt>
                <c:pt idx="23">
                  <c:v>-8.7000000000000082</c:v>
                </c:pt>
                <c:pt idx="24">
                  <c:v>-8.6000000000000085</c:v>
                </c:pt>
                <c:pt idx="25">
                  <c:v>-8.5000000000000089</c:v>
                </c:pt>
                <c:pt idx="26">
                  <c:v>-8.4000000000000092</c:v>
                </c:pt>
                <c:pt idx="27">
                  <c:v>-8.3000000000000096</c:v>
                </c:pt>
                <c:pt idx="28">
                  <c:v>-8.2000000000000099</c:v>
                </c:pt>
                <c:pt idx="29">
                  <c:v>-8.1000000000000103</c:v>
                </c:pt>
                <c:pt idx="30">
                  <c:v>-8.0000000000000107</c:v>
                </c:pt>
                <c:pt idx="31">
                  <c:v>-7.900000000000011</c:v>
                </c:pt>
                <c:pt idx="32">
                  <c:v>-7.8000000000000114</c:v>
                </c:pt>
                <c:pt idx="33">
                  <c:v>-7.7000000000000117</c:v>
                </c:pt>
                <c:pt idx="34">
                  <c:v>-7.6000000000000121</c:v>
                </c:pt>
                <c:pt idx="35">
                  <c:v>-7.5000000000000124</c:v>
                </c:pt>
                <c:pt idx="36">
                  <c:v>-7.4000000000000128</c:v>
                </c:pt>
                <c:pt idx="37">
                  <c:v>-7.3000000000000131</c:v>
                </c:pt>
                <c:pt idx="38">
                  <c:v>-7.2000000000000135</c:v>
                </c:pt>
                <c:pt idx="39">
                  <c:v>-7.1000000000000139</c:v>
                </c:pt>
                <c:pt idx="40">
                  <c:v>-7.0000000000000142</c:v>
                </c:pt>
                <c:pt idx="41">
                  <c:v>-6.9000000000000146</c:v>
                </c:pt>
                <c:pt idx="42">
                  <c:v>-6.8000000000000149</c:v>
                </c:pt>
                <c:pt idx="43">
                  <c:v>-6.7000000000000153</c:v>
                </c:pt>
                <c:pt idx="44">
                  <c:v>-6.6000000000000156</c:v>
                </c:pt>
                <c:pt idx="45">
                  <c:v>-6.500000000000016</c:v>
                </c:pt>
                <c:pt idx="46">
                  <c:v>-6.4000000000000163</c:v>
                </c:pt>
                <c:pt idx="47">
                  <c:v>-6.3000000000000167</c:v>
                </c:pt>
                <c:pt idx="48">
                  <c:v>-6.2000000000000171</c:v>
                </c:pt>
                <c:pt idx="49">
                  <c:v>-6.1000000000000174</c:v>
                </c:pt>
                <c:pt idx="50">
                  <c:v>-6.0000000000000178</c:v>
                </c:pt>
                <c:pt idx="51">
                  <c:v>-5.9000000000000181</c:v>
                </c:pt>
                <c:pt idx="52">
                  <c:v>-5.8000000000000185</c:v>
                </c:pt>
                <c:pt idx="53">
                  <c:v>-5.7000000000000188</c:v>
                </c:pt>
                <c:pt idx="54">
                  <c:v>-5.6000000000000192</c:v>
                </c:pt>
                <c:pt idx="55">
                  <c:v>-5.5000000000000195</c:v>
                </c:pt>
                <c:pt idx="56">
                  <c:v>-5.4000000000000199</c:v>
                </c:pt>
                <c:pt idx="57">
                  <c:v>-5.3000000000000203</c:v>
                </c:pt>
                <c:pt idx="58">
                  <c:v>-5.2000000000000206</c:v>
                </c:pt>
                <c:pt idx="59">
                  <c:v>-5.100000000000021</c:v>
                </c:pt>
                <c:pt idx="60">
                  <c:v>-5.0000000000000213</c:v>
                </c:pt>
                <c:pt idx="61">
                  <c:v>-4.9000000000000217</c:v>
                </c:pt>
                <c:pt idx="62">
                  <c:v>-4.800000000000022</c:v>
                </c:pt>
                <c:pt idx="63">
                  <c:v>-4.7000000000000224</c:v>
                </c:pt>
                <c:pt idx="64">
                  <c:v>-4.6000000000000227</c:v>
                </c:pt>
                <c:pt idx="65">
                  <c:v>-4.5000000000000231</c:v>
                </c:pt>
                <c:pt idx="66">
                  <c:v>-4.4000000000000234</c:v>
                </c:pt>
                <c:pt idx="67">
                  <c:v>-4.3000000000000238</c:v>
                </c:pt>
                <c:pt idx="68">
                  <c:v>-4.2000000000000242</c:v>
                </c:pt>
                <c:pt idx="69">
                  <c:v>-4.1000000000000245</c:v>
                </c:pt>
                <c:pt idx="70">
                  <c:v>-4.0000000000000249</c:v>
                </c:pt>
                <c:pt idx="71">
                  <c:v>-3.9000000000000248</c:v>
                </c:pt>
                <c:pt idx="72">
                  <c:v>-3.8000000000000247</c:v>
                </c:pt>
                <c:pt idx="73">
                  <c:v>-3.7000000000000246</c:v>
                </c:pt>
                <c:pt idx="74">
                  <c:v>-3.6000000000000245</c:v>
                </c:pt>
                <c:pt idx="75">
                  <c:v>-3.5000000000000244</c:v>
                </c:pt>
                <c:pt idx="76">
                  <c:v>-3.4000000000000243</c:v>
                </c:pt>
                <c:pt idx="77">
                  <c:v>-3.3000000000000242</c:v>
                </c:pt>
                <c:pt idx="78">
                  <c:v>-3.2000000000000242</c:v>
                </c:pt>
                <c:pt idx="79">
                  <c:v>-3.1000000000000241</c:v>
                </c:pt>
                <c:pt idx="80">
                  <c:v>-3.000000000000024</c:v>
                </c:pt>
                <c:pt idx="81">
                  <c:v>-2.9000000000000239</c:v>
                </c:pt>
                <c:pt idx="82">
                  <c:v>-2.8000000000000238</c:v>
                </c:pt>
                <c:pt idx="83">
                  <c:v>-2.7000000000000237</c:v>
                </c:pt>
                <c:pt idx="84">
                  <c:v>-2.6000000000000236</c:v>
                </c:pt>
                <c:pt idx="85">
                  <c:v>-2.5000000000000235</c:v>
                </c:pt>
                <c:pt idx="86">
                  <c:v>-2.4000000000000234</c:v>
                </c:pt>
                <c:pt idx="87">
                  <c:v>-2.3000000000000234</c:v>
                </c:pt>
                <c:pt idx="88">
                  <c:v>-2.2000000000000233</c:v>
                </c:pt>
                <c:pt idx="89">
                  <c:v>-2.1000000000000232</c:v>
                </c:pt>
                <c:pt idx="90">
                  <c:v>-2.0000000000000231</c:v>
                </c:pt>
                <c:pt idx="91">
                  <c:v>-1.900000000000023</c:v>
                </c:pt>
                <c:pt idx="92">
                  <c:v>-1.8000000000000229</c:v>
                </c:pt>
                <c:pt idx="93">
                  <c:v>-1.7000000000000228</c:v>
                </c:pt>
                <c:pt idx="94">
                  <c:v>-1.6000000000000227</c:v>
                </c:pt>
                <c:pt idx="95">
                  <c:v>-1.5000000000000226</c:v>
                </c:pt>
                <c:pt idx="96">
                  <c:v>-1.4000000000000226</c:v>
                </c:pt>
                <c:pt idx="97">
                  <c:v>-1.3000000000000225</c:v>
                </c:pt>
                <c:pt idx="98">
                  <c:v>-1.2000000000000224</c:v>
                </c:pt>
                <c:pt idx="99">
                  <c:v>-1.1000000000000223</c:v>
                </c:pt>
                <c:pt idx="100">
                  <c:v>-1.0000000000000222</c:v>
                </c:pt>
                <c:pt idx="101">
                  <c:v>-0.90000000000002223</c:v>
                </c:pt>
                <c:pt idx="102">
                  <c:v>-0.80000000000002225</c:v>
                </c:pt>
                <c:pt idx="103">
                  <c:v>-0.70000000000002227</c:v>
                </c:pt>
                <c:pt idx="104">
                  <c:v>-0.60000000000002229</c:v>
                </c:pt>
                <c:pt idx="105">
                  <c:v>-0.50000000000002232</c:v>
                </c:pt>
                <c:pt idx="106">
                  <c:v>-0.40000000000002234</c:v>
                </c:pt>
                <c:pt idx="107">
                  <c:v>-0.30000000000002236</c:v>
                </c:pt>
                <c:pt idx="108">
                  <c:v>-0.20000000000002235</c:v>
                </c:pt>
                <c:pt idx="109">
                  <c:v>-0.10000000000002235</c:v>
                </c:pt>
                <c:pt idx="110">
                  <c:v>-2.2343238370581275E-14</c:v>
                </c:pt>
                <c:pt idx="111">
                  <c:v>9.9999999999977662E-2</c:v>
                </c:pt>
                <c:pt idx="112">
                  <c:v>0.19999999999997767</c:v>
                </c:pt>
                <c:pt idx="113">
                  <c:v>0.29999999999997767</c:v>
                </c:pt>
                <c:pt idx="114">
                  <c:v>0.39999999999997771</c:v>
                </c:pt>
                <c:pt idx="115">
                  <c:v>0.49999999999997768</c:v>
                </c:pt>
                <c:pt idx="116">
                  <c:v>0.59999999999997766</c:v>
                </c:pt>
                <c:pt idx="117">
                  <c:v>0.69999999999997764</c:v>
                </c:pt>
                <c:pt idx="118">
                  <c:v>0.79999999999997762</c:v>
                </c:pt>
                <c:pt idx="119">
                  <c:v>0.8999999999999776</c:v>
                </c:pt>
                <c:pt idx="120">
                  <c:v>0.99999999999997757</c:v>
                </c:pt>
                <c:pt idx="121">
                  <c:v>1.0999999999999777</c:v>
                </c:pt>
                <c:pt idx="122">
                  <c:v>1.1999999999999778</c:v>
                </c:pt>
                <c:pt idx="123">
                  <c:v>1.2999999999999778</c:v>
                </c:pt>
                <c:pt idx="124">
                  <c:v>1.3999999999999779</c:v>
                </c:pt>
                <c:pt idx="125">
                  <c:v>1.499999999999978</c:v>
                </c:pt>
                <c:pt idx="126">
                  <c:v>1.5999999999999781</c:v>
                </c:pt>
                <c:pt idx="127">
                  <c:v>1.6999999999999782</c:v>
                </c:pt>
                <c:pt idx="128">
                  <c:v>1.7999999999999783</c:v>
                </c:pt>
                <c:pt idx="129">
                  <c:v>1.8999999999999784</c:v>
                </c:pt>
                <c:pt idx="130">
                  <c:v>1.9999999999999785</c:v>
                </c:pt>
                <c:pt idx="131">
                  <c:v>2.0999999999999783</c:v>
                </c:pt>
                <c:pt idx="132">
                  <c:v>2.1999999999999784</c:v>
                </c:pt>
                <c:pt idx="133">
                  <c:v>2.2999999999999785</c:v>
                </c:pt>
                <c:pt idx="134">
                  <c:v>2.3999999999999786</c:v>
                </c:pt>
                <c:pt idx="135">
                  <c:v>2.4999999999999787</c:v>
                </c:pt>
                <c:pt idx="136">
                  <c:v>2.5999999999999788</c:v>
                </c:pt>
                <c:pt idx="137">
                  <c:v>2.6999999999999789</c:v>
                </c:pt>
                <c:pt idx="138">
                  <c:v>2.799999999999979</c:v>
                </c:pt>
                <c:pt idx="139">
                  <c:v>2.899999999999979</c:v>
                </c:pt>
                <c:pt idx="140">
                  <c:v>2.9999999999999791</c:v>
                </c:pt>
                <c:pt idx="141">
                  <c:v>3.0999999999999792</c:v>
                </c:pt>
                <c:pt idx="142">
                  <c:v>3.1999999999999793</c:v>
                </c:pt>
                <c:pt idx="143">
                  <c:v>3.2999999999999794</c:v>
                </c:pt>
                <c:pt idx="144">
                  <c:v>3.3999999999999795</c:v>
                </c:pt>
                <c:pt idx="145">
                  <c:v>3.4999999999999796</c:v>
                </c:pt>
                <c:pt idx="146">
                  <c:v>3.5999999999999797</c:v>
                </c:pt>
                <c:pt idx="147">
                  <c:v>3.6999999999999797</c:v>
                </c:pt>
                <c:pt idx="148">
                  <c:v>3.7999999999999798</c:v>
                </c:pt>
                <c:pt idx="149">
                  <c:v>3.8999999999999799</c:v>
                </c:pt>
                <c:pt idx="150">
                  <c:v>3.99999999999998</c:v>
                </c:pt>
                <c:pt idx="151">
                  <c:v>4.0999999999999801</c:v>
                </c:pt>
                <c:pt idx="152">
                  <c:v>4.1999999999999797</c:v>
                </c:pt>
                <c:pt idx="153">
                  <c:v>4.2999999999999794</c:v>
                </c:pt>
                <c:pt idx="154">
                  <c:v>4.399999999999979</c:v>
                </c:pt>
                <c:pt idx="155">
                  <c:v>4.4999999999999787</c:v>
                </c:pt>
                <c:pt idx="156">
                  <c:v>4.5999999999999783</c:v>
                </c:pt>
                <c:pt idx="157">
                  <c:v>4.699999999999978</c:v>
                </c:pt>
                <c:pt idx="158">
                  <c:v>4.7999999999999776</c:v>
                </c:pt>
                <c:pt idx="159">
                  <c:v>4.8999999999999773</c:v>
                </c:pt>
                <c:pt idx="160">
                  <c:v>4.9999999999999769</c:v>
                </c:pt>
                <c:pt idx="161">
                  <c:v>5.0999999999999766</c:v>
                </c:pt>
                <c:pt idx="162">
                  <c:v>5.1999999999999762</c:v>
                </c:pt>
                <c:pt idx="163">
                  <c:v>5.2999999999999758</c:v>
                </c:pt>
                <c:pt idx="164">
                  <c:v>5.3999999999999755</c:v>
                </c:pt>
                <c:pt idx="165">
                  <c:v>5.4999999999999751</c:v>
                </c:pt>
                <c:pt idx="166">
                  <c:v>5.5999999999999748</c:v>
                </c:pt>
                <c:pt idx="167">
                  <c:v>5.6999999999999744</c:v>
                </c:pt>
                <c:pt idx="168">
                  <c:v>5.7999999999999741</c:v>
                </c:pt>
                <c:pt idx="169">
                  <c:v>5.8999999999999737</c:v>
                </c:pt>
                <c:pt idx="170">
                  <c:v>5.9999999999999734</c:v>
                </c:pt>
                <c:pt idx="171">
                  <c:v>6.099999999999973</c:v>
                </c:pt>
                <c:pt idx="172">
                  <c:v>6.1999999999999726</c:v>
                </c:pt>
                <c:pt idx="173">
                  <c:v>6.2999999999999723</c:v>
                </c:pt>
                <c:pt idx="174">
                  <c:v>6.3999999999999719</c:v>
                </c:pt>
                <c:pt idx="175">
                  <c:v>6.4999999999999716</c:v>
                </c:pt>
                <c:pt idx="176">
                  <c:v>6.5999999999999712</c:v>
                </c:pt>
                <c:pt idx="177">
                  <c:v>6.6999999999999709</c:v>
                </c:pt>
                <c:pt idx="178">
                  <c:v>6.7999999999999705</c:v>
                </c:pt>
                <c:pt idx="179">
                  <c:v>6.8999999999999702</c:v>
                </c:pt>
                <c:pt idx="180">
                  <c:v>6.9999999999999698</c:v>
                </c:pt>
                <c:pt idx="181">
                  <c:v>7.0999999999999694</c:v>
                </c:pt>
                <c:pt idx="182">
                  <c:v>7.1999999999999691</c:v>
                </c:pt>
                <c:pt idx="183">
                  <c:v>7.2999999999999687</c:v>
                </c:pt>
                <c:pt idx="184">
                  <c:v>7.3999999999999684</c:v>
                </c:pt>
                <c:pt idx="185">
                  <c:v>7.499999999999968</c:v>
                </c:pt>
                <c:pt idx="186">
                  <c:v>7.5999999999999677</c:v>
                </c:pt>
                <c:pt idx="187">
                  <c:v>7.6999999999999673</c:v>
                </c:pt>
                <c:pt idx="188">
                  <c:v>7.799999999999967</c:v>
                </c:pt>
                <c:pt idx="189">
                  <c:v>7.8999999999999666</c:v>
                </c:pt>
                <c:pt idx="190">
                  <c:v>7.9999999999999662</c:v>
                </c:pt>
                <c:pt idx="191">
                  <c:v>8.0999999999999659</c:v>
                </c:pt>
                <c:pt idx="192">
                  <c:v>8.1999999999999655</c:v>
                </c:pt>
                <c:pt idx="193">
                  <c:v>8.2999999999999652</c:v>
                </c:pt>
                <c:pt idx="194">
                  <c:v>8.3999999999999648</c:v>
                </c:pt>
                <c:pt idx="195">
                  <c:v>8.4999999999999645</c:v>
                </c:pt>
                <c:pt idx="196">
                  <c:v>8.5999999999999641</c:v>
                </c:pt>
                <c:pt idx="197">
                  <c:v>8.6999999999999638</c:v>
                </c:pt>
                <c:pt idx="198">
                  <c:v>8.7999999999999634</c:v>
                </c:pt>
                <c:pt idx="199">
                  <c:v>8.8999999999999631</c:v>
                </c:pt>
                <c:pt idx="200">
                  <c:v>8.9999999999999627</c:v>
                </c:pt>
                <c:pt idx="201">
                  <c:v>9.0999999999999623</c:v>
                </c:pt>
                <c:pt idx="202">
                  <c:v>9.199999999999962</c:v>
                </c:pt>
                <c:pt idx="203">
                  <c:v>9.2999999999999616</c:v>
                </c:pt>
                <c:pt idx="204">
                  <c:v>9.3999999999999613</c:v>
                </c:pt>
                <c:pt idx="205">
                  <c:v>9.4999999999999609</c:v>
                </c:pt>
                <c:pt idx="206">
                  <c:v>9.5999999999999606</c:v>
                </c:pt>
                <c:pt idx="207">
                  <c:v>9.6999999999999602</c:v>
                </c:pt>
                <c:pt idx="208">
                  <c:v>9.7999999999999599</c:v>
                </c:pt>
                <c:pt idx="209">
                  <c:v>9.8999999999999595</c:v>
                </c:pt>
                <c:pt idx="210">
                  <c:v>9.9999999999999591</c:v>
                </c:pt>
                <c:pt idx="211">
                  <c:v>10.099999999999959</c:v>
                </c:pt>
                <c:pt idx="212">
                  <c:v>10.199999999999958</c:v>
                </c:pt>
                <c:pt idx="213">
                  <c:v>10.299999999999958</c:v>
                </c:pt>
                <c:pt idx="214">
                  <c:v>10.399999999999958</c:v>
                </c:pt>
                <c:pt idx="215">
                  <c:v>10.499999999999957</c:v>
                </c:pt>
                <c:pt idx="216">
                  <c:v>10.599999999999957</c:v>
                </c:pt>
                <c:pt idx="217">
                  <c:v>10.699999999999957</c:v>
                </c:pt>
                <c:pt idx="218">
                  <c:v>10.799999999999956</c:v>
                </c:pt>
                <c:pt idx="219">
                  <c:v>10.899999999999956</c:v>
                </c:pt>
                <c:pt idx="220">
                  <c:v>10.999999999999956</c:v>
                </c:pt>
              </c:numCache>
            </c:numRef>
          </c:xVal>
          <c:yVal>
            <c:numRef>
              <c:f>ArtificialTreatments!$T$21:$T$241</c:f>
              <c:numCache>
                <c:formatCode>General</c:formatCode>
                <c:ptCount val="221"/>
                <c:pt idx="0">
                  <c:v>-0.5892693540295908</c:v>
                </c:pt>
                <c:pt idx="1">
                  <c:v>-0.5892693540295908</c:v>
                </c:pt>
                <c:pt idx="2">
                  <c:v>-0.5892693540295908</c:v>
                </c:pt>
                <c:pt idx="3">
                  <c:v>-0.5892693540295908</c:v>
                </c:pt>
                <c:pt idx="4">
                  <c:v>-0.5892693540295908</c:v>
                </c:pt>
                <c:pt idx="5">
                  <c:v>-0.5892693540295908</c:v>
                </c:pt>
                <c:pt idx="6">
                  <c:v>-0.5892693540295908</c:v>
                </c:pt>
                <c:pt idx="7">
                  <c:v>-0.5892693540295908</c:v>
                </c:pt>
                <c:pt idx="8">
                  <c:v>-0.5892693540295908</c:v>
                </c:pt>
                <c:pt idx="9">
                  <c:v>-0.5892693540295908</c:v>
                </c:pt>
                <c:pt idx="10">
                  <c:v>-0.5892693540295908</c:v>
                </c:pt>
                <c:pt idx="11">
                  <c:v>-0.5892693540295908</c:v>
                </c:pt>
                <c:pt idx="12">
                  <c:v>-0.5892693540295908</c:v>
                </c:pt>
                <c:pt idx="13">
                  <c:v>-0.5892693540295908</c:v>
                </c:pt>
                <c:pt idx="14">
                  <c:v>-0.5892693540295908</c:v>
                </c:pt>
                <c:pt idx="15">
                  <c:v>-0.5892693540295908</c:v>
                </c:pt>
                <c:pt idx="16">
                  <c:v>-0.5892693540295908</c:v>
                </c:pt>
                <c:pt idx="17">
                  <c:v>-0.5892693540295908</c:v>
                </c:pt>
                <c:pt idx="18">
                  <c:v>-0.5892693540295908</c:v>
                </c:pt>
                <c:pt idx="19">
                  <c:v>-0.5892693540295908</c:v>
                </c:pt>
                <c:pt idx="20">
                  <c:v>-0.5892693540295908</c:v>
                </c:pt>
                <c:pt idx="21">
                  <c:v>-0.57609668211041831</c:v>
                </c:pt>
                <c:pt idx="22">
                  <c:v>-0.56292401019124472</c:v>
                </c:pt>
                <c:pt idx="23">
                  <c:v>-0.54975133827207112</c:v>
                </c:pt>
                <c:pt idx="24">
                  <c:v>-0.53657866635289764</c:v>
                </c:pt>
                <c:pt idx="25">
                  <c:v>-0.52340599443372404</c:v>
                </c:pt>
                <c:pt idx="26">
                  <c:v>-0.51023332251455056</c:v>
                </c:pt>
                <c:pt idx="27">
                  <c:v>-0.49706065059537696</c:v>
                </c:pt>
                <c:pt idx="28">
                  <c:v>-0.48388797867620342</c:v>
                </c:pt>
                <c:pt idx="29">
                  <c:v>-0.47071530675702988</c:v>
                </c:pt>
                <c:pt idx="30">
                  <c:v>-0.45754263483785634</c:v>
                </c:pt>
                <c:pt idx="31">
                  <c:v>-0.4443699629186828</c:v>
                </c:pt>
                <c:pt idx="32">
                  <c:v>-0.43119729099950926</c:v>
                </c:pt>
                <c:pt idx="33">
                  <c:v>-0.41802461908033572</c:v>
                </c:pt>
                <c:pt idx="34">
                  <c:v>-0.40485194716116218</c:v>
                </c:pt>
                <c:pt idx="35">
                  <c:v>-0.39167927524198864</c:v>
                </c:pt>
                <c:pt idx="36">
                  <c:v>-0.37850660332281499</c:v>
                </c:pt>
                <c:pt idx="37">
                  <c:v>-0.36533393140364145</c:v>
                </c:pt>
                <c:pt idx="38">
                  <c:v>-0.35216125948446791</c:v>
                </c:pt>
                <c:pt idx="39">
                  <c:v>-0.33898858756529443</c:v>
                </c:pt>
                <c:pt idx="40">
                  <c:v>-0.32581591564612089</c:v>
                </c:pt>
                <c:pt idx="41">
                  <c:v>-0.31264324372694735</c:v>
                </c:pt>
                <c:pt idx="42">
                  <c:v>-0.29947057180777381</c:v>
                </c:pt>
                <c:pt idx="43">
                  <c:v>-0.28629789988860022</c:v>
                </c:pt>
                <c:pt idx="44">
                  <c:v>-0.27312522796942668</c:v>
                </c:pt>
                <c:pt idx="45">
                  <c:v>-0.25995255605025314</c:v>
                </c:pt>
                <c:pt idx="46">
                  <c:v>-0.2467798841310796</c:v>
                </c:pt>
                <c:pt idx="47">
                  <c:v>-0.23360721221190606</c:v>
                </c:pt>
                <c:pt idx="48">
                  <c:v>-0.22043454029273252</c:v>
                </c:pt>
                <c:pt idx="49">
                  <c:v>-0.20726186837355903</c:v>
                </c:pt>
                <c:pt idx="50">
                  <c:v>-0.19408919645438549</c:v>
                </c:pt>
                <c:pt idx="51">
                  <c:v>-0.18091652453521201</c:v>
                </c:pt>
                <c:pt idx="52">
                  <c:v>-0.16774385261603844</c:v>
                </c:pt>
                <c:pt idx="53">
                  <c:v>-0.1545711806968649</c:v>
                </c:pt>
                <c:pt idx="54">
                  <c:v>-0.14139850877769136</c:v>
                </c:pt>
                <c:pt idx="55">
                  <c:v>-0.12822583685851785</c:v>
                </c:pt>
                <c:pt idx="56">
                  <c:v>-1.690452959566124</c:v>
                </c:pt>
                <c:pt idx="57">
                  <c:v>-0.10188049302017074</c:v>
                </c:pt>
                <c:pt idx="58">
                  <c:v>-8.8707821100997203E-2</c:v>
                </c:pt>
                <c:pt idx="59">
                  <c:v>-7.5535149181823663E-2</c:v>
                </c:pt>
                <c:pt idx="60">
                  <c:v>-6.2362477262650123E-2</c:v>
                </c:pt>
                <c:pt idx="61">
                  <c:v>-4.9189805343476584E-2</c:v>
                </c:pt>
                <c:pt idx="62">
                  <c:v>-3.6017133424303044E-2</c:v>
                </c:pt>
                <c:pt idx="63">
                  <c:v>-2.2844461505129504E-2</c:v>
                </c:pt>
                <c:pt idx="64">
                  <c:v>-9.6717895859559366E-3</c:v>
                </c:pt>
                <c:pt idx="65">
                  <c:v>3.5008823332176031E-3</c:v>
                </c:pt>
                <c:pt idx="66">
                  <c:v>1.6673554252391115E-2</c:v>
                </c:pt>
                <c:pt idx="67">
                  <c:v>2.9846226171564655E-2</c:v>
                </c:pt>
                <c:pt idx="68">
                  <c:v>4.3018898090738222E-2</c:v>
                </c:pt>
                <c:pt idx="69">
                  <c:v>5.6191570009911748E-2</c:v>
                </c:pt>
                <c:pt idx="70">
                  <c:v>6.9364241929085288E-2</c:v>
                </c:pt>
                <c:pt idx="71">
                  <c:v>8.2536913848258828E-2</c:v>
                </c:pt>
                <c:pt idx="72">
                  <c:v>9.5709585767432548E-2</c:v>
                </c:pt>
                <c:pt idx="73">
                  <c:v>0.10888225768660617</c:v>
                </c:pt>
                <c:pt idx="74">
                  <c:v>0.12205492960577971</c:v>
                </c:pt>
                <c:pt idx="75">
                  <c:v>0.13522760152495328</c:v>
                </c:pt>
                <c:pt idx="76">
                  <c:v>0.1484002734441269</c:v>
                </c:pt>
                <c:pt idx="77">
                  <c:v>0.16157294536330061</c:v>
                </c:pt>
                <c:pt idx="78">
                  <c:v>0.17474561728247415</c:v>
                </c:pt>
                <c:pt idx="79">
                  <c:v>0.18791828920164769</c:v>
                </c:pt>
                <c:pt idx="80">
                  <c:v>0.20109096112082131</c:v>
                </c:pt>
                <c:pt idx="81">
                  <c:v>0.22065331789429243</c:v>
                </c:pt>
                <c:pt idx="82">
                  <c:v>0.24021567466776511</c:v>
                </c:pt>
                <c:pt idx="83">
                  <c:v>0.25977803144123779</c:v>
                </c:pt>
                <c:pt idx="84">
                  <c:v>0.27934038821471041</c:v>
                </c:pt>
                <c:pt idx="85">
                  <c:v>0.29890274498818303</c:v>
                </c:pt>
                <c:pt idx="86">
                  <c:v>0.31846510176165571</c:v>
                </c:pt>
                <c:pt idx="87">
                  <c:v>0.33802745853512833</c:v>
                </c:pt>
                <c:pt idx="88">
                  <c:v>0.35758981530860101</c:v>
                </c:pt>
                <c:pt idx="89">
                  <c:v>0.37715217208207363</c:v>
                </c:pt>
                <c:pt idx="90">
                  <c:v>0.39671452885554637</c:v>
                </c:pt>
                <c:pt idx="91">
                  <c:v>0.41627688562901899</c:v>
                </c:pt>
                <c:pt idx="92">
                  <c:v>0.43583924240249167</c:v>
                </c:pt>
                <c:pt idx="93">
                  <c:v>0.45540159917596434</c:v>
                </c:pt>
                <c:pt idx="94">
                  <c:v>0.47496395594943691</c:v>
                </c:pt>
                <c:pt idx="95">
                  <c:v>0.49452631272290959</c:v>
                </c:pt>
                <c:pt idx="96">
                  <c:v>0.51408866949638221</c:v>
                </c:pt>
                <c:pt idx="97">
                  <c:v>0.53365102626985494</c:v>
                </c:pt>
                <c:pt idx="98">
                  <c:v>0.55321338304332757</c:v>
                </c:pt>
                <c:pt idx="99">
                  <c:v>0.57277573981680019</c:v>
                </c:pt>
                <c:pt idx="100">
                  <c:v>0.59233809659027292</c:v>
                </c:pt>
                <c:pt idx="101">
                  <c:v>0.61190045336374554</c:v>
                </c:pt>
                <c:pt idx="102">
                  <c:v>0.63146281013721817</c:v>
                </c:pt>
                <c:pt idx="103">
                  <c:v>0.65102516691069079</c:v>
                </c:pt>
                <c:pt idx="104">
                  <c:v>0.67058752368416341</c:v>
                </c:pt>
                <c:pt idx="105">
                  <c:v>0.69014988045763603</c:v>
                </c:pt>
                <c:pt idx="106">
                  <c:v>0.70971223723110866</c:v>
                </c:pt>
                <c:pt idx="107">
                  <c:v>0.72927459400458128</c:v>
                </c:pt>
                <c:pt idx="108">
                  <c:v>0.7488369507780539</c:v>
                </c:pt>
                <c:pt idx="109">
                  <c:v>0.76839930755152652</c:v>
                </c:pt>
                <c:pt idx="110">
                  <c:v>0.78796166432499926</c:v>
                </c:pt>
                <c:pt idx="111">
                  <c:v>0.80752402109847188</c:v>
                </c:pt>
                <c:pt idx="112">
                  <c:v>0.82708637787194439</c:v>
                </c:pt>
                <c:pt idx="113">
                  <c:v>0.84664873464541712</c:v>
                </c:pt>
                <c:pt idx="114">
                  <c:v>0.86621109141888986</c:v>
                </c:pt>
                <c:pt idx="115">
                  <c:v>0.88577344819236237</c:v>
                </c:pt>
                <c:pt idx="116">
                  <c:v>0.90533580496583499</c:v>
                </c:pt>
                <c:pt idx="117">
                  <c:v>0.92489816173930761</c:v>
                </c:pt>
                <c:pt idx="118">
                  <c:v>0.94446051851278034</c:v>
                </c:pt>
                <c:pt idx="119">
                  <c:v>0.96402287528625297</c:v>
                </c:pt>
                <c:pt idx="120">
                  <c:v>0.98358523205972559</c:v>
                </c:pt>
                <c:pt idx="121">
                  <c:v>1.0031475888331982</c:v>
                </c:pt>
                <c:pt idx="122">
                  <c:v>1.0227099456066708</c:v>
                </c:pt>
                <c:pt idx="123">
                  <c:v>1.0422723023801435</c:v>
                </c:pt>
                <c:pt idx="124">
                  <c:v>1.0618346591536163</c:v>
                </c:pt>
                <c:pt idx="125">
                  <c:v>1.0813970159270887</c:v>
                </c:pt>
                <c:pt idx="126">
                  <c:v>1.1009593727005615</c:v>
                </c:pt>
                <c:pt idx="127">
                  <c:v>1.1205217294740342</c:v>
                </c:pt>
                <c:pt idx="128">
                  <c:v>1.1400840862475068</c:v>
                </c:pt>
                <c:pt idx="129">
                  <c:v>1.1596464430209794</c:v>
                </c:pt>
                <c:pt idx="130">
                  <c:v>1.1792087997944523</c:v>
                </c:pt>
                <c:pt idx="131">
                  <c:v>1.1987711565679247</c:v>
                </c:pt>
                <c:pt idx="132">
                  <c:v>1.2183335133413973</c:v>
                </c:pt>
                <c:pt idx="133">
                  <c:v>1.2378958701148701</c:v>
                </c:pt>
                <c:pt idx="134">
                  <c:v>1.2574582268883427</c:v>
                </c:pt>
                <c:pt idx="135">
                  <c:v>1.2770205836618154</c:v>
                </c:pt>
                <c:pt idx="136">
                  <c:v>1.296582940435288</c:v>
                </c:pt>
                <c:pt idx="137">
                  <c:v>1.3161452972087606</c:v>
                </c:pt>
                <c:pt idx="138">
                  <c:v>1.3357076539822335</c:v>
                </c:pt>
                <c:pt idx="139">
                  <c:v>1.3552700107557059</c:v>
                </c:pt>
                <c:pt idx="140">
                  <c:v>1.3748323675291785</c:v>
                </c:pt>
                <c:pt idx="141">
                  <c:v>1.1607135727492768</c:v>
                </c:pt>
                <c:pt idx="142">
                  <c:v>0.94659477796932623</c:v>
                </c:pt>
                <c:pt idx="143">
                  <c:v>0.7324759831893759</c:v>
                </c:pt>
                <c:pt idx="144">
                  <c:v>0.51835718840942535</c:v>
                </c:pt>
                <c:pt idx="145">
                  <c:v>0.3042383936294748</c:v>
                </c:pt>
                <c:pt idx="146">
                  <c:v>9.0119598849524252E-2</c:v>
                </c:pt>
                <c:pt idx="147">
                  <c:v>-0.1239991959304263</c:v>
                </c:pt>
                <c:pt idx="148">
                  <c:v>-0.33811799071037668</c:v>
                </c:pt>
                <c:pt idx="149">
                  <c:v>-0.55223678549032729</c:v>
                </c:pt>
                <c:pt idx="150">
                  <c:v>-0.76635558027027784</c:v>
                </c:pt>
                <c:pt idx="151">
                  <c:v>-0.55546150238721714</c:v>
                </c:pt>
                <c:pt idx="152">
                  <c:v>-0.34456742450407246</c:v>
                </c:pt>
                <c:pt idx="153">
                  <c:v>-0.13367334662092789</c:v>
                </c:pt>
                <c:pt idx="154">
                  <c:v>7.7220731262216846E-2</c:v>
                </c:pt>
                <c:pt idx="155">
                  <c:v>0.28811480914536147</c:v>
                </c:pt>
                <c:pt idx="156">
                  <c:v>0.49900888702850615</c:v>
                </c:pt>
                <c:pt idx="157">
                  <c:v>0.70990296491165072</c:v>
                </c:pt>
                <c:pt idx="158">
                  <c:v>0.92079704279479546</c:v>
                </c:pt>
                <c:pt idx="159">
                  <c:v>1.1316911206779401</c:v>
                </c:pt>
                <c:pt idx="160">
                  <c:v>1.3425851985610846</c:v>
                </c:pt>
                <c:pt idx="161">
                  <c:v>1.2103119500307233</c:v>
                </c:pt>
                <c:pt idx="162">
                  <c:v>1.0780387015002828</c:v>
                </c:pt>
                <c:pt idx="163">
                  <c:v>0.94576545296984227</c:v>
                </c:pt>
                <c:pt idx="164">
                  <c:v>0.81349220443940162</c:v>
                </c:pt>
                <c:pt idx="165">
                  <c:v>0.68121895590896109</c:v>
                </c:pt>
                <c:pt idx="166">
                  <c:v>0.54894570737852033</c:v>
                </c:pt>
                <c:pt idx="167">
                  <c:v>0.4166724588480798</c:v>
                </c:pt>
                <c:pt idx="168">
                  <c:v>0.28439921031763921</c:v>
                </c:pt>
                <c:pt idx="169">
                  <c:v>0.15212596178719862</c:v>
                </c:pt>
                <c:pt idx="170">
                  <c:v>1.9852713256722776E-2</c:v>
                </c:pt>
                <c:pt idx="171">
                  <c:v>1.9852713256722776E-2</c:v>
                </c:pt>
                <c:pt idx="172">
                  <c:v>1.9852713256722776E-2</c:v>
                </c:pt>
                <c:pt idx="173">
                  <c:v>1.9852713256722776E-2</c:v>
                </c:pt>
                <c:pt idx="174">
                  <c:v>1.9852713256722776E-2</c:v>
                </c:pt>
                <c:pt idx="175">
                  <c:v>1.9852713256722776E-2</c:v>
                </c:pt>
                <c:pt idx="176">
                  <c:v>1.9852713256722776E-2</c:v>
                </c:pt>
                <c:pt idx="177">
                  <c:v>1.9852713256722776E-2</c:v>
                </c:pt>
                <c:pt idx="178">
                  <c:v>1.9852713256722776E-2</c:v>
                </c:pt>
                <c:pt idx="179">
                  <c:v>1.9852713256722776E-2</c:v>
                </c:pt>
                <c:pt idx="180">
                  <c:v>1.9852713256722776E-2</c:v>
                </c:pt>
                <c:pt idx="181">
                  <c:v>1.9852713256722776E-2</c:v>
                </c:pt>
                <c:pt idx="182">
                  <c:v>1.9852713256722776E-2</c:v>
                </c:pt>
                <c:pt idx="183">
                  <c:v>1.9852713256722776E-2</c:v>
                </c:pt>
                <c:pt idx="184">
                  <c:v>1.9852713256722776E-2</c:v>
                </c:pt>
                <c:pt idx="185">
                  <c:v>1.9852713256722776E-2</c:v>
                </c:pt>
                <c:pt idx="186">
                  <c:v>1.9852713256722776E-2</c:v>
                </c:pt>
                <c:pt idx="187">
                  <c:v>1.9852713256722776E-2</c:v>
                </c:pt>
                <c:pt idx="188">
                  <c:v>1.9852713256722776E-2</c:v>
                </c:pt>
                <c:pt idx="189">
                  <c:v>1.9852713256722776E-2</c:v>
                </c:pt>
                <c:pt idx="190">
                  <c:v>1.9852713256722776E-2</c:v>
                </c:pt>
                <c:pt idx="191">
                  <c:v>1.9852713256722776E-2</c:v>
                </c:pt>
                <c:pt idx="192">
                  <c:v>1.9852713256722776E-2</c:v>
                </c:pt>
                <c:pt idx="193">
                  <c:v>1.9852713256722776E-2</c:v>
                </c:pt>
                <c:pt idx="194">
                  <c:v>1.9852713256722776E-2</c:v>
                </c:pt>
                <c:pt idx="195">
                  <c:v>1.9852713256722776E-2</c:v>
                </c:pt>
                <c:pt idx="196">
                  <c:v>1.9852713256722776E-2</c:v>
                </c:pt>
                <c:pt idx="197">
                  <c:v>1.9852713256722776E-2</c:v>
                </c:pt>
                <c:pt idx="198">
                  <c:v>1.9852713256722776E-2</c:v>
                </c:pt>
                <c:pt idx="199">
                  <c:v>1.9852713256722776E-2</c:v>
                </c:pt>
                <c:pt idx="200">
                  <c:v>1.9852713256722776E-2</c:v>
                </c:pt>
                <c:pt idx="201">
                  <c:v>1.9852713256722776E-2</c:v>
                </c:pt>
                <c:pt idx="202">
                  <c:v>1.9852713256722776E-2</c:v>
                </c:pt>
                <c:pt idx="203">
                  <c:v>1.9852713256722776E-2</c:v>
                </c:pt>
                <c:pt idx="204">
                  <c:v>1.9852713256722776E-2</c:v>
                </c:pt>
                <c:pt idx="205">
                  <c:v>1.9852713256722776E-2</c:v>
                </c:pt>
                <c:pt idx="206">
                  <c:v>1.9852713256722776E-2</c:v>
                </c:pt>
                <c:pt idx="207">
                  <c:v>1.9852713256722776E-2</c:v>
                </c:pt>
                <c:pt idx="208">
                  <c:v>-1.690452959566124</c:v>
                </c:pt>
                <c:pt idx="209">
                  <c:v>-1.690452959566124</c:v>
                </c:pt>
                <c:pt idx="210">
                  <c:v>-1.690452959566124</c:v>
                </c:pt>
                <c:pt idx="211">
                  <c:v>-1.690452959566124</c:v>
                </c:pt>
                <c:pt idx="212">
                  <c:v>-1.690452959566124</c:v>
                </c:pt>
                <c:pt idx="213">
                  <c:v>-1.690452959566124</c:v>
                </c:pt>
                <c:pt idx="214">
                  <c:v>-1.690452959566124</c:v>
                </c:pt>
                <c:pt idx="215">
                  <c:v>-1.690452959566124</c:v>
                </c:pt>
                <c:pt idx="216">
                  <c:v>-1.690452959566124</c:v>
                </c:pt>
                <c:pt idx="217">
                  <c:v>-1.690452959566124</c:v>
                </c:pt>
                <c:pt idx="218">
                  <c:v>-1.690452959566124</c:v>
                </c:pt>
                <c:pt idx="219">
                  <c:v>-1.690452959566124</c:v>
                </c:pt>
                <c:pt idx="220">
                  <c:v>-1.690452959566124</c:v>
                </c:pt>
              </c:numCache>
            </c:numRef>
          </c:yVal>
          <c:smooth val="0"/>
          <c:extLst>
            <c:ext xmlns:c16="http://schemas.microsoft.com/office/drawing/2014/chart" uri="{C3380CC4-5D6E-409C-BE32-E72D297353CC}">
              <c16:uniqueId val="{00000002-EDB6-4D34-8790-930E2059F474}"/>
            </c:ext>
          </c:extLst>
        </c:ser>
        <c:ser>
          <c:idx val="3"/>
          <c:order val="3"/>
          <c:tx>
            <c:strRef>
              <c:f>ArtificialTreatments!$U$20</c:f>
              <c:strCache>
                <c:ptCount val="1"/>
                <c:pt idx="0">
                  <c:v>Score4</c:v>
                </c:pt>
              </c:strCache>
            </c:strRef>
          </c:tx>
          <c:spPr>
            <a:ln w="19050" cap="rnd">
              <a:solidFill>
                <a:schemeClr val="accent4"/>
              </a:solidFill>
              <a:round/>
            </a:ln>
            <a:effectLst/>
          </c:spPr>
          <c:marker>
            <c:symbol val="none"/>
          </c:marker>
          <c:xVal>
            <c:numRef>
              <c:f>ArtificialTreatments!$B$21:$B$241</c:f>
              <c:numCache>
                <c:formatCode>General</c:formatCode>
                <c:ptCount val="221"/>
                <c:pt idx="0">
                  <c:v>-11</c:v>
                </c:pt>
                <c:pt idx="1">
                  <c:v>-10.9</c:v>
                </c:pt>
                <c:pt idx="2">
                  <c:v>-10.8</c:v>
                </c:pt>
                <c:pt idx="3">
                  <c:v>-10.700000000000001</c:v>
                </c:pt>
                <c:pt idx="4">
                  <c:v>-10.600000000000001</c:v>
                </c:pt>
                <c:pt idx="5">
                  <c:v>-10.500000000000002</c:v>
                </c:pt>
                <c:pt idx="6">
                  <c:v>-10.400000000000002</c:v>
                </c:pt>
                <c:pt idx="7">
                  <c:v>-10.300000000000002</c:v>
                </c:pt>
                <c:pt idx="8">
                  <c:v>-10.200000000000003</c:v>
                </c:pt>
                <c:pt idx="9">
                  <c:v>-10.100000000000003</c:v>
                </c:pt>
                <c:pt idx="10">
                  <c:v>-10.000000000000004</c:v>
                </c:pt>
                <c:pt idx="11">
                  <c:v>-9.9000000000000039</c:v>
                </c:pt>
                <c:pt idx="12">
                  <c:v>-9.8000000000000043</c:v>
                </c:pt>
                <c:pt idx="13">
                  <c:v>-9.7000000000000046</c:v>
                </c:pt>
                <c:pt idx="14">
                  <c:v>-9.600000000000005</c:v>
                </c:pt>
                <c:pt idx="15">
                  <c:v>-9.5000000000000053</c:v>
                </c:pt>
                <c:pt idx="16">
                  <c:v>-9.4000000000000057</c:v>
                </c:pt>
                <c:pt idx="17">
                  <c:v>-9.300000000000006</c:v>
                </c:pt>
                <c:pt idx="18">
                  <c:v>-9.2000000000000064</c:v>
                </c:pt>
                <c:pt idx="19">
                  <c:v>-9.1000000000000068</c:v>
                </c:pt>
                <c:pt idx="20">
                  <c:v>-9.0000000000000071</c:v>
                </c:pt>
                <c:pt idx="21">
                  <c:v>-8.9000000000000075</c:v>
                </c:pt>
                <c:pt idx="22">
                  <c:v>-8.8000000000000078</c:v>
                </c:pt>
                <c:pt idx="23">
                  <c:v>-8.7000000000000082</c:v>
                </c:pt>
                <c:pt idx="24">
                  <c:v>-8.6000000000000085</c:v>
                </c:pt>
                <c:pt idx="25">
                  <c:v>-8.5000000000000089</c:v>
                </c:pt>
                <c:pt idx="26">
                  <c:v>-8.4000000000000092</c:v>
                </c:pt>
                <c:pt idx="27">
                  <c:v>-8.3000000000000096</c:v>
                </c:pt>
                <c:pt idx="28">
                  <c:v>-8.2000000000000099</c:v>
                </c:pt>
                <c:pt idx="29">
                  <c:v>-8.1000000000000103</c:v>
                </c:pt>
                <c:pt idx="30">
                  <c:v>-8.0000000000000107</c:v>
                </c:pt>
                <c:pt idx="31">
                  <c:v>-7.900000000000011</c:v>
                </c:pt>
                <c:pt idx="32">
                  <c:v>-7.8000000000000114</c:v>
                </c:pt>
                <c:pt idx="33">
                  <c:v>-7.7000000000000117</c:v>
                </c:pt>
                <c:pt idx="34">
                  <c:v>-7.6000000000000121</c:v>
                </c:pt>
                <c:pt idx="35">
                  <c:v>-7.5000000000000124</c:v>
                </c:pt>
                <c:pt idx="36">
                  <c:v>-7.4000000000000128</c:v>
                </c:pt>
                <c:pt idx="37">
                  <c:v>-7.3000000000000131</c:v>
                </c:pt>
                <c:pt idx="38">
                  <c:v>-7.2000000000000135</c:v>
                </c:pt>
                <c:pt idx="39">
                  <c:v>-7.1000000000000139</c:v>
                </c:pt>
                <c:pt idx="40">
                  <c:v>-7.0000000000000142</c:v>
                </c:pt>
                <c:pt idx="41">
                  <c:v>-6.9000000000000146</c:v>
                </c:pt>
                <c:pt idx="42">
                  <c:v>-6.8000000000000149</c:v>
                </c:pt>
                <c:pt idx="43">
                  <c:v>-6.7000000000000153</c:v>
                </c:pt>
                <c:pt idx="44">
                  <c:v>-6.6000000000000156</c:v>
                </c:pt>
                <c:pt idx="45">
                  <c:v>-6.500000000000016</c:v>
                </c:pt>
                <c:pt idx="46">
                  <c:v>-6.4000000000000163</c:v>
                </c:pt>
                <c:pt idx="47">
                  <c:v>-6.3000000000000167</c:v>
                </c:pt>
                <c:pt idx="48">
                  <c:v>-6.2000000000000171</c:v>
                </c:pt>
                <c:pt idx="49">
                  <c:v>-6.1000000000000174</c:v>
                </c:pt>
                <c:pt idx="50">
                  <c:v>-6.0000000000000178</c:v>
                </c:pt>
                <c:pt idx="51">
                  <c:v>-5.9000000000000181</c:v>
                </c:pt>
                <c:pt idx="52">
                  <c:v>-5.8000000000000185</c:v>
                </c:pt>
                <c:pt idx="53">
                  <c:v>-5.7000000000000188</c:v>
                </c:pt>
                <c:pt idx="54">
                  <c:v>-5.6000000000000192</c:v>
                </c:pt>
                <c:pt idx="55">
                  <c:v>-5.5000000000000195</c:v>
                </c:pt>
                <c:pt idx="56">
                  <c:v>-5.4000000000000199</c:v>
                </c:pt>
                <c:pt idx="57">
                  <c:v>-5.3000000000000203</c:v>
                </c:pt>
                <c:pt idx="58">
                  <c:v>-5.2000000000000206</c:v>
                </c:pt>
                <c:pt idx="59">
                  <c:v>-5.100000000000021</c:v>
                </c:pt>
                <c:pt idx="60">
                  <c:v>-5.0000000000000213</c:v>
                </c:pt>
                <c:pt idx="61">
                  <c:v>-4.9000000000000217</c:v>
                </c:pt>
                <c:pt idx="62">
                  <c:v>-4.800000000000022</c:v>
                </c:pt>
                <c:pt idx="63">
                  <c:v>-4.7000000000000224</c:v>
                </c:pt>
                <c:pt idx="64">
                  <c:v>-4.6000000000000227</c:v>
                </c:pt>
                <c:pt idx="65">
                  <c:v>-4.5000000000000231</c:v>
                </c:pt>
                <c:pt idx="66">
                  <c:v>-4.4000000000000234</c:v>
                </c:pt>
                <c:pt idx="67">
                  <c:v>-4.3000000000000238</c:v>
                </c:pt>
                <c:pt idx="68">
                  <c:v>-4.2000000000000242</c:v>
                </c:pt>
                <c:pt idx="69">
                  <c:v>-4.1000000000000245</c:v>
                </c:pt>
                <c:pt idx="70">
                  <c:v>-4.0000000000000249</c:v>
                </c:pt>
                <c:pt idx="71">
                  <c:v>-3.9000000000000248</c:v>
                </c:pt>
                <c:pt idx="72">
                  <c:v>-3.8000000000000247</c:v>
                </c:pt>
                <c:pt idx="73">
                  <c:v>-3.7000000000000246</c:v>
                </c:pt>
                <c:pt idx="74">
                  <c:v>-3.6000000000000245</c:v>
                </c:pt>
                <c:pt idx="75">
                  <c:v>-3.5000000000000244</c:v>
                </c:pt>
                <c:pt idx="76">
                  <c:v>-3.4000000000000243</c:v>
                </c:pt>
                <c:pt idx="77">
                  <c:v>-3.3000000000000242</c:v>
                </c:pt>
                <c:pt idx="78">
                  <c:v>-3.2000000000000242</c:v>
                </c:pt>
                <c:pt idx="79">
                  <c:v>-3.1000000000000241</c:v>
                </c:pt>
                <c:pt idx="80">
                  <c:v>-3.000000000000024</c:v>
                </c:pt>
                <c:pt idx="81">
                  <c:v>-2.9000000000000239</c:v>
                </c:pt>
                <c:pt idx="82">
                  <c:v>-2.8000000000000238</c:v>
                </c:pt>
                <c:pt idx="83">
                  <c:v>-2.7000000000000237</c:v>
                </c:pt>
                <c:pt idx="84">
                  <c:v>-2.6000000000000236</c:v>
                </c:pt>
                <c:pt idx="85">
                  <c:v>-2.5000000000000235</c:v>
                </c:pt>
                <c:pt idx="86">
                  <c:v>-2.4000000000000234</c:v>
                </c:pt>
                <c:pt idx="87">
                  <c:v>-2.3000000000000234</c:v>
                </c:pt>
                <c:pt idx="88">
                  <c:v>-2.2000000000000233</c:v>
                </c:pt>
                <c:pt idx="89">
                  <c:v>-2.1000000000000232</c:v>
                </c:pt>
                <c:pt idx="90">
                  <c:v>-2.0000000000000231</c:v>
                </c:pt>
                <c:pt idx="91">
                  <c:v>-1.900000000000023</c:v>
                </c:pt>
                <c:pt idx="92">
                  <c:v>-1.8000000000000229</c:v>
                </c:pt>
                <c:pt idx="93">
                  <c:v>-1.7000000000000228</c:v>
                </c:pt>
                <c:pt idx="94">
                  <c:v>-1.6000000000000227</c:v>
                </c:pt>
                <c:pt idx="95">
                  <c:v>-1.5000000000000226</c:v>
                </c:pt>
                <c:pt idx="96">
                  <c:v>-1.4000000000000226</c:v>
                </c:pt>
                <c:pt idx="97">
                  <c:v>-1.3000000000000225</c:v>
                </c:pt>
                <c:pt idx="98">
                  <c:v>-1.2000000000000224</c:v>
                </c:pt>
                <c:pt idx="99">
                  <c:v>-1.1000000000000223</c:v>
                </c:pt>
                <c:pt idx="100">
                  <c:v>-1.0000000000000222</c:v>
                </c:pt>
                <c:pt idx="101">
                  <c:v>-0.90000000000002223</c:v>
                </c:pt>
                <c:pt idx="102">
                  <c:v>-0.80000000000002225</c:v>
                </c:pt>
                <c:pt idx="103">
                  <c:v>-0.70000000000002227</c:v>
                </c:pt>
                <c:pt idx="104">
                  <c:v>-0.60000000000002229</c:v>
                </c:pt>
                <c:pt idx="105">
                  <c:v>-0.50000000000002232</c:v>
                </c:pt>
                <c:pt idx="106">
                  <c:v>-0.40000000000002234</c:v>
                </c:pt>
                <c:pt idx="107">
                  <c:v>-0.30000000000002236</c:v>
                </c:pt>
                <c:pt idx="108">
                  <c:v>-0.20000000000002235</c:v>
                </c:pt>
                <c:pt idx="109">
                  <c:v>-0.10000000000002235</c:v>
                </c:pt>
                <c:pt idx="110">
                  <c:v>-2.2343238370581275E-14</c:v>
                </c:pt>
                <c:pt idx="111">
                  <c:v>9.9999999999977662E-2</c:v>
                </c:pt>
                <c:pt idx="112">
                  <c:v>0.19999999999997767</c:v>
                </c:pt>
                <c:pt idx="113">
                  <c:v>0.29999999999997767</c:v>
                </c:pt>
                <c:pt idx="114">
                  <c:v>0.39999999999997771</c:v>
                </c:pt>
                <c:pt idx="115">
                  <c:v>0.49999999999997768</c:v>
                </c:pt>
                <c:pt idx="116">
                  <c:v>0.59999999999997766</c:v>
                </c:pt>
                <c:pt idx="117">
                  <c:v>0.69999999999997764</c:v>
                </c:pt>
                <c:pt idx="118">
                  <c:v>0.79999999999997762</c:v>
                </c:pt>
                <c:pt idx="119">
                  <c:v>0.8999999999999776</c:v>
                </c:pt>
                <c:pt idx="120">
                  <c:v>0.99999999999997757</c:v>
                </c:pt>
                <c:pt idx="121">
                  <c:v>1.0999999999999777</c:v>
                </c:pt>
                <c:pt idx="122">
                  <c:v>1.1999999999999778</c:v>
                </c:pt>
                <c:pt idx="123">
                  <c:v>1.2999999999999778</c:v>
                </c:pt>
                <c:pt idx="124">
                  <c:v>1.3999999999999779</c:v>
                </c:pt>
                <c:pt idx="125">
                  <c:v>1.499999999999978</c:v>
                </c:pt>
                <c:pt idx="126">
                  <c:v>1.5999999999999781</c:v>
                </c:pt>
                <c:pt idx="127">
                  <c:v>1.6999999999999782</c:v>
                </c:pt>
                <c:pt idx="128">
                  <c:v>1.7999999999999783</c:v>
                </c:pt>
                <c:pt idx="129">
                  <c:v>1.8999999999999784</c:v>
                </c:pt>
                <c:pt idx="130">
                  <c:v>1.9999999999999785</c:v>
                </c:pt>
                <c:pt idx="131">
                  <c:v>2.0999999999999783</c:v>
                </c:pt>
                <c:pt idx="132">
                  <c:v>2.1999999999999784</c:v>
                </c:pt>
                <c:pt idx="133">
                  <c:v>2.2999999999999785</c:v>
                </c:pt>
                <c:pt idx="134">
                  <c:v>2.3999999999999786</c:v>
                </c:pt>
                <c:pt idx="135">
                  <c:v>2.4999999999999787</c:v>
                </c:pt>
                <c:pt idx="136">
                  <c:v>2.5999999999999788</c:v>
                </c:pt>
                <c:pt idx="137">
                  <c:v>2.6999999999999789</c:v>
                </c:pt>
                <c:pt idx="138">
                  <c:v>2.799999999999979</c:v>
                </c:pt>
                <c:pt idx="139">
                  <c:v>2.899999999999979</c:v>
                </c:pt>
                <c:pt idx="140">
                  <c:v>2.9999999999999791</c:v>
                </c:pt>
                <c:pt idx="141">
                  <c:v>3.0999999999999792</c:v>
                </c:pt>
                <c:pt idx="142">
                  <c:v>3.1999999999999793</c:v>
                </c:pt>
                <c:pt idx="143">
                  <c:v>3.2999999999999794</c:v>
                </c:pt>
                <c:pt idx="144">
                  <c:v>3.3999999999999795</c:v>
                </c:pt>
                <c:pt idx="145">
                  <c:v>3.4999999999999796</c:v>
                </c:pt>
                <c:pt idx="146">
                  <c:v>3.5999999999999797</c:v>
                </c:pt>
                <c:pt idx="147">
                  <c:v>3.6999999999999797</c:v>
                </c:pt>
                <c:pt idx="148">
                  <c:v>3.7999999999999798</c:v>
                </c:pt>
                <c:pt idx="149">
                  <c:v>3.8999999999999799</c:v>
                </c:pt>
                <c:pt idx="150">
                  <c:v>3.99999999999998</c:v>
                </c:pt>
                <c:pt idx="151">
                  <c:v>4.0999999999999801</c:v>
                </c:pt>
                <c:pt idx="152">
                  <c:v>4.1999999999999797</c:v>
                </c:pt>
                <c:pt idx="153">
                  <c:v>4.2999999999999794</c:v>
                </c:pt>
                <c:pt idx="154">
                  <c:v>4.399999999999979</c:v>
                </c:pt>
                <c:pt idx="155">
                  <c:v>4.4999999999999787</c:v>
                </c:pt>
                <c:pt idx="156">
                  <c:v>4.5999999999999783</c:v>
                </c:pt>
                <c:pt idx="157">
                  <c:v>4.699999999999978</c:v>
                </c:pt>
                <c:pt idx="158">
                  <c:v>4.7999999999999776</c:v>
                </c:pt>
                <c:pt idx="159">
                  <c:v>4.8999999999999773</c:v>
                </c:pt>
                <c:pt idx="160">
                  <c:v>4.9999999999999769</c:v>
                </c:pt>
                <c:pt idx="161">
                  <c:v>5.0999999999999766</c:v>
                </c:pt>
                <c:pt idx="162">
                  <c:v>5.1999999999999762</c:v>
                </c:pt>
                <c:pt idx="163">
                  <c:v>5.2999999999999758</c:v>
                </c:pt>
                <c:pt idx="164">
                  <c:v>5.3999999999999755</c:v>
                </c:pt>
                <c:pt idx="165">
                  <c:v>5.4999999999999751</c:v>
                </c:pt>
                <c:pt idx="166">
                  <c:v>5.5999999999999748</c:v>
                </c:pt>
                <c:pt idx="167">
                  <c:v>5.6999999999999744</c:v>
                </c:pt>
                <c:pt idx="168">
                  <c:v>5.7999999999999741</c:v>
                </c:pt>
                <c:pt idx="169">
                  <c:v>5.8999999999999737</c:v>
                </c:pt>
                <c:pt idx="170">
                  <c:v>5.9999999999999734</c:v>
                </c:pt>
                <c:pt idx="171">
                  <c:v>6.099999999999973</c:v>
                </c:pt>
                <c:pt idx="172">
                  <c:v>6.1999999999999726</c:v>
                </c:pt>
                <c:pt idx="173">
                  <c:v>6.2999999999999723</c:v>
                </c:pt>
                <c:pt idx="174">
                  <c:v>6.3999999999999719</c:v>
                </c:pt>
                <c:pt idx="175">
                  <c:v>6.4999999999999716</c:v>
                </c:pt>
                <c:pt idx="176">
                  <c:v>6.5999999999999712</c:v>
                </c:pt>
                <c:pt idx="177">
                  <c:v>6.6999999999999709</c:v>
                </c:pt>
                <c:pt idx="178">
                  <c:v>6.7999999999999705</c:v>
                </c:pt>
                <c:pt idx="179">
                  <c:v>6.8999999999999702</c:v>
                </c:pt>
                <c:pt idx="180">
                  <c:v>6.9999999999999698</c:v>
                </c:pt>
                <c:pt idx="181">
                  <c:v>7.0999999999999694</c:v>
                </c:pt>
                <c:pt idx="182">
                  <c:v>7.1999999999999691</c:v>
                </c:pt>
                <c:pt idx="183">
                  <c:v>7.2999999999999687</c:v>
                </c:pt>
                <c:pt idx="184">
                  <c:v>7.3999999999999684</c:v>
                </c:pt>
                <c:pt idx="185">
                  <c:v>7.499999999999968</c:v>
                </c:pt>
                <c:pt idx="186">
                  <c:v>7.5999999999999677</c:v>
                </c:pt>
                <c:pt idx="187">
                  <c:v>7.6999999999999673</c:v>
                </c:pt>
                <c:pt idx="188">
                  <c:v>7.799999999999967</c:v>
                </c:pt>
                <c:pt idx="189">
                  <c:v>7.8999999999999666</c:v>
                </c:pt>
                <c:pt idx="190">
                  <c:v>7.9999999999999662</c:v>
                </c:pt>
                <c:pt idx="191">
                  <c:v>8.0999999999999659</c:v>
                </c:pt>
                <c:pt idx="192">
                  <c:v>8.1999999999999655</c:v>
                </c:pt>
                <c:pt idx="193">
                  <c:v>8.2999999999999652</c:v>
                </c:pt>
                <c:pt idx="194">
                  <c:v>8.3999999999999648</c:v>
                </c:pt>
                <c:pt idx="195">
                  <c:v>8.4999999999999645</c:v>
                </c:pt>
                <c:pt idx="196">
                  <c:v>8.5999999999999641</c:v>
                </c:pt>
                <c:pt idx="197">
                  <c:v>8.6999999999999638</c:v>
                </c:pt>
                <c:pt idx="198">
                  <c:v>8.7999999999999634</c:v>
                </c:pt>
                <c:pt idx="199">
                  <c:v>8.8999999999999631</c:v>
                </c:pt>
                <c:pt idx="200">
                  <c:v>8.9999999999999627</c:v>
                </c:pt>
                <c:pt idx="201">
                  <c:v>9.0999999999999623</c:v>
                </c:pt>
                <c:pt idx="202">
                  <c:v>9.199999999999962</c:v>
                </c:pt>
                <c:pt idx="203">
                  <c:v>9.2999999999999616</c:v>
                </c:pt>
                <c:pt idx="204">
                  <c:v>9.3999999999999613</c:v>
                </c:pt>
                <c:pt idx="205">
                  <c:v>9.4999999999999609</c:v>
                </c:pt>
                <c:pt idx="206">
                  <c:v>9.5999999999999606</c:v>
                </c:pt>
                <c:pt idx="207">
                  <c:v>9.6999999999999602</c:v>
                </c:pt>
                <c:pt idx="208">
                  <c:v>9.7999999999999599</c:v>
                </c:pt>
                <c:pt idx="209">
                  <c:v>9.8999999999999595</c:v>
                </c:pt>
                <c:pt idx="210">
                  <c:v>9.9999999999999591</c:v>
                </c:pt>
                <c:pt idx="211">
                  <c:v>10.099999999999959</c:v>
                </c:pt>
                <c:pt idx="212">
                  <c:v>10.199999999999958</c:v>
                </c:pt>
                <c:pt idx="213">
                  <c:v>10.299999999999958</c:v>
                </c:pt>
                <c:pt idx="214">
                  <c:v>10.399999999999958</c:v>
                </c:pt>
                <c:pt idx="215">
                  <c:v>10.499999999999957</c:v>
                </c:pt>
                <c:pt idx="216">
                  <c:v>10.599999999999957</c:v>
                </c:pt>
                <c:pt idx="217">
                  <c:v>10.699999999999957</c:v>
                </c:pt>
                <c:pt idx="218">
                  <c:v>10.799999999999956</c:v>
                </c:pt>
                <c:pt idx="219">
                  <c:v>10.899999999999956</c:v>
                </c:pt>
                <c:pt idx="220">
                  <c:v>10.999999999999956</c:v>
                </c:pt>
              </c:numCache>
            </c:numRef>
          </c:xVal>
          <c:yVal>
            <c:numRef>
              <c:f>ArtificialTreatments!$U$21:$U$241</c:f>
              <c:numCache>
                <c:formatCode>General</c:formatCode>
                <c:ptCount val="221"/>
                <c:pt idx="0">
                  <c:v>1.8615905052425772</c:v>
                </c:pt>
                <c:pt idx="1">
                  <c:v>1.8615905052425772</c:v>
                </c:pt>
                <c:pt idx="2">
                  <c:v>1.8615905052425772</c:v>
                </c:pt>
                <c:pt idx="3">
                  <c:v>1.8615905052425772</c:v>
                </c:pt>
                <c:pt idx="4">
                  <c:v>1.8615905052425772</c:v>
                </c:pt>
                <c:pt idx="5">
                  <c:v>1.8615905052425772</c:v>
                </c:pt>
                <c:pt idx="6">
                  <c:v>1.8615905052425772</c:v>
                </c:pt>
                <c:pt idx="7">
                  <c:v>1.8615905052425772</c:v>
                </c:pt>
                <c:pt idx="8">
                  <c:v>1.8615905052425772</c:v>
                </c:pt>
                <c:pt idx="9">
                  <c:v>1.8615905052425772</c:v>
                </c:pt>
                <c:pt idx="10">
                  <c:v>1.8615905052425772</c:v>
                </c:pt>
                <c:pt idx="11">
                  <c:v>1.8615905052425772</c:v>
                </c:pt>
                <c:pt idx="12">
                  <c:v>1.8615905052425772</c:v>
                </c:pt>
                <c:pt idx="13">
                  <c:v>1.8615905052425772</c:v>
                </c:pt>
                <c:pt idx="14">
                  <c:v>1.8615905052425772</c:v>
                </c:pt>
                <c:pt idx="15">
                  <c:v>1.8615905052425772</c:v>
                </c:pt>
                <c:pt idx="16">
                  <c:v>1.8615905052425772</c:v>
                </c:pt>
                <c:pt idx="17">
                  <c:v>1.8615905052425772</c:v>
                </c:pt>
                <c:pt idx="18">
                  <c:v>1.8615905052425772</c:v>
                </c:pt>
                <c:pt idx="19">
                  <c:v>1.8615905052425772</c:v>
                </c:pt>
                <c:pt idx="20">
                  <c:v>1.8615905052425772</c:v>
                </c:pt>
                <c:pt idx="21">
                  <c:v>1.8352066142551064</c:v>
                </c:pt>
                <c:pt idx="22">
                  <c:v>1.8088227232676339</c:v>
                </c:pt>
                <c:pt idx="23">
                  <c:v>1.7824388322801616</c:v>
                </c:pt>
                <c:pt idx="24">
                  <c:v>1.7560549412926889</c:v>
                </c:pt>
                <c:pt idx="25">
                  <c:v>1.7296710503052164</c:v>
                </c:pt>
                <c:pt idx="26">
                  <c:v>1.7032871593177439</c:v>
                </c:pt>
                <c:pt idx="27">
                  <c:v>1.6769032683302711</c:v>
                </c:pt>
                <c:pt idx="28">
                  <c:v>1.6505193773427986</c:v>
                </c:pt>
                <c:pt idx="29">
                  <c:v>1.6241354863553261</c:v>
                </c:pt>
                <c:pt idx="30">
                  <c:v>1.5977515953678534</c:v>
                </c:pt>
                <c:pt idx="31">
                  <c:v>1.5713677043803809</c:v>
                </c:pt>
                <c:pt idx="32">
                  <c:v>1.5449838133929084</c:v>
                </c:pt>
                <c:pt idx="33">
                  <c:v>1.5185999224054356</c:v>
                </c:pt>
                <c:pt idx="34">
                  <c:v>1.4922160314179633</c:v>
                </c:pt>
                <c:pt idx="35">
                  <c:v>1.4658321404304908</c:v>
                </c:pt>
                <c:pt idx="36">
                  <c:v>1.4394482494430181</c:v>
                </c:pt>
                <c:pt idx="37">
                  <c:v>1.4130643584555453</c:v>
                </c:pt>
                <c:pt idx="38">
                  <c:v>1.3866804674680728</c:v>
                </c:pt>
                <c:pt idx="39">
                  <c:v>1.3602965764806003</c:v>
                </c:pt>
                <c:pt idx="40">
                  <c:v>1.3339126854931276</c:v>
                </c:pt>
                <c:pt idx="41">
                  <c:v>1.3075287945056551</c:v>
                </c:pt>
                <c:pt idx="42">
                  <c:v>1.2811449035181826</c:v>
                </c:pt>
                <c:pt idx="43">
                  <c:v>1.25476101253071</c:v>
                </c:pt>
                <c:pt idx="44">
                  <c:v>1.2283771215432375</c:v>
                </c:pt>
                <c:pt idx="45">
                  <c:v>1.201993230555765</c:v>
                </c:pt>
                <c:pt idx="46">
                  <c:v>1.1756093395682925</c:v>
                </c:pt>
                <c:pt idx="47">
                  <c:v>1.1492254485808198</c:v>
                </c:pt>
                <c:pt idx="48">
                  <c:v>1.1228415575933473</c:v>
                </c:pt>
                <c:pt idx="49">
                  <c:v>1.0964576666058747</c:v>
                </c:pt>
                <c:pt idx="50">
                  <c:v>1.070073775618402</c:v>
                </c:pt>
                <c:pt idx="51">
                  <c:v>1.0436898846309297</c:v>
                </c:pt>
                <c:pt idx="52">
                  <c:v>1.0173059936434572</c:v>
                </c:pt>
                <c:pt idx="53">
                  <c:v>0.99092210265598468</c:v>
                </c:pt>
                <c:pt idx="54">
                  <c:v>0.96453821166851206</c:v>
                </c:pt>
                <c:pt idx="55">
                  <c:v>0.93815432068103943</c:v>
                </c:pt>
                <c:pt idx="56">
                  <c:v>-1.5661622548268799</c:v>
                </c:pt>
                <c:pt idx="57">
                  <c:v>0.88538653870609441</c:v>
                </c:pt>
                <c:pt idx="58">
                  <c:v>0.85900264771862189</c:v>
                </c:pt>
                <c:pt idx="59">
                  <c:v>0.83261875673114927</c:v>
                </c:pt>
                <c:pt idx="60">
                  <c:v>0.80623486574367664</c:v>
                </c:pt>
                <c:pt idx="61">
                  <c:v>0.77985097475620413</c:v>
                </c:pt>
                <c:pt idx="62">
                  <c:v>0.75346708376873162</c:v>
                </c:pt>
                <c:pt idx="63">
                  <c:v>0.7270831927812591</c:v>
                </c:pt>
                <c:pt idx="64">
                  <c:v>0.70069930179378648</c:v>
                </c:pt>
                <c:pt idx="65">
                  <c:v>0.67431541080631385</c:v>
                </c:pt>
                <c:pt idx="66">
                  <c:v>0.64793151981884134</c:v>
                </c:pt>
                <c:pt idx="67">
                  <c:v>0.62154762883136883</c:v>
                </c:pt>
                <c:pt idx="68">
                  <c:v>0.5951637378438962</c:v>
                </c:pt>
                <c:pt idx="69">
                  <c:v>0.56877984685642369</c:v>
                </c:pt>
                <c:pt idx="70">
                  <c:v>0.54239595586895106</c:v>
                </c:pt>
                <c:pt idx="71">
                  <c:v>0.51601206488147855</c:v>
                </c:pt>
                <c:pt idx="72">
                  <c:v>0.48962817389400559</c:v>
                </c:pt>
                <c:pt idx="73">
                  <c:v>0.46324428290653286</c:v>
                </c:pt>
                <c:pt idx="74">
                  <c:v>0.43686039191906034</c:v>
                </c:pt>
                <c:pt idx="75">
                  <c:v>0.41047650093158777</c:v>
                </c:pt>
                <c:pt idx="76">
                  <c:v>0.38409260994411504</c:v>
                </c:pt>
                <c:pt idx="77">
                  <c:v>0.35770871895664214</c:v>
                </c:pt>
                <c:pt idx="78">
                  <c:v>0.33132482796916957</c:v>
                </c:pt>
                <c:pt idx="79">
                  <c:v>0.304940936981697</c:v>
                </c:pt>
                <c:pt idx="80">
                  <c:v>0.27855704599422426</c:v>
                </c:pt>
                <c:pt idx="81">
                  <c:v>0.26794187868631042</c:v>
                </c:pt>
                <c:pt idx="82">
                  <c:v>0.25732671137840035</c:v>
                </c:pt>
                <c:pt idx="83">
                  <c:v>0.24671154407049026</c:v>
                </c:pt>
                <c:pt idx="84">
                  <c:v>0.23609637676258013</c:v>
                </c:pt>
                <c:pt idx="85">
                  <c:v>0.22548120945467012</c:v>
                </c:pt>
                <c:pt idx="86">
                  <c:v>0.21486604214675997</c:v>
                </c:pt>
                <c:pt idx="87">
                  <c:v>0.20425087483884991</c:v>
                </c:pt>
                <c:pt idx="88">
                  <c:v>0.19363570753093984</c:v>
                </c:pt>
                <c:pt idx="89">
                  <c:v>0.18302054022302977</c:v>
                </c:pt>
                <c:pt idx="90">
                  <c:v>0.17240537291511965</c:v>
                </c:pt>
                <c:pt idx="91">
                  <c:v>0.16179020560720958</c:v>
                </c:pt>
                <c:pt idx="92">
                  <c:v>0.15117503829929951</c:v>
                </c:pt>
                <c:pt idx="93">
                  <c:v>0.14055987099138942</c:v>
                </c:pt>
                <c:pt idx="94">
                  <c:v>0.12994470368347938</c:v>
                </c:pt>
                <c:pt idx="95">
                  <c:v>0.11932953637556927</c:v>
                </c:pt>
                <c:pt idx="96">
                  <c:v>0.10871436906765922</c:v>
                </c:pt>
                <c:pt idx="97">
                  <c:v>9.8099201759749094E-2</c:v>
                </c:pt>
                <c:pt idx="98">
                  <c:v>8.7484034451839027E-2</c:v>
                </c:pt>
                <c:pt idx="99">
                  <c:v>7.6868867143928959E-2</c:v>
                </c:pt>
                <c:pt idx="100">
                  <c:v>6.6253699836018851E-2</c:v>
                </c:pt>
                <c:pt idx="101">
                  <c:v>5.5638532528108797E-2</c:v>
                </c:pt>
                <c:pt idx="102">
                  <c:v>4.5023365220198758E-2</c:v>
                </c:pt>
                <c:pt idx="103">
                  <c:v>3.4408197912288691E-2</c:v>
                </c:pt>
                <c:pt idx="104">
                  <c:v>2.3793030604378568E-2</c:v>
                </c:pt>
                <c:pt idx="105">
                  <c:v>1.3177863296468528E-2</c:v>
                </c:pt>
                <c:pt idx="106">
                  <c:v>2.5626959885584888E-3</c:v>
                </c:pt>
                <c:pt idx="107">
                  <c:v>-8.0524713193515507E-3</c:v>
                </c:pt>
                <c:pt idx="108">
                  <c:v>-1.8667638627261701E-2</c:v>
                </c:pt>
                <c:pt idx="109">
                  <c:v>-2.9282805935171768E-2</c:v>
                </c:pt>
                <c:pt idx="110">
                  <c:v>-3.9897973243081808E-2</c:v>
                </c:pt>
                <c:pt idx="111">
                  <c:v>-5.0513140550991903E-2</c:v>
                </c:pt>
                <c:pt idx="112">
                  <c:v>-6.1128307858901915E-2</c:v>
                </c:pt>
                <c:pt idx="113">
                  <c:v>-7.1743475166812037E-2</c:v>
                </c:pt>
                <c:pt idx="114">
                  <c:v>-8.2358642474722146E-2</c:v>
                </c:pt>
                <c:pt idx="115">
                  <c:v>-9.2973809782632172E-2</c:v>
                </c:pt>
                <c:pt idx="116">
                  <c:v>-0.1035889770905422</c:v>
                </c:pt>
                <c:pt idx="117">
                  <c:v>-0.11420414439845232</c:v>
                </c:pt>
                <c:pt idx="118">
                  <c:v>-0.1248193117063624</c:v>
                </c:pt>
                <c:pt idx="119">
                  <c:v>-0.13543447901427247</c:v>
                </c:pt>
                <c:pt idx="120">
                  <c:v>-0.14604964632218254</c:v>
                </c:pt>
                <c:pt idx="121">
                  <c:v>-0.15666481363009255</c:v>
                </c:pt>
                <c:pt idx="122">
                  <c:v>-0.16727998093800267</c:v>
                </c:pt>
                <c:pt idx="123">
                  <c:v>-0.17789514824591274</c:v>
                </c:pt>
                <c:pt idx="124">
                  <c:v>-0.18851031555382292</c:v>
                </c:pt>
                <c:pt idx="125">
                  <c:v>-0.1991254828617329</c:v>
                </c:pt>
                <c:pt idx="126">
                  <c:v>-0.20974065016964305</c:v>
                </c:pt>
                <c:pt idx="127">
                  <c:v>-0.22035581747755306</c:v>
                </c:pt>
                <c:pt idx="128">
                  <c:v>-0.23097098478546318</c:v>
                </c:pt>
                <c:pt idx="129">
                  <c:v>-0.2415861520933732</c:v>
                </c:pt>
                <c:pt idx="130">
                  <c:v>-0.25220131940128337</c:v>
                </c:pt>
                <c:pt idx="131">
                  <c:v>-0.26281648670919344</c:v>
                </c:pt>
                <c:pt idx="132">
                  <c:v>-0.27343165401710345</c:v>
                </c:pt>
                <c:pt idx="133">
                  <c:v>-0.28404682132501358</c:v>
                </c:pt>
                <c:pt idx="134">
                  <c:v>-0.29466198863292364</c:v>
                </c:pt>
                <c:pt idx="135">
                  <c:v>-0.30527715594083371</c:v>
                </c:pt>
                <c:pt idx="136">
                  <c:v>-0.31589232324874367</c:v>
                </c:pt>
                <c:pt idx="137">
                  <c:v>-0.32650749055665385</c:v>
                </c:pt>
                <c:pt idx="138">
                  <c:v>-0.33712265786456402</c:v>
                </c:pt>
                <c:pt idx="139">
                  <c:v>-0.34773782517247398</c:v>
                </c:pt>
                <c:pt idx="140">
                  <c:v>-0.35835299248038405</c:v>
                </c:pt>
                <c:pt idx="141">
                  <c:v>-0.19620202699947253</c:v>
                </c:pt>
                <c:pt idx="142">
                  <c:v>-3.4051061518524939E-2</c:v>
                </c:pt>
                <c:pt idx="143">
                  <c:v>0.12809990396242271</c:v>
                </c:pt>
                <c:pt idx="144">
                  <c:v>0.29025086944337031</c:v>
                </c:pt>
                <c:pt idx="145">
                  <c:v>0.45240183492431796</c:v>
                </c:pt>
                <c:pt idx="146">
                  <c:v>0.6145528004052655</c:v>
                </c:pt>
                <c:pt idx="147">
                  <c:v>0.77670376588621315</c:v>
                </c:pt>
                <c:pt idx="148">
                  <c:v>0.9388547313671608</c:v>
                </c:pt>
                <c:pt idx="149">
                  <c:v>1.1010056968481086</c:v>
                </c:pt>
                <c:pt idx="150">
                  <c:v>1.263156662329056</c:v>
                </c:pt>
                <c:pt idx="151">
                  <c:v>1.2861307772487633</c:v>
                </c:pt>
                <c:pt idx="152">
                  <c:v>1.3091048921684427</c:v>
                </c:pt>
                <c:pt idx="153">
                  <c:v>1.3320790070881221</c:v>
                </c:pt>
                <c:pt idx="154">
                  <c:v>1.3550531220078015</c:v>
                </c:pt>
                <c:pt idx="155">
                  <c:v>1.3780272369274809</c:v>
                </c:pt>
                <c:pt idx="156">
                  <c:v>1.4010013518471602</c:v>
                </c:pt>
                <c:pt idx="157">
                  <c:v>1.4239754667668396</c:v>
                </c:pt>
                <c:pt idx="158">
                  <c:v>1.446949581686519</c:v>
                </c:pt>
                <c:pt idx="159">
                  <c:v>1.4699236966061986</c:v>
                </c:pt>
                <c:pt idx="160">
                  <c:v>1.4928978115258777</c:v>
                </c:pt>
                <c:pt idx="161">
                  <c:v>1.4393375843865233</c:v>
                </c:pt>
                <c:pt idx="162">
                  <c:v>1.385777357247151</c:v>
                </c:pt>
                <c:pt idx="163">
                  <c:v>1.3322171301077788</c:v>
                </c:pt>
                <c:pt idx="164">
                  <c:v>1.2786569029684063</c:v>
                </c:pt>
                <c:pt idx="165">
                  <c:v>1.225096675829034</c:v>
                </c:pt>
                <c:pt idx="166">
                  <c:v>1.1715364486896618</c:v>
                </c:pt>
                <c:pt idx="167">
                  <c:v>1.1179762215502895</c:v>
                </c:pt>
                <c:pt idx="168">
                  <c:v>1.0644159944109171</c:v>
                </c:pt>
                <c:pt idx="169">
                  <c:v>1.0108557672715448</c:v>
                </c:pt>
                <c:pt idx="170">
                  <c:v>0.95729554013215834</c:v>
                </c:pt>
                <c:pt idx="171">
                  <c:v>0.95729554013215834</c:v>
                </c:pt>
                <c:pt idx="172">
                  <c:v>0.95729554013215834</c:v>
                </c:pt>
                <c:pt idx="173">
                  <c:v>0.95729554013215834</c:v>
                </c:pt>
                <c:pt idx="174">
                  <c:v>0.95729554013215834</c:v>
                </c:pt>
                <c:pt idx="175">
                  <c:v>0.95729554013215834</c:v>
                </c:pt>
                <c:pt idx="176">
                  <c:v>0.95729554013215834</c:v>
                </c:pt>
                <c:pt idx="177">
                  <c:v>0.95729554013215834</c:v>
                </c:pt>
                <c:pt idx="178">
                  <c:v>0.95729554013215834</c:v>
                </c:pt>
                <c:pt idx="179">
                  <c:v>0.95729554013215834</c:v>
                </c:pt>
                <c:pt idx="180">
                  <c:v>0.95729554013215834</c:v>
                </c:pt>
                <c:pt idx="181">
                  <c:v>0.95729554013215834</c:v>
                </c:pt>
                <c:pt idx="182">
                  <c:v>0.95729554013215834</c:v>
                </c:pt>
                <c:pt idx="183">
                  <c:v>0.95729554013215834</c:v>
                </c:pt>
                <c:pt idx="184">
                  <c:v>0.95729554013215834</c:v>
                </c:pt>
                <c:pt idx="185">
                  <c:v>0.95729554013215834</c:v>
                </c:pt>
                <c:pt idx="186">
                  <c:v>0.95729554013215834</c:v>
                </c:pt>
                <c:pt idx="187">
                  <c:v>0.95729554013215834</c:v>
                </c:pt>
                <c:pt idx="188">
                  <c:v>0.95729554013215834</c:v>
                </c:pt>
                <c:pt idx="189">
                  <c:v>0.95729554013215834</c:v>
                </c:pt>
                <c:pt idx="190">
                  <c:v>0.95729554013215834</c:v>
                </c:pt>
                <c:pt idx="191">
                  <c:v>0.95729554013215834</c:v>
                </c:pt>
                <c:pt idx="192">
                  <c:v>0.95729554013215834</c:v>
                </c:pt>
                <c:pt idx="193">
                  <c:v>0.95729554013215834</c:v>
                </c:pt>
                <c:pt idx="194">
                  <c:v>0.95729554013215834</c:v>
                </c:pt>
                <c:pt idx="195">
                  <c:v>0.95729554013215834</c:v>
                </c:pt>
                <c:pt idx="196">
                  <c:v>0.95729554013215834</c:v>
                </c:pt>
                <c:pt idx="197">
                  <c:v>0.95729554013215834</c:v>
                </c:pt>
                <c:pt idx="198">
                  <c:v>0.95729554013215834</c:v>
                </c:pt>
                <c:pt idx="199">
                  <c:v>0.95729554013215834</c:v>
                </c:pt>
                <c:pt idx="200">
                  <c:v>0.95729554013215834</c:v>
                </c:pt>
                <c:pt idx="201">
                  <c:v>0.95729554013215834</c:v>
                </c:pt>
                <c:pt idx="202">
                  <c:v>0.95729554013215834</c:v>
                </c:pt>
                <c:pt idx="203">
                  <c:v>0.95729554013215834</c:v>
                </c:pt>
                <c:pt idx="204">
                  <c:v>0.95729554013215834</c:v>
                </c:pt>
                <c:pt idx="205">
                  <c:v>0.95729554013215834</c:v>
                </c:pt>
                <c:pt idx="206">
                  <c:v>0.95729554013215834</c:v>
                </c:pt>
                <c:pt idx="207">
                  <c:v>0.95729554013215834</c:v>
                </c:pt>
                <c:pt idx="208">
                  <c:v>-1.5661622548268799</c:v>
                </c:pt>
                <c:pt idx="209">
                  <c:v>-1.5661622548268799</c:v>
                </c:pt>
                <c:pt idx="210">
                  <c:v>-1.5661622548268799</c:v>
                </c:pt>
                <c:pt idx="211">
                  <c:v>-1.5661622548268799</c:v>
                </c:pt>
                <c:pt idx="212">
                  <c:v>-1.5661622548268799</c:v>
                </c:pt>
                <c:pt idx="213">
                  <c:v>-1.5661622548268799</c:v>
                </c:pt>
                <c:pt idx="214">
                  <c:v>-1.5661622548268799</c:v>
                </c:pt>
                <c:pt idx="215">
                  <c:v>-1.5661622548268799</c:v>
                </c:pt>
                <c:pt idx="216">
                  <c:v>-1.5661622548268799</c:v>
                </c:pt>
                <c:pt idx="217">
                  <c:v>-1.5661622548268799</c:v>
                </c:pt>
                <c:pt idx="218">
                  <c:v>-1.5661622548268799</c:v>
                </c:pt>
                <c:pt idx="219">
                  <c:v>-1.5661622548268799</c:v>
                </c:pt>
                <c:pt idx="220">
                  <c:v>-1.5661622548268799</c:v>
                </c:pt>
              </c:numCache>
            </c:numRef>
          </c:yVal>
          <c:smooth val="0"/>
          <c:extLst>
            <c:ext xmlns:c16="http://schemas.microsoft.com/office/drawing/2014/chart" uri="{C3380CC4-5D6E-409C-BE32-E72D297353CC}">
              <c16:uniqueId val="{00000003-EDB6-4D34-8790-930E2059F474}"/>
            </c:ext>
          </c:extLst>
        </c:ser>
        <c:ser>
          <c:idx val="4"/>
          <c:order val="4"/>
          <c:tx>
            <c:strRef>
              <c:f>ArtificialTreatments!$V$20</c:f>
              <c:strCache>
                <c:ptCount val="1"/>
                <c:pt idx="0">
                  <c:v>Score5</c:v>
                </c:pt>
              </c:strCache>
            </c:strRef>
          </c:tx>
          <c:spPr>
            <a:ln w="19050" cap="rnd">
              <a:solidFill>
                <a:schemeClr val="accent5"/>
              </a:solidFill>
              <a:round/>
            </a:ln>
            <a:effectLst/>
          </c:spPr>
          <c:marker>
            <c:symbol val="none"/>
          </c:marker>
          <c:xVal>
            <c:numRef>
              <c:f>ArtificialTreatments!$B$21:$B$241</c:f>
              <c:numCache>
                <c:formatCode>General</c:formatCode>
                <c:ptCount val="221"/>
                <c:pt idx="0">
                  <c:v>-11</c:v>
                </c:pt>
                <c:pt idx="1">
                  <c:v>-10.9</c:v>
                </c:pt>
                <c:pt idx="2">
                  <c:v>-10.8</c:v>
                </c:pt>
                <c:pt idx="3">
                  <c:v>-10.700000000000001</c:v>
                </c:pt>
                <c:pt idx="4">
                  <c:v>-10.600000000000001</c:v>
                </c:pt>
                <c:pt idx="5">
                  <c:v>-10.500000000000002</c:v>
                </c:pt>
                <c:pt idx="6">
                  <c:v>-10.400000000000002</c:v>
                </c:pt>
                <c:pt idx="7">
                  <c:v>-10.300000000000002</c:v>
                </c:pt>
                <c:pt idx="8">
                  <c:v>-10.200000000000003</c:v>
                </c:pt>
                <c:pt idx="9">
                  <c:v>-10.100000000000003</c:v>
                </c:pt>
                <c:pt idx="10">
                  <c:v>-10.000000000000004</c:v>
                </c:pt>
                <c:pt idx="11">
                  <c:v>-9.9000000000000039</c:v>
                </c:pt>
                <c:pt idx="12">
                  <c:v>-9.8000000000000043</c:v>
                </c:pt>
                <c:pt idx="13">
                  <c:v>-9.7000000000000046</c:v>
                </c:pt>
                <c:pt idx="14">
                  <c:v>-9.600000000000005</c:v>
                </c:pt>
                <c:pt idx="15">
                  <c:v>-9.5000000000000053</c:v>
                </c:pt>
                <c:pt idx="16">
                  <c:v>-9.4000000000000057</c:v>
                </c:pt>
                <c:pt idx="17">
                  <c:v>-9.300000000000006</c:v>
                </c:pt>
                <c:pt idx="18">
                  <c:v>-9.2000000000000064</c:v>
                </c:pt>
                <c:pt idx="19">
                  <c:v>-9.1000000000000068</c:v>
                </c:pt>
                <c:pt idx="20">
                  <c:v>-9.0000000000000071</c:v>
                </c:pt>
                <c:pt idx="21">
                  <c:v>-8.9000000000000075</c:v>
                </c:pt>
                <c:pt idx="22">
                  <c:v>-8.8000000000000078</c:v>
                </c:pt>
                <c:pt idx="23">
                  <c:v>-8.7000000000000082</c:v>
                </c:pt>
                <c:pt idx="24">
                  <c:v>-8.6000000000000085</c:v>
                </c:pt>
                <c:pt idx="25">
                  <c:v>-8.5000000000000089</c:v>
                </c:pt>
                <c:pt idx="26">
                  <c:v>-8.4000000000000092</c:v>
                </c:pt>
                <c:pt idx="27">
                  <c:v>-8.3000000000000096</c:v>
                </c:pt>
                <c:pt idx="28">
                  <c:v>-8.2000000000000099</c:v>
                </c:pt>
                <c:pt idx="29">
                  <c:v>-8.1000000000000103</c:v>
                </c:pt>
                <c:pt idx="30">
                  <c:v>-8.0000000000000107</c:v>
                </c:pt>
                <c:pt idx="31">
                  <c:v>-7.900000000000011</c:v>
                </c:pt>
                <c:pt idx="32">
                  <c:v>-7.8000000000000114</c:v>
                </c:pt>
                <c:pt idx="33">
                  <c:v>-7.7000000000000117</c:v>
                </c:pt>
                <c:pt idx="34">
                  <c:v>-7.6000000000000121</c:v>
                </c:pt>
                <c:pt idx="35">
                  <c:v>-7.5000000000000124</c:v>
                </c:pt>
                <c:pt idx="36">
                  <c:v>-7.4000000000000128</c:v>
                </c:pt>
                <c:pt idx="37">
                  <c:v>-7.3000000000000131</c:v>
                </c:pt>
                <c:pt idx="38">
                  <c:v>-7.2000000000000135</c:v>
                </c:pt>
                <c:pt idx="39">
                  <c:v>-7.1000000000000139</c:v>
                </c:pt>
                <c:pt idx="40">
                  <c:v>-7.0000000000000142</c:v>
                </c:pt>
                <c:pt idx="41">
                  <c:v>-6.9000000000000146</c:v>
                </c:pt>
                <c:pt idx="42">
                  <c:v>-6.8000000000000149</c:v>
                </c:pt>
                <c:pt idx="43">
                  <c:v>-6.7000000000000153</c:v>
                </c:pt>
                <c:pt idx="44">
                  <c:v>-6.6000000000000156</c:v>
                </c:pt>
                <c:pt idx="45">
                  <c:v>-6.500000000000016</c:v>
                </c:pt>
                <c:pt idx="46">
                  <c:v>-6.4000000000000163</c:v>
                </c:pt>
                <c:pt idx="47">
                  <c:v>-6.3000000000000167</c:v>
                </c:pt>
                <c:pt idx="48">
                  <c:v>-6.2000000000000171</c:v>
                </c:pt>
                <c:pt idx="49">
                  <c:v>-6.1000000000000174</c:v>
                </c:pt>
                <c:pt idx="50">
                  <c:v>-6.0000000000000178</c:v>
                </c:pt>
                <c:pt idx="51">
                  <c:v>-5.9000000000000181</c:v>
                </c:pt>
                <c:pt idx="52">
                  <c:v>-5.8000000000000185</c:v>
                </c:pt>
                <c:pt idx="53">
                  <c:v>-5.7000000000000188</c:v>
                </c:pt>
                <c:pt idx="54">
                  <c:v>-5.6000000000000192</c:v>
                </c:pt>
                <c:pt idx="55">
                  <c:v>-5.5000000000000195</c:v>
                </c:pt>
                <c:pt idx="56">
                  <c:v>-5.4000000000000199</c:v>
                </c:pt>
                <c:pt idx="57">
                  <c:v>-5.3000000000000203</c:v>
                </c:pt>
                <c:pt idx="58">
                  <c:v>-5.2000000000000206</c:v>
                </c:pt>
                <c:pt idx="59">
                  <c:v>-5.100000000000021</c:v>
                </c:pt>
                <c:pt idx="60">
                  <c:v>-5.0000000000000213</c:v>
                </c:pt>
                <c:pt idx="61">
                  <c:v>-4.9000000000000217</c:v>
                </c:pt>
                <c:pt idx="62">
                  <c:v>-4.800000000000022</c:v>
                </c:pt>
                <c:pt idx="63">
                  <c:v>-4.7000000000000224</c:v>
                </c:pt>
                <c:pt idx="64">
                  <c:v>-4.6000000000000227</c:v>
                </c:pt>
                <c:pt idx="65">
                  <c:v>-4.5000000000000231</c:v>
                </c:pt>
                <c:pt idx="66">
                  <c:v>-4.4000000000000234</c:v>
                </c:pt>
                <c:pt idx="67">
                  <c:v>-4.3000000000000238</c:v>
                </c:pt>
                <c:pt idx="68">
                  <c:v>-4.2000000000000242</c:v>
                </c:pt>
                <c:pt idx="69">
                  <c:v>-4.1000000000000245</c:v>
                </c:pt>
                <c:pt idx="70">
                  <c:v>-4.0000000000000249</c:v>
                </c:pt>
                <c:pt idx="71">
                  <c:v>-3.9000000000000248</c:v>
                </c:pt>
                <c:pt idx="72">
                  <c:v>-3.8000000000000247</c:v>
                </c:pt>
                <c:pt idx="73">
                  <c:v>-3.7000000000000246</c:v>
                </c:pt>
                <c:pt idx="74">
                  <c:v>-3.6000000000000245</c:v>
                </c:pt>
                <c:pt idx="75">
                  <c:v>-3.5000000000000244</c:v>
                </c:pt>
                <c:pt idx="76">
                  <c:v>-3.4000000000000243</c:v>
                </c:pt>
                <c:pt idx="77">
                  <c:v>-3.3000000000000242</c:v>
                </c:pt>
                <c:pt idx="78">
                  <c:v>-3.2000000000000242</c:v>
                </c:pt>
                <c:pt idx="79">
                  <c:v>-3.1000000000000241</c:v>
                </c:pt>
                <c:pt idx="80">
                  <c:v>-3.000000000000024</c:v>
                </c:pt>
                <c:pt idx="81">
                  <c:v>-2.9000000000000239</c:v>
                </c:pt>
                <c:pt idx="82">
                  <c:v>-2.8000000000000238</c:v>
                </c:pt>
                <c:pt idx="83">
                  <c:v>-2.7000000000000237</c:v>
                </c:pt>
                <c:pt idx="84">
                  <c:v>-2.6000000000000236</c:v>
                </c:pt>
                <c:pt idx="85">
                  <c:v>-2.5000000000000235</c:v>
                </c:pt>
                <c:pt idx="86">
                  <c:v>-2.4000000000000234</c:v>
                </c:pt>
                <c:pt idx="87">
                  <c:v>-2.3000000000000234</c:v>
                </c:pt>
                <c:pt idx="88">
                  <c:v>-2.2000000000000233</c:v>
                </c:pt>
                <c:pt idx="89">
                  <c:v>-2.1000000000000232</c:v>
                </c:pt>
                <c:pt idx="90">
                  <c:v>-2.0000000000000231</c:v>
                </c:pt>
                <c:pt idx="91">
                  <c:v>-1.900000000000023</c:v>
                </c:pt>
                <c:pt idx="92">
                  <c:v>-1.8000000000000229</c:v>
                </c:pt>
                <c:pt idx="93">
                  <c:v>-1.7000000000000228</c:v>
                </c:pt>
                <c:pt idx="94">
                  <c:v>-1.6000000000000227</c:v>
                </c:pt>
                <c:pt idx="95">
                  <c:v>-1.5000000000000226</c:v>
                </c:pt>
                <c:pt idx="96">
                  <c:v>-1.4000000000000226</c:v>
                </c:pt>
                <c:pt idx="97">
                  <c:v>-1.3000000000000225</c:v>
                </c:pt>
                <c:pt idx="98">
                  <c:v>-1.2000000000000224</c:v>
                </c:pt>
                <c:pt idx="99">
                  <c:v>-1.1000000000000223</c:v>
                </c:pt>
                <c:pt idx="100">
                  <c:v>-1.0000000000000222</c:v>
                </c:pt>
                <c:pt idx="101">
                  <c:v>-0.90000000000002223</c:v>
                </c:pt>
                <c:pt idx="102">
                  <c:v>-0.80000000000002225</c:v>
                </c:pt>
                <c:pt idx="103">
                  <c:v>-0.70000000000002227</c:v>
                </c:pt>
                <c:pt idx="104">
                  <c:v>-0.60000000000002229</c:v>
                </c:pt>
                <c:pt idx="105">
                  <c:v>-0.50000000000002232</c:v>
                </c:pt>
                <c:pt idx="106">
                  <c:v>-0.40000000000002234</c:v>
                </c:pt>
                <c:pt idx="107">
                  <c:v>-0.30000000000002236</c:v>
                </c:pt>
                <c:pt idx="108">
                  <c:v>-0.20000000000002235</c:v>
                </c:pt>
                <c:pt idx="109">
                  <c:v>-0.10000000000002235</c:v>
                </c:pt>
                <c:pt idx="110">
                  <c:v>-2.2343238370581275E-14</c:v>
                </c:pt>
                <c:pt idx="111">
                  <c:v>9.9999999999977662E-2</c:v>
                </c:pt>
                <c:pt idx="112">
                  <c:v>0.19999999999997767</c:v>
                </c:pt>
                <c:pt idx="113">
                  <c:v>0.29999999999997767</c:v>
                </c:pt>
                <c:pt idx="114">
                  <c:v>0.39999999999997771</c:v>
                </c:pt>
                <c:pt idx="115">
                  <c:v>0.49999999999997768</c:v>
                </c:pt>
                <c:pt idx="116">
                  <c:v>0.59999999999997766</c:v>
                </c:pt>
                <c:pt idx="117">
                  <c:v>0.69999999999997764</c:v>
                </c:pt>
                <c:pt idx="118">
                  <c:v>0.79999999999997762</c:v>
                </c:pt>
                <c:pt idx="119">
                  <c:v>0.8999999999999776</c:v>
                </c:pt>
                <c:pt idx="120">
                  <c:v>0.99999999999997757</c:v>
                </c:pt>
                <c:pt idx="121">
                  <c:v>1.0999999999999777</c:v>
                </c:pt>
                <c:pt idx="122">
                  <c:v>1.1999999999999778</c:v>
                </c:pt>
                <c:pt idx="123">
                  <c:v>1.2999999999999778</c:v>
                </c:pt>
                <c:pt idx="124">
                  <c:v>1.3999999999999779</c:v>
                </c:pt>
                <c:pt idx="125">
                  <c:v>1.499999999999978</c:v>
                </c:pt>
                <c:pt idx="126">
                  <c:v>1.5999999999999781</c:v>
                </c:pt>
                <c:pt idx="127">
                  <c:v>1.6999999999999782</c:v>
                </c:pt>
                <c:pt idx="128">
                  <c:v>1.7999999999999783</c:v>
                </c:pt>
                <c:pt idx="129">
                  <c:v>1.8999999999999784</c:v>
                </c:pt>
                <c:pt idx="130">
                  <c:v>1.9999999999999785</c:v>
                </c:pt>
                <c:pt idx="131">
                  <c:v>2.0999999999999783</c:v>
                </c:pt>
                <c:pt idx="132">
                  <c:v>2.1999999999999784</c:v>
                </c:pt>
                <c:pt idx="133">
                  <c:v>2.2999999999999785</c:v>
                </c:pt>
                <c:pt idx="134">
                  <c:v>2.3999999999999786</c:v>
                </c:pt>
                <c:pt idx="135">
                  <c:v>2.4999999999999787</c:v>
                </c:pt>
                <c:pt idx="136">
                  <c:v>2.5999999999999788</c:v>
                </c:pt>
                <c:pt idx="137">
                  <c:v>2.6999999999999789</c:v>
                </c:pt>
                <c:pt idx="138">
                  <c:v>2.799999999999979</c:v>
                </c:pt>
                <c:pt idx="139">
                  <c:v>2.899999999999979</c:v>
                </c:pt>
                <c:pt idx="140">
                  <c:v>2.9999999999999791</c:v>
                </c:pt>
                <c:pt idx="141">
                  <c:v>3.0999999999999792</c:v>
                </c:pt>
                <c:pt idx="142">
                  <c:v>3.1999999999999793</c:v>
                </c:pt>
                <c:pt idx="143">
                  <c:v>3.2999999999999794</c:v>
                </c:pt>
                <c:pt idx="144">
                  <c:v>3.3999999999999795</c:v>
                </c:pt>
                <c:pt idx="145">
                  <c:v>3.4999999999999796</c:v>
                </c:pt>
                <c:pt idx="146">
                  <c:v>3.5999999999999797</c:v>
                </c:pt>
                <c:pt idx="147">
                  <c:v>3.6999999999999797</c:v>
                </c:pt>
                <c:pt idx="148">
                  <c:v>3.7999999999999798</c:v>
                </c:pt>
                <c:pt idx="149">
                  <c:v>3.8999999999999799</c:v>
                </c:pt>
                <c:pt idx="150">
                  <c:v>3.99999999999998</c:v>
                </c:pt>
                <c:pt idx="151">
                  <c:v>4.0999999999999801</c:v>
                </c:pt>
                <c:pt idx="152">
                  <c:v>4.1999999999999797</c:v>
                </c:pt>
                <c:pt idx="153">
                  <c:v>4.2999999999999794</c:v>
                </c:pt>
                <c:pt idx="154">
                  <c:v>4.399999999999979</c:v>
                </c:pt>
                <c:pt idx="155">
                  <c:v>4.4999999999999787</c:v>
                </c:pt>
                <c:pt idx="156">
                  <c:v>4.5999999999999783</c:v>
                </c:pt>
                <c:pt idx="157">
                  <c:v>4.699999999999978</c:v>
                </c:pt>
                <c:pt idx="158">
                  <c:v>4.7999999999999776</c:v>
                </c:pt>
                <c:pt idx="159">
                  <c:v>4.8999999999999773</c:v>
                </c:pt>
                <c:pt idx="160">
                  <c:v>4.9999999999999769</c:v>
                </c:pt>
                <c:pt idx="161">
                  <c:v>5.0999999999999766</c:v>
                </c:pt>
                <c:pt idx="162">
                  <c:v>5.1999999999999762</c:v>
                </c:pt>
                <c:pt idx="163">
                  <c:v>5.2999999999999758</c:v>
                </c:pt>
                <c:pt idx="164">
                  <c:v>5.3999999999999755</c:v>
                </c:pt>
                <c:pt idx="165">
                  <c:v>5.4999999999999751</c:v>
                </c:pt>
                <c:pt idx="166">
                  <c:v>5.5999999999999748</c:v>
                </c:pt>
                <c:pt idx="167">
                  <c:v>5.6999999999999744</c:v>
                </c:pt>
                <c:pt idx="168">
                  <c:v>5.7999999999999741</c:v>
                </c:pt>
                <c:pt idx="169">
                  <c:v>5.8999999999999737</c:v>
                </c:pt>
                <c:pt idx="170">
                  <c:v>5.9999999999999734</c:v>
                </c:pt>
                <c:pt idx="171">
                  <c:v>6.099999999999973</c:v>
                </c:pt>
                <c:pt idx="172">
                  <c:v>6.1999999999999726</c:v>
                </c:pt>
                <c:pt idx="173">
                  <c:v>6.2999999999999723</c:v>
                </c:pt>
                <c:pt idx="174">
                  <c:v>6.3999999999999719</c:v>
                </c:pt>
                <c:pt idx="175">
                  <c:v>6.4999999999999716</c:v>
                </c:pt>
                <c:pt idx="176">
                  <c:v>6.5999999999999712</c:v>
                </c:pt>
                <c:pt idx="177">
                  <c:v>6.6999999999999709</c:v>
                </c:pt>
                <c:pt idx="178">
                  <c:v>6.7999999999999705</c:v>
                </c:pt>
                <c:pt idx="179">
                  <c:v>6.8999999999999702</c:v>
                </c:pt>
                <c:pt idx="180">
                  <c:v>6.9999999999999698</c:v>
                </c:pt>
                <c:pt idx="181">
                  <c:v>7.0999999999999694</c:v>
                </c:pt>
                <c:pt idx="182">
                  <c:v>7.1999999999999691</c:v>
                </c:pt>
                <c:pt idx="183">
                  <c:v>7.2999999999999687</c:v>
                </c:pt>
                <c:pt idx="184">
                  <c:v>7.3999999999999684</c:v>
                </c:pt>
                <c:pt idx="185">
                  <c:v>7.499999999999968</c:v>
                </c:pt>
                <c:pt idx="186">
                  <c:v>7.5999999999999677</c:v>
                </c:pt>
                <c:pt idx="187">
                  <c:v>7.6999999999999673</c:v>
                </c:pt>
                <c:pt idx="188">
                  <c:v>7.799999999999967</c:v>
                </c:pt>
                <c:pt idx="189">
                  <c:v>7.8999999999999666</c:v>
                </c:pt>
                <c:pt idx="190">
                  <c:v>7.9999999999999662</c:v>
                </c:pt>
                <c:pt idx="191">
                  <c:v>8.0999999999999659</c:v>
                </c:pt>
                <c:pt idx="192">
                  <c:v>8.1999999999999655</c:v>
                </c:pt>
                <c:pt idx="193">
                  <c:v>8.2999999999999652</c:v>
                </c:pt>
                <c:pt idx="194">
                  <c:v>8.3999999999999648</c:v>
                </c:pt>
                <c:pt idx="195">
                  <c:v>8.4999999999999645</c:v>
                </c:pt>
                <c:pt idx="196">
                  <c:v>8.5999999999999641</c:v>
                </c:pt>
                <c:pt idx="197">
                  <c:v>8.6999999999999638</c:v>
                </c:pt>
                <c:pt idx="198">
                  <c:v>8.7999999999999634</c:v>
                </c:pt>
                <c:pt idx="199">
                  <c:v>8.8999999999999631</c:v>
                </c:pt>
                <c:pt idx="200">
                  <c:v>8.9999999999999627</c:v>
                </c:pt>
                <c:pt idx="201">
                  <c:v>9.0999999999999623</c:v>
                </c:pt>
                <c:pt idx="202">
                  <c:v>9.199999999999962</c:v>
                </c:pt>
                <c:pt idx="203">
                  <c:v>9.2999999999999616</c:v>
                </c:pt>
                <c:pt idx="204">
                  <c:v>9.3999999999999613</c:v>
                </c:pt>
                <c:pt idx="205">
                  <c:v>9.4999999999999609</c:v>
                </c:pt>
                <c:pt idx="206">
                  <c:v>9.5999999999999606</c:v>
                </c:pt>
                <c:pt idx="207">
                  <c:v>9.6999999999999602</c:v>
                </c:pt>
                <c:pt idx="208">
                  <c:v>9.7999999999999599</c:v>
                </c:pt>
                <c:pt idx="209">
                  <c:v>9.8999999999999595</c:v>
                </c:pt>
                <c:pt idx="210">
                  <c:v>9.9999999999999591</c:v>
                </c:pt>
                <c:pt idx="211">
                  <c:v>10.099999999999959</c:v>
                </c:pt>
                <c:pt idx="212">
                  <c:v>10.199999999999958</c:v>
                </c:pt>
                <c:pt idx="213">
                  <c:v>10.299999999999958</c:v>
                </c:pt>
                <c:pt idx="214">
                  <c:v>10.399999999999958</c:v>
                </c:pt>
                <c:pt idx="215">
                  <c:v>10.499999999999957</c:v>
                </c:pt>
                <c:pt idx="216">
                  <c:v>10.599999999999957</c:v>
                </c:pt>
                <c:pt idx="217">
                  <c:v>10.699999999999957</c:v>
                </c:pt>
                <c:pt idx="218">
                  <c:v>10.799999999999956</c:v>
                </c:pt>
                <c:pt idx="219">
                  <c:v>10.899999999999956</c:v>
                </c:pt>
                <c:pt idx="220">
                  <c:v>10.999999999999956</c:v>
                </c:pt>
              </c:numCache>
            </c:numRef>
          </c:xVal>
          <c:yVal>
            <c:numRef>
              <c:f>ArtificialTreatments!$V$21:$V$241</c:f>
              <c:numCache>
                <c:formatCode>General</c:formatCode>
                <c:ptCount val="221"/>
                <c:pt idx="0">
                  <c:v>0.37600847937448867</c:v>
                </c:pt>
                <c:pt idx="1">
                  <c:v>0.37600847937448867</c:v>
                </c:pt>
                <c:pt idx="2">
                  <c:v>0.37600847937448867</c:v>
                </c:pt>
                <c:pt idx="3">
                  <c:v>0.37600847937448867</c:v>
                </c:pt>
                <c:pt idx="4">
                  <c:v>0.37600847937448867</c:v>
                </c:pt>
                <c:pt idx="5">
                  <c:v>0.37600847937448867</c:v>
                </c:pt>
                <c:pt idx="6">
                  <c:v>0.37600847937448867</c:v>
                </c:pt>
                <c:pt idx="7">
                  <c:v>0.37600847937448867</c:v>
                </c:pt>
                <c:pt idx="8">
                  <c:v>0.37600847937448867</c:v>
                </c:pt>
                <c:pt idx="9">
                  <c:v>0.37600847937448867</c:v>
                </c:pt>
                <c:pt idx="10">
                  <c:v>0.37600847937448867</c:v>
                </c:pt>
                <c:pt idx="11">
                  <c:v>0.37600847937448867</c:v>
                </c:pt>
                <c:pt idx="12">
                  <c:v>0.37600847937448867</c:v>
                </c:pt>
                <c:pt idx="13">
                  <c:v>0.37600847937448867</c:v>
                </c:pt>
                <c:pt idx="14">
                  <c:v>0.37600847937448867</c:v>
                </c:pt>
                <c:pt idx="15">
                  <c:v>0.37600847937448867</c:v>
                </c:pt>
                <c:pt idx="16">
                  <c:v>0.37600847937448867</c:v>
                </c:pt>
                <c:pt idx="17">
                  <c:v>0.37600847937448867</c:v>
                </c:pt>
                <c:pt idx="18">
                  <c:v>0.37600847937448867</c:v>
                </c:pt>
                <c:pt idx="19">
                  <c:v>0.37600847937448867</c:v>
                </c:pt>
                <c:pt idx="20">
                  <c:v>0.37600847937448867</c:v>
                </c:pt>
                <c:pt idx="21">
                  <c:v>0.34260579687354165</c:v>
                </c:pt>
                <c:pt idx="22">
                  <c:v>0.30920311437259229</c:v>
                </c:pt>
                <c:pt idx="23">
                  <c:v>0.27580043187164294</c:v>
                </c:pt>
                <c:pt idx="24">
                  <c:v>0.24239774937069353</c:v>
                </c:pt>
                <c:pt idx="25">
                  <c:v>0.20899506686974414</c:v>
                </c:pt>
                <c:pt idx="26">
                  <c:v>0.17559238436879473</c:v>
                </c:pt>
                <c:pt idx="27">
                  <c:v>0.14218970186784535</c:v>
                </c:pt>
                <c:pt idx="28">
                  <c:v>0.10878701936689597</c:v>
                </c:pt>
                <c:pt idx="29">
                  <c:v>7.5384336865946588E-2</c:v>
                </c:pt>
                <c:pt idx="30">
                  <c:v>4.1981654364997234E-2</c:v>
                </c:pt>
                <c:pt idx="31">
                  <c:v>8.5789718640478796E-3</c:v>
                </c:pt>
                <c:pt idx="32">
                  <c:v>-2.482371063690153E-2</c:v>
                </c:pt>
                <c:pt idx="33">
                  <c:v>-5.822639313785094E-2</c:v>
                </c:pt>
                <c:pt idx="34">
                  <c:v>-9.1629075638800295E-2</c:v>
                </c:pt>
                <c:pt idx="35">
                  <c:v>-0.1250317581397497</c:v>
                </c:pt>
                <c:pt idx="36">
                  <c:v>-0.15843444064069911</c:v>
                </c:pt>
                <c:pt idx="37">
                  <c:v>-0.19183712314164852</c:v>
                </c:pt>
                <c:pt idx="38">
                  <c:v>-0.22523980564259793</c:v>
                </c:pt>
                <c:pt idx="39">
                  <c:v>-0.25864248814354729</c:v>
                </c:pt>
                <c:pt idx="40">
                  <c:v>-0.29204517064449675</c:v>
                </c:pt>
                <c:pt idx="41">
                  <c:v>-0.32544785314544611</c:v>
                </c:pt>
                <c:pt idx="42">
                  <c:v>-0.35885053564639546</c:v>
                </c:pt>
                <c:pt idx="43">
                  <c:v>-0.39225321814734493</c:v>
                </c:pt>
                <c:pt idx="44">
                  <c:v>-0.42565590064829428</c:v>
                </c:pt>
                <c:pt idx="45">
                  <c:v>-0.45905858314924358</c:v>
                </c:pt>
                <c:pt idx="46">
                  <c:v>-0.49246126565019305</c:v>
                </c:pt>
                <c:pt idx="47">
                  <c:v>-0.52586394815114246</c:v>
                </c:pt>
                <c:pt idx="48">
                  <c:v>-0.5592666306520917</c:v>
                </c:pt>
                <c:pt idx="49">
                  <c:v>-0.59266931315304117</c:v>
                </c:pt>
                <c:pt idx="50">
                  <c:v>-0.62607199565399052</c:v>
                </c:pt>
                <c:pt idx="51">
                  <c:v>-0.65947467815493976</c:v>
                </c:pt>
                <c:pt idx="52">
                  <c:v>-0.69287736065588923</c:v>
                </c:pt>
                <c:pt idx="53">
                  <c:v>-0.72628004315683858</c:v>
                </c:pt>
                <c:pt idx="54">
                  <c:v>-0.75968272565778783</c:v>
                </c:pt>
                <c:pt idx="55">
                  <c:v>-0.79308540815873729</c:v>
                </c:pt>
                <c:pt idx="56">
                  <c:v>-0.12137743319983585</c:v>
                </c:pt>
                <c:pt idx="57">
                  <c:v>-0.859890773160636</c:v>
                </c:pt>
                <c:pt idx="58">
                  <c:v>-0.89329345566158536</c:v>
                </c:pt>
                <c:pt idx="59">
                  <c:v>-0.92669613816253493</c:v>
                </c:pt>
                <c:pt idx="60">
                  <c:v>-0.96009882066348429</c:v>
                </c:pt>
                <c:pt idx="61">
                  <c:v>-0.99350150316443364</c:v>
                </c:pt>
                <c:pt idx="62">
                  <c:v>-1.0269041856653831</c:v>
                </c:pt>
                <c:pt idx="63">
                  <c:v>-1.0603068681663324</c:v>
                </c:pt>
                <c:pt idx="64">
                  <c:v>-1.0937095506672816</c:v>
                </c:pt>
                <c:pt idx="65">
                  <c:v>-1.1271122331682313</c:v>
                </c:pt>
                <c:pt idx="66">
                  <c:v>-1.1605149156691805</c:v>
                </c:pt>
                <c:pt idx="67">
                  <c:v>-1.19391759817013</c:v>
                </c:pt>
                <c:pt idx="68">
                  <c:v>-1.2273202806710792</c:v>
                </c:pt>
                <c:pt idx="69">
                  <c:v>-1.2607229631720287</c:v>
                </c:pt>
                <c:pt idx="70">
                  <c:v>-1.2941256456729779</c:v>
                </c:pt>
                <c:pt idx="71">
                  <c:v>-1.3275283281739276</c:v>
                </c:pt>
                <c:pt idx="72">
                  <c:v>-1.3609310106748773</c:v>
                </c:pt>
                <c:pt idx="73">
                  <c:v>-1.3943336931758268</c:v>
                </c:pt>
                <c:pt idx="74">
                  <c:v>-1.4277363756767762</c:v>
                </c:pt>
                <c:pt idx="75">
                  <c:v>-1.4611390581777257</c:v>
                </c:pt>
                <c:pt idx="76">
                  <c:v>-1.4945417406786754</c:v>
                </c:pt>
                <c:pt idx="77">
                  <c:v>-1.5279444231796251</c:v>
                </c:pt>
                <c:pt idx="78">
                  <c:v>-1.5613471056805746</c:v>
                </c:pt>
                <c:pt idx="79">
                  <c:v>-1.594749788181524</c:v>
                </c:pt>
                <c:pt idx="80">
                  <c:v>-1.6281524706824735</c:v>
                </c:pt>
                <c:pt idx="81">
                  <c:v>-1.5695465013334462</c:v>
                </c:pt>
                <c:pt idx="82">
                  <c:v>-1.5109405319843972</c:v>
                </c:pt>
                <c:pt idx="83">
                  <c:v>-1.4523345626353479</c:v>
                </c:pt>
                <c:pt idx="84">
                  <c:v>-1.3937285932862986</c:v>
                </c:pt>
                <c:pt idx="85">
                  <c:v>-1.3351226239372496</c:v>
                </c:pt>
                <c:pt idx="86">
                  <c:v>-1.2765166545882003</c:v>
                </c:pt>
                <c:pt idx="87">
                  <c:v>-1.217910685239151</c:v>
                </c:pt>
                <c:pt idx="88">
                  <c:v>-1.159304715890102</c:v>
                </c:pt>
                <c:pt idx="89">
                  <c:v>-1.1006987465410525</c:v>
                </c:pt>
                <c:pt idx="90">
                  <c:v>-1.0420927771920032</c:v>
                </c:pt>
                <c:pt idx="91">
                  <c:v>-0.98348680784295428</c:v>
                </c:pt>
                <c:pt idx="92">
                  <c:v>-0.9248808384939049</c:v>
                </c:pt>
                <c:pt idx="93">
                  <c:v>-0.86627486914485563</c:v>
                </c:pt>
                <c:pt idx="94">
                  <c:v>-0.80766889979580658</c:v>
                </c:pt>
                <c:pt idx="95">
                  <c:v>-0.74906293044675731</c:v>
                </c:pt>
                <c:pt idx="96">
                  <c:v>-0.69045696109770827</c:v>
                </c:pt>
                <c:pt idx="97">
                  <c:v>-0.63185099174865877</c:v>
                </c:pt>
                <c:pt idx="98">
                  <c:v>-0.57324502239960973</c:v>
                </c:pt>
                <c:pt idx="99">
                  <c:v>-0.51463905305056046</c:v>
                </c:pt>
                <c:pt idx="100">
                  <c:v>-0.45603308370151108</c:v>
                </c:pt>
                <c:pt idx="101">
                  <c:v>-0.39742711435246181</c:v>
                </c:pt>
                <c:pt idx="102">
                  <c:v>-0.33882114500341287</c:v>
                </c:pt>
                <c:pt idx="103">
                  <c:v>-0.28021517565436393</c:v>
                </c:pt>
                <c:pt idx="104">
                  <c:v>-0.22160920630531444</c:v>
                </c:pt>
                <c:pt idx="105">
                  <c:v>-0.16300323695626528</c:v>
                </c:pt>
                <c:pt idx="106">
                  <c:v>-0.10439726760721635</c:v>
                </c:pt>
                <c:pt idx="107">
                  <c:v>-4.5791298258167412E-2</c:v>
                </c:pt>
                <c:pt idx="108">
                  <c:v>1.281467109088219E-2</c:v>
                </c:pt>
                <c:pt idx="109">
                  <c:v>7.1420640439931238E-2</c:v>
                </c:pt>
                <c:pt idx="110">
                  <c:v>0.1300266097889804</c:v>
                </c:pt>
                <c:pt idx="111">
                  <c:v>0.18863257913802967</c:v>
                </c:pt>
                <c:pt idx="112">
                  <c:v>0.2472385484870786</c:v>
                </c:pt>
                <c:pt idx="113">
                  <c:v>0.30584451783612787</c:v>
                </c:pt>
                <c:pt idx="114">
                  <c:v>0.36445048718517714</c:v>
                </c:pt>
                <c:pt idx="115">
                  <c:v>0.42305645653422619</c:v>
                </c:pt>
                <c:pt idx="116">
                  <c:v>0.48166242588327512</c:v>
                </c:pt>
                <c:pt idx="117">
                  <c:v>0.54026839523232451</c:v>
                </c:pt>
                <c:pt idx="118">
                  <c:v>0.59887436458137377</c:v>
                </c:pt>
                <c:pt idx="119">
                  <c:v>0.65748033393042271</c:v>
                </c:pt>
                <c:pt idx="120">
                  <c:v>0.7160863032794722</c:v>
                </c:pt>
                <c:pt idx="121">
                  <c:v>0.77469227262852103</c:v>
                </c:pt>
                <c:pt idx="122">
                  <c:v>0.83329824197757052</c:v>
                </c:pt>
                <c:pt idx="123">
                  <c:v>0.89190421132661935</c:v>
                </c:pt>
                <c:pt idx="124">
                  <c:v>0.95051018067566906</c:v>
                </c:pt>
                <c:pt idx="125">
                  <c:v>1.0091161500247181</c:v>
                </c:pt>
                <c:pt idx="126">
                  <c:v>1.0677221193737674</c:v>
                </c:pt>
                <c:pt idx="127">
                  <c:v>1.1263280887228164</c:v>
                </c:pt>
                <c:pt idx="128">
                  <c:v>1.1849340580718657</c:v>
                </c:pt>
                <c:pt idx="129">
                  <c:v>1.2435400274209147</c:v>
                </c:pt>
                <c:pt idx="130">
                  <c:v>1.3021459967699645</c:v>
                </c:pt>
                <c:pt idx="131">
                  <c:v>1.3607519661190133</c:v>
                </c:pt>
                <c:pt idx="132">
                  <c:v>1.4193579354680623</c:v>
                </c:pt>
                <c:pt idx="133">
                  <c:v>1.4779639048171118</c:v>
                </c:pt>
                <c:pt idx="134">
                  <c:v>1.5365698741661609</c:v>
                </c:pt>
                <c:pt idx="135">
                  <c:v>1.5951758435152101</c:v>
                </c:pt>
                <c:pt idx="136">
                  <c:v>1.653781812864259</c:v>
                </c:pt>
                <c:pt idx="137">
                  <c:v>1.7123877822133089</c:v>
                </c:pt>
                <c:pt idx="138">
                  <c:v>1.7709937515623582</c:v>
                </c:pt>
                <c:pt idx="139">
                  <c:v>1.829599720911407</c:v>
                </c:pt>
                <c:pt idx="140">
                  <c:v>1.888205690260456</c:v>
                </c:pt>
                <c:pt idx="141">
                  <c:v>1.6622966251468347</c:v>
                </c:pt>
                <c:pt idx="142">
                  <c:v>1.4363875600331537</c:v>
                </c:pt>
                <c:pt idx="143">
                  <c:v>1.2104784949194727</c:v>
                </c:pt>
                <c:pt idx="144">
                  <c:v>0.98456942980579176</c:v>
                </c:pt>
                <c:pt idx="145">
                  <c:v>0.75866036469211073</c:v>
                </c:pt>
                <c:pt idx="146">
                  <c:v>0.53275129957842982</c:v>
                </c:pt>
                <c:pt idx="147">
                  <c:v>0.3068422344647489</c:v>
                </c:pt>
                <c:pt idx="148">
                  <c:v>8.0933169351067924E-2</c:v>
                </c:pt>
                <c:pt idx="149">
                  <c:v>-0.14497589576261305</c:v>
                </c:pt>
                <c:pt idx="150">
                  <c:v>-0.37088496087629397</c:v>
                </c:pt>
                <c:pt idx="151">
                  <c:v>-0.42894885152479001</c:v>
                </c:pt>
                <c:pt idx="152">
                  <c:v>-0.4870127421732523</c:v>
                </c:pt>
                <c:pt idx="153">
                  <c:v>-0.54507663282171448</c:v>
                </c:pt>
                <c:pt idx="154">
                  <c:v>-0.60314052347017677</c:v>
                </c:pt>
                <c:pt idx="155">
                  <c:v>-0.66120441411863895</c:v>
                </c:pt>
                <c:pt idx="156">
                  <c:v>-0.71926830476710113</c:v>
                </c:pt>
                <c:pt idx="157">
                  <c:v>-0.77733219541556331</c:v>
                </c:pt>
                <c:pt idx="158">
                  <c:v>-0.8353960860640256</c:v>
                </c:pt>
                <c:pt idx="159">
                  <c:v>-0.89345997671248778</c:v>
                </c:pt>
                <c:pt idx="160">
                  <c:v>-0.95152386736094996</c:v>
                </c:pt>
                <c:pt idx="161">
                  <c:v>-0.67543601418895904</c:v>
                </c:pt>
                <c:pt idx="162">
                  <c:v>-0.39934816101689102</c:v>
                </c:pt>
                <c:pt idx="163">
                  <c:v>-0.12326030784482289</c:v>
                </c:pt>
                <c:pt idx="164">
                  <c:v>0.15282754532724507</c:v>
                </c:pt>
                <c:pt idx="165">
                  <c:v>0.42891539849931326</c:v>
                </c:pt>
                <c:pt idx="166">
                  <c:v>0.70500325167138134</c:v>
                </c:pt>
                <c:pt idx="167">
                  <c:v>0.98109110484344941</c:v>
                </c:pt>
                <c:pt idx="168">
                  <c:v>1.2571789580155173</c:v>
                </c:pt>
                <c:pt idx="169">
                  <c:v>1.5332668111875856</c:v>
                </c:pt>
                <c:pt idx="170">
                  <c:v>1.8093546643597271</c:v>
                </c:pt>
                <c:pt idx="171">
                  <c:v>1.8093546643597271</c:v>
                </c:pt>
                <c:pt idx="172">
                  <c:v>1.8093546643597271</c:v>
                </c:pt>
                <c:pt idx="173">
                  <c:v>1.8093546643597271</c:v>
                </c:pt>
                <c:pt idx="174">
                  <c:v>1.8093546643597271</c:v>
                </c:pt>
                <c:pt idx="175">
                  <c:v>1.8093546643597271</c:v>
                </c:pt>
                <c:pt idx="176">
                  <c:v>1.8093546643597271</c:v>
                </c:pt>
                <c:pt idx="177">
                  <c:v>1.8093546643597271</c:v>
                </c:pt>
                <c:pt idx="178">
                  <c:v>1.8093546643597271</c:v>
                </c:pt>
                <c:pt idx="179">
                  <c:v>1.8093546643597271</c:v>
                </c:pt>
                <c:pt idx="180">
                  <c:v>1.8093546643597271</c:v>
                </c:pt>
                <c:pt idx="181">
                  <c:v>1.8093546643597271</c:v>
                </c:pt>
                <c:pt idx="182">
                  <c:v>1.8093546643597271</c:v>
                </c:pt>
                <c:pt idx="183">
                  <c:v>1.8093546643597271</c:v>
                </c:pt>
                <c:pt idx="184">
                  <c:v>1.8093546643597271</c:v>
                </c:pt>
                <c:pt idx="185">
                  <c:v>1.8093546643597271</c:v>
                </c:pt>
                <c:pt idx="186">
                  <c:v>1.8093546643597271</c:v>
                </c:pt>
                <c:pt idx="187">
                  <c:v>1.8093546643597271</c:v>
                </c:pt>
                <c:pt idx="188">
                  <c:v>1.8093546643597271</c:v>
                </c:pt>
                <c:pt idx="189">
                  <c:v>1.8093546643597271</c:v>
                </c:pt>
                <c:pt idx="190">
                  <c:v>1.8093546643597271</c:v>
                </c:pt>
                <c:pt idx="191">
                  <c:v>1.8093546643597271</c:v>
                </c:pt>
                <c:pt idx="192">
                  <c:v>1.8093546643597271</c:v>
                </c:pt>
                <c:pt idx="193">
                  <c:v>1.8093546643597271</c:v>
                </c:pt>
                <c:pt idx="194">
                  <c:v>1.8093546643597271</c:v>
                </c:pt>
                <c:pt idx="195">
                  <c:v>1.8093546643597271</c:v>
                </c:pt>
                <c:pt idx="196">
                  <c:v>1.8093546643597271</c:v>
                </c:pt>
                <c:pt idx="197">
                  <c:v>1.8093546643597271</c:v>
                </c:pt>
                <c:pt idx="198">
                  <c:v>1.8093546643597271</c:v>
                </c:pt>
                <c:pt idx="199">
                  <c:v>1.8093546643597271</c:v>
                </c:pt>
                <c:pt idx="200">
                  <c:v>1.8093546643597271</c:v>
                </c:pt>
                <c:pt idx="201">
                  <c:v>1.8093546643597271</c:v>
                </c:pt>
                <c:pt idx="202">
                  <c:v>1.8093546643597271</c:v>
                </c:pt>
                <c:pt idx="203">
                  <c:v>1.8093546643597271</c:v>
                </c:pt>
                <c:pt idx="204">
                  <c:v>1.8093546643597271</c:v>
                </c:pt>
                <c:pt idx="205">
                  <c:v>1.8093546643597271</c:v>
                </c:pt>
                <c:pt idx="206">
                  <c:v>1.8093546643597271</c:v>
                </c:pt>
                <c:pt idx="207">
                  <c:v>1.8093546643597271</c:v>
                </c:pt>
                <c:pt idx="208">
                  <c:v>-0.12137743319983585</c:v>
                </c:pt>
                <c:pt idx="209">
                  <c:v>-0.12137743319983585</c:v>
                </c:pt>
                <c:pt idx="210">
                  <c:v>-0.12137743319983585</c:v>
                </c:pt>
                <c:pt idx="211">
                  <c:v>-0.12137743319983585</c:v>
                </c:pt>
                <c:pt idx="212">
                  <c:v>-0.12137743319983585</c:v>
                </c:pt>
                <c:pt idx="213">
                  <c:v>-0.12137743319983585</c:v>
                </c:pt>
                <c:pt idx="214">
                  <c:v>-0.12137743319983585</c:v>
                </c:pt>
                <c:pt idx="215">
                  <c:v>-0.12137743319983585</c:v>
                </c:pt>
                <c:pt idx="216">
                  <c:v>-0.12137743319983585</c:v>
                </c:pt>
                <c:pt idx="217">
                  <c:v>-0.12137743319983585</c:v>
                </c:pt>
                <c:pt idx="218">
                  <c:v>-0.12137743319983585</c:v>
                </c:pt>
                <c:pt idx="219">
                  <c:v>-0.12137743319983585</c:v>
                </c:pt>
                <c:pt idx="220">
                  <c:v>-0.12137743319983585</c:v>
                </c:pt>
              </c:numCache>
            </c:numRef>
          </c:yVal>
          <c:smooth val="0"/>
          <c:extLst>
            <c:ext xmlns:c16="http://schemas.microsoft.com/office/drawing/2014/chart" uri="{C3380CC4-5D6E-409C-BE32-E72D297353CC}">
              <c16:uniqueId val="{00000004-EDB6-4D34-8790-930E2059F474}"/>
            </c:ext>
          </c:extLst>
        </c:ser>
        <c:dLbls>
          <c:showLegendKey val="0"/>
          <c:showVal val="0"/>
          <c:showCatName val="0"/>
          <c:showSerName val="0"/>
          <c:showPercent val="0"/>
          <c:showBubbleSize val="0"/>
        </c:dLbls>
        <c:axId val="1656155856"/>
        <c:axId val="1894328256"/>
      </c:scatterChart>
      <c:valAx>
        <c:axId val="165615585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4328256"/>
        <c:crosses val="autoZero"/>
        <c:crossBetween val="midCat"/>
      </c:valAx>
      <c:valAx>
        <c:axId val="18943282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61558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ArtificialTreatments!$S$1</c:f>
          <c:strCache>
            <c:ptCount val="1"/>
            <c:pt idx="0">
              <c:v>Scored Hats Test, CVs={-9,-3,3,4,5,6}, CLs={-100,9.7}</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ArtificialTreatments!$X$20</c:f>
              <c:strCache>
                <c:ptCount val="1"/>
                <c:pt idx="0">
                  <c:v>Score1</c:v>
                </c:pt>
              </c:strCache>
            </c:strRef>
          </c:tx>
          <c:spPr>
            <a:ln w="19050" cap="rnd">
              <a:solidFill>
                <a:schemeClr val="accent1"/>
              </a:solidFill>
              <a:round/>
            </a:ln>
            <a:effectLst/>
          </c:spPr>
          <c:marker>
            <c:symbol val="none"/>
          </c:marker>
          <c:xVal>
            <c:numRef>
              <c:f>ArtificialTreatments!$B$21:$B$241</c:f>
              <c:numCache>
                <c:formatCode>General</c:formatCode>
                <c:ptCount val="221"/>
                <c:pt idx="0">
                  <c:v>-11</c:v>
                </c:pt>
                <c:pt idx="1">
                  <c:v>-10.9</c:v>
                </c:pt>
                <c:pt idx="2">
                  <c:v>-10.8</c:v>
                </c:pt>
                <c:pt idx="3">
                  <c:v>-10.700000000000001</c:v>
                </c:pt>
                <c:pt idx="4">
                  <c:v>-10.600000000000001</c:v>
                </c:pt>
                <c:pt idx="5">
                  <c:v>-10.500000000000002</c:v>
                </c:pt>
                <c:pt idx="6">
                  <c:v>-10.400000000000002</c:v>
                </c:pt>
                <c:pt idx="7">
                  <c:v>-10.300000000000002</c:v>
                </c:pt>
                <c:pt idx="8">
                  <c:v>-10.200000000000003</c:v>
                </c:pt>
                <c:pt idx="9">
                  <c:v>-10.100000000000003</c:v>
                </c:pt>
                <c:pt idx="10">
                  <c:v>-10.000000000000004</c:v>
                </c:pt>
                <c:pt idx="11">
                  <c:v>-9.9000000000000039</c:v>
                </c:pt>
                <c:pt idx="12">
                  <c:v>-9.8000000000000043</c:v>
                </c:pt>
                <c:pt idx="13">
                  <c:v>-9.7000000000000046</c:v>
                </c:pt>
                <c:pt idx="14">
                  <c:v>-9.600000000000005</c:v>
                </c:pt>
                <c:pt idx="15">
                  <c:v>-9.5000000000000053</c:v>
                </c:pt>
                <c:pt idx="16">
                  <c:v>-9.4000000000000057</c:v>
                </c:pt>
                <c:pt idx="17">
                  <c:v>-9.300000000000006</c:v>
                </c:pt>
                <c:pt idx="18">
                  <c:v>-9.2000000000000064</c:v>
                </c:pt>
                <c:pt idx="19">
                  <c:v>-9.1000000000000068</c:v>
                </c:pt>
                <c:pt idx="20">
                  <c:v>-9.0000000000000071</c:v>
                </c:pt>
                <c:pt idx="21">
                  <c:v>-8.9000000000000075</c:v>
                </c:pt>
                <c:pt idx="22">
                  <c:v>-8.8000000000000078</c:v>
                </c:pt>
                <c:pt idx="23">
                  <c:v>-8.7000000000000082</c:v>
                </c:pt>
                <c:pt idx="24">
                  <c:v>-8.6000000000000085</c:v>
                </c:pt>
                <c:pt idx="25">
                  <c:v>-8.5000000000000089</c:v>
                </c:pt>
                <c:pt idx="26">
                  <c:v>-8.4000000000000092</c:v>
                </c:pt>
                <c:pt idx="27">
                  <c:v>-8.3000000000000096</c:v>
                </c:pt>
                <c:pt idx="28">
                  <c:v>-8.2000000000000099</c:v>
                </c:pt>
                <c:pt idx="29">
                  <c:v>-8.1000000000000103</c:v>
                </c:pt>
                <c:pt idx="30">
                  <c:v>-8.0000000000000107</c:v>
                </c:pt>
                <c:pt idx="31">
                  <c:v>-7.900000000000011</c:v>
                </c:pt>
                <c:pt idx="32">
                  <c:v>-7.8000000000000114</c:v>
                </c:pt>
                <c:pt idx="33">
                  <c:v>-7.7000000000000117</c:v>
                </c:pt>
                <c:pt idx="34">
                  <c:v>-7.6000000000000121</c:v>
                </c:pt>
                <c:pt idx="35">
                  <c:v>-7.5000000000000124</c:v>
                </c:pt>
                <c:pt idx="36">
                  <c:v>-7.4000000000000128</c:v>
                </c:pt>
                <c:pt idx="37">
                  <c:v>-7.3000000000000131</c:v>
                </c:pt>
                <c:pt idx="38">
                  <c:v>-7.2000000000000135</c:v>
                </c:pt>
                <c:pt idx="39">
                  <c:v>-7.1000000000000139</c:v>
                </c:pt>
                <c:pt idx="40">
                  <c:v>-7.0000000000000142</c:v>
                </c:pt>
                <c:pt idx="41">
                  <c:v>-6.9000000000000146</c:v>
                </c:pt>
                <c:pt idx="42">
                  <c:v>-6.8000000000000149</c:v>
                </c:pt>
                <c:pt idx="43">
                  <c:v>-6.7000000000000153</c:v>
                </c:pt>
                <c:pt idx="44">
                  <c:v>-6.6000000000000156</c:v>
                </c:pt>
                <c:pt idx="45">
                  <c:v>-6.500000000000016</c:v>
                </c:pt>
                <c:pt idx="46">
                  <c:v>-6.4000000000000163</c:v>
                </c:pt>
                <c:pt idx="47">
                  <c:v>-6.3000000000000167</c:v>
                </c:pt>
                <c:pt idx="48">
                  <c:v>-6.2000000000000171</c:v>
                </c:pt>
                <c:pt idx="49">
                  <c:v>-6.1000000000000174</c:v>
                </c:pt>
                <c:pt idx="50">
                  <c:v>-6.0000000000000178</c:v>
                </c:pt>
                <c:pt idx="51">
                  <c:v>-5.9000000000000181</c:v>
                </c:pt>
                <c:pt idx="52">
                  <c:v>-5.8000000000000185</c:v>
                </c:pt>
                <c:pt idx="53">
                  <c:v>-5.7000000000000188</c:v>
                </c:pt>
                <c:pt idx="54">
                  <c:v>-5.6000000000000192</c:v>
                </c:pt>
                <c:pt idx="55">
                  <c:v>-5.5000000000000195</c:v>
                </c:pt>
                <c:pt idx="56">
                  <c:v>-5.4000000000000199</c:v>
                </c:pt>
                <c:pt idx="57">
                  <c:v>-5.3000000000000203</c:v>
                </c:pt>
                <c:pt idx="58">
                  <c:v>-5.2000000000000206</c:v>
                </c:pt>
                <c:pt idx="59">
                  <c:v>-5.100000000000021</c:v>
                </c:pt>
                <c:pt idx="60">
                  <c:v>-5.0000000000000213</c:v>
                </c:pt>
                <c:pt idx="61">
                  <c:v>-4.9000000000000217</c:v>
                </c:pt>
                <c:pt idx="62">
                  <c:v>-4.800000000000022</c:v>
                </c:pt>
                <c:pt idx="63">
                  <c:v>-4.7000000000000224</c:v>
                </c:pt>
                <c:pt idx="64">
                  <c:v>-4.6000000000000227</c:v>
                </c:pt>
                <c:pt idx="65">
                  <c:v>-4.5000000000000231</c:v>
                </c:pt>
                <c:pt idx="66">
                  <c:v>-4.4000000000000234</c:v>
                </c:pt>
                <c:pt idx="67">
                  <c:v>-4.3000000000000238</c:v>
                </c:pt>
                <c:pt idx="68">
                  <c:v>-4.2000000000000242</c:v>
                </c:pt>
                <c:pt idx="69">
                  <c:v>-4.1000000000000245</c:v>
                </c:pt>
                <c:pt idx="70">
                  <c:v>-4.0000000000000249</c:v>
                </c:pt>
                <c:pt idx="71">
                  <c:v>-3.9000000000000248</c:v>
                </c:pt>
                <c:pt idx="72">
                  <c:v>-3.8000000000000247</c:v>
                </c:pt>
                <c:pt idx="73">
                  <c:v>-3.7000000000000246</c:v>
                </c:pt>
                <c:pt idx="74">
                  <c:v>-3.6000000000000245</c:v>
                </c:pt>
                <c:pt idx="75">
                  <c:v>-3.5000000000000244</c:v>
                </c:pt>
                <c:pt idx="76">
                  <c:v>-3.4000000000000243</c:v>
                </c:pt>
                <c:pt idx="77">
                  <c:v>-3.3000000000000242</c:v>
                </c:pt>
                <c:pt idx="78">
                  <c:v>-3.2000000000000242</c:v>
                </c:pt>
                <c:pt idx="79">
                  <c:v>-3.1000000000000241</c:v>
                </c:pt>
                <c:pt idx="80">
                  <c:v>-3.000000000000024</c:v>
                </c:pt>
                <c:pt idx="81">
                  <c:v>-2.9000000000000239</c:v>
                </c:pt>
                <c:pt idx="82">
                  <c:v>-2.8000000000000238</c:v>
                </c:pt>
                <c:pt idx="83">
                  <c:v>-2.7000000000000237</c:v>
                </c:pt>
                <c:pt idx="84">
                  <c:v>-2.6000000000000236</c:v>
                </c:pt>
                <c:pt idx="85">
                  <c:v>-2.5000000000000235</c:v>
                </c:pt>
                <c:pt idx="86">
                  <c:v>-2.4000000000000234</c:v>
                </c:pt>
                <c:pt idx="87">
                  <c:v>-2.3000000000000234</c:v>
                </c:pt>
                <c:pt idx="88">
                  <c:v>-2.2000000000000233</c:v>
                </c:pt>
                <c:pt idx="89">
                  <c:v>-2.1000000000000232</c:v>
                </c:pt>
                <c:pt idx="90">
                  <c:v>-2.0000000000000231</c:v>
                </c:pt>
                <c:pt idx="91">
                  <c:v>-1.900000000000023</c:v>
                </c:pt>
                <c:pt idx="92">
                  <c:v>-1.8000000000000229</c:v>
                </c:pt>
                <c:pt idx="93">
                  <c:v>-1.7000000000000228</c:v>
                </c:pt>
                <c:pt idx="94">
                  <c:v>-1.6000000000000227</c:v>
                </c:pt>
                <c:pt idx="95">
                  <c:v>-1.5000000000000226</c:v>
                </c:pt>
                <c:pt idx="96">
                  <c:v>-1.4000000000000226</c:v>
                </c:pt>
                <c:pt idx="97">
                  <c:v>-1.3000000000000225</c:v>
                </c:pt>
                <c:pt idx="98">
                  <c:v>-1.2000000000000224</c:v>
                </c:pt>
                <c:pt idx="99">
                  <c:v>-1.1000000000000223</c:v>
                </c:pt>
                <c:pt idx="100">
                  <c:v>-1.0000000000000222</c:v>
                </c:pt>
                <c:pt idx="101">
                  <c:v>-0.90000000000002223</c:v>
                </c:pt>
                <c:pt idx="102">
                  <c:v>-0.80000000000002225</c:v>
                </c:pt>
                <c:pt idx="103">
                  <c:v>-0.70000000000002227</c:v>
                </c:pt>
                <c:pt idx="104">
                  <c:v>-0.60000000000002229</c:v>
                </c:pt>
                <c:pt idx="105">
                  <c:v>-0.50000000000002232</c:v>
                </c:pt>
                <c:pt idx="106">
                  <c:v>-0.40000000000002234</c:v>
                </c:pt>
                <c:pt idx="107">
                  <c:v>-0.30000000000002236</c:v>
                </c:pt>
                <c:pt idx="108">
                  <c:v>-0.20000000000002235</c:v>
                </c:pt>
                <c:pt idx="109">
                  <c:v>-0.10000000000002235</c:v>
                </c:pt>
                <c:pt idx="110">
                  <c:v>-2.2343238370581275E-14</c:v>
                </c:pt>
                <c:pt idx="111">
                  <c:v>9.9999999999977662E-2</c:v>
                </c:pt>
                <c:pt idx="112">
                  <c:v>0.19999999999997767</c:v>
                </c:pt>
                <c:pt idx="113">
                  <c:v>0.29999999999997767</c:v>
                </c:pt>
                <c:pt idx="114">
                  <c:v>0.39999999999997771</c:v>
                </c:pt>
                <c:pt idx="115">
                  <c:v>0.49999999999997768</c:v>
                </c:pt>
                <c:pt idx="116">
                  <c:v>0.59999999999997766</c:v>
                </c:pt>
                <c:pt idx="117">
                  <c:v>0.69999999999997764</c:v>
                </c:pt>
                <c:pt idx="118">
                  <c:v>0.79999999999997762</c:v>
                </c:pt>
                <c:pt idx="119">
                  <c:v>0.8999999999999776</c:v>
                </c:pt>
                <c:pt idx="120">
                  <c:v>0.99999999999997757</c:v>
                </c:pt>
                <c:pt idx="121">
                  <c:v>1.0999999999999777</c:v>
                </c:pt>
                <c:pt idx="122">
                  <c:v>1.1999999999999778</c:v>
                </c:pt>
                <c:pt idx="123">
                  <c:v>1.2999999999999778</c:v>
                </c:pt>
                <c:pt idx="124">
                  <c:v>1.3999999999999779</c:v>
                </c:pt>
                <c:pt idx="125">
                  <c:v>1.499999999999978</c:v>
                </c:pt>
                <c:pt idx="126">
                  <c:v>1.5999999999999781</c:v>
                </c:pt>
                <c:pt idx="127">
                  <c:v>1.6999999999999782</c:v>
                </c:pt>
                <c:pt idx="128">
                  <c:v>1.7999999999999783</c:v>
                </c:pt>
                <c:pt idx="129">
                  <c:v>1.8999999999999784</c:v>
                </c:pt>
                <c:pt idx="130">
                  <c:v>1.9999999999999785</c:v>
                </c:pt>
                <c:pt idx="131">
                  <c:v>2.0999999999999783</c:v>
                </c:pt>
                <c:pt idx="132">
                  <c:v>2.1999999999999784</c:v>
                </c:pt>
                <c:pt idx="133">
                  <c:v>2.2999999999999785</c:v>
                </c:pt>
                <c:pt idx="134">
                  <c:v>2.3999999999999786</c:v>
                </c:pt>
                <c:pt idx="135">
                  <c:v>2.4999999999999787</c:v>
                </c:pt>
                <c:pt idx="136">
                  <c:v>2.5999999999999788</c:v>
                </c:pt>
                <c:pt idx="137">
                  <c:v>2.6999999999999789</c:v>
                </c:pt>
                <c:pt idx="138">
                  <c:v>2.799999999999979</c:v>
                </c:pt>
                <c:pt idx="139">
                  <c:v>2.899999999999979</c:v>
                </c:pt>
                <c:pt idx="140">
                  <c:v>2.9999999999999791</c:v>
                </c:pt>
                <c:pt idx="141">
                  <c:v>3.0999999999999792</c:v>
                </c:pt>
                <c:pt idx="142">
                  <c:v>3.1999999999999793</c:v>
                </c:pt>
                <c:pt idx="143">
                  <c:v>3.2999999999999794</c:v>
                </c:pt>
                <c:pt idx="144">
                  <c:v>3.3999999999999795</c:v>
                </c:pt>
                <c:pt idx="145">
                  <c:v>3.4999999999999796</c:v>
                </c:pt>
                <c:pt idx="146">
                  <c:v>3.5999999999999797</c:v>
                </c:pt>
                <c:pt idx="147">
                  <c:v>3.6999999999999797</c:v>
                </c:pt>
                <c:pt idx="148">
                  <c:v>3.7999999999999798</c:v>
                </c:pt>
                <c:pt idx="149">
                  <c:v>3.8999999999999799</c:v>
                </c:pt>
                <c:pt idx="150">
                  <c:v>3.99999999999998</c:v>
                </c:pt>
                <c:pt idx="151">
                  <c:v>4.0999999999999801</c:v>
                </c:pt>
                <c:pt idx="152">
                  <c:v>4.1999999999999797</c:v>
                </c:pt>
                <c:pt idx="153">
                  <c:v>4.2999999999999794</c:v>
                </c:pt>
                <c:pt idx="154">
                  <c:v>4.399999999999979</c:v>
                </c:pt>
                <c:pt idx="155">
                  <c:v>4.4999999999999787</c:v>
                </c:pt>
                <c:pt idx="156">
                  <c:v>4.5999999999999783</c:v>
                </c:pt>
                <c:pt idx="157">
                  <c:v>4.699999999999978</c:v>
                </c:pt>
                <c:pt idx="158">
                  <c:v>4.7999999999999776</c:v>
                </c:pt>
                <c:pt idx="159">
                  <c:v>4.8999999999999773</c:v>
                </c:pt>
                <c:pt idx="160">
                  <c:v>4.9999999999999769</c:v>
                </c:pt>
                <c:pt idx="161">
                  <c:v>5.0999999999999766</c:v>
                </c:pt>
                <c:pt idx="162">
                  <c:v>5.1999999999999762</c:v>
                </c:pt>
                <c:pt idx="163">
                  <c:v>5.2999999999999758</c:v>
                </c:pt>
                <c:pt idx="164">
                  <c:v>5.3999999999999755</c:v>
                </c:pt>
                <c:pt idx="165">
                  <c:v>5.4999999999999751</c:v>
                </c:pt>
                <c:pt idx="166">
                  <c:v>5.5999999999999748</c:v>
                </c:pt>
                <c:pt idx="167">
                  <c:v>5.6999999999999744</c:v>
                </c:pt>
                <c:pt idx="168">
                  <c:v>5.7999999999999741</c:v>
                </c:pt>
                <c:pt idx="169">
                  <c:v>5.8999999999999737</c:v>
                </c:pt>
                <c:pt idx="170">
                  <c:v>5.9999999999999734</c:v>
                </c:pt>
                <c:pt idx="171">
                  <c:v>6.099999999999973</c:v>
                </c:pt>
                <c:pt idx="172">
                  <c:v>6.1999999999999726</c:v>
                </c:pt>
                <c:pt idx="173">
                  <c:v>6.2999999999999723</c:v>
                </c:pt>
                <c:pt idx="174">
                  <c:v>6.3999999999999719</c:v>
                </c:pt>
                <c:pt idx="175">
                  <c:v>6.4999999999999716</c:v>
                </c:pt>
                <c:pt idx="176">
                  <c:v>6.5999999999999712</c:v>
                </c:pt>
                <c:pt idx="177">
                  <c:v>6.6999999999999709</c:v>
                </c:pt>
                <c:pt idx="178">
                  <c:v>6.7999999999999705</c:v>
                </c:pt>
                <c:pt idx="179">
                  <c:v>6.8999999999999702</c:v>
                </c:pt>
                <c:pt idx="180">
                  <c:v>6.9999999999999698</c:v>
                </c:pt>
                <c:pt idx="181">
                  <c:v>7.0999999999999694</c:v>
                </c:pt>
                <c:pt idx="182">
                  <c:v>7.1999999999999691</c:v>
                </c:pt>
                <c:pt idx="183">
                  <c:v>7.2999999999999687</c:v>
                </c:pt>
                <c:pt idx="184">
                  <c:v>7.3999999999999684</c:v>
                </c:pt>
                <c:pt idx="185">
                  <c:v>7.499999999999968</c:v>
                </c:pt>
                <c:pt idx="186">
                  <c:v>7.5999999999999677</c:v>
                </c:pt>
                <c:pt idx="187">
                  <c:v>7.6999999999999673</c:v>
                </c:pt>
                <c:pt idx="188">
                  <c:v>7.799999999999967</c:v>
                </c:pt>
                <c:pt idx="189">
                  <c:v>7.8999999999999666</c:v>
                </c:pt>
                <c:pt idx="190">
                  <c:v>7.9999999999999662</c:v>
                </c:pt>
                <c:pt idx="191">
                  <c:v>8.0999999999999659</c:v>
                </c:pt>
                <c:pt idx="192">
                  <c:v>8.1999999999999655</c:v>
                </c:pt>
                <c:pt idx="193">
                  <c:v>8.2999999999999652</c:v>
                </c:pt>
                <c:pt idx="194">
                  <c:v>8.3999999999999648</c:v>
                </c:pt>
                <c:pt idx="195">
                  <c:v>8.4999999999999645</c:v>
                </c:pt>
                <c:pt idx="196">
                  <c:v>8.5999999999999641</c:v>
                </c:pt>
                <c:pt idx="197">
                  <c:v>8.6999999999999638</c:v>
                </c:pt>
                <c:pt idx="198">
                  <c:v>8.7999999999999634</c:v>
                </c:pt>
                <c:pt idx="199">
                  <c:v>8.8999999999999631</c:v>
                </c:pt>
                <c:pt idx="200">
                  <c:v>8.9999999999999627</c:v>
                </c:pt>
                <c:pt idx="201">
                  <c:v>9.0999999999999623</c:v>
                </c:pt>
                <c:pt idx="202">
                  <c:v>9.199999999999962</c:v>
                </c:pt>
                <c:pt idx="203">
                  <c:v>9.2999999999999616</c:v>
                </c:pt>
                <c:pt idx="204">
                  <c:v>9.3999999999999613</c:v>
                </c:pt>
                <c:pt idx="205">
                  <c:v>9.4999999999999609</c:v>
                </c:pt>
                <c:pt idx="206">
                  <c:v>9.5999999999999606</c:v>
                </c:pt>
                <c:pt idx="207">
                  <c:v>9.6999999999999602</c:v>
                </c:pt>
                <c:pt idx="208">
                  <c:v>9.7999999999999599</c:v>
                </c:pt>
                <c:pt idx="209">
                  <c:v>9.8999999999999595</c:v>
                </c:pt>
                <c:pt idx="210">
                  <c:v>9.9999999999999591</c:v>
                </c:pt>
                <c:pt idx="211">
                  <c:v>10.099999999999959</c:v>
                </c:pt>
                <c:pt idx="212">
                  <c:v>10.199999999999958</c:v>
                </c:pt>
                <c:pt idx="213">
                  <c:v>10.299999999999958</c:v>
                </c:pt>
                <c:pt idx="214">
                  <c:v>10.399999999999958</c:v>
                </c:pt>
                <c:pt idx="215">
                  <c:v>10.499999999999957</c:v>
                </c:pt>
                <c:pt idx="216">
                  <c:v>10.599999999999957</c:v>
                </c:pt>
                <c:pt idx="217">
                  <c:v>10.699999999999957</c:v>
                </c:pt>
                <c:pt idx="218">
                  <c:v>10.799999999999956</c:v>
                </c:pt>
                <c:pt idx="219">
                  <c:v>10.899999999999956</c:v>
                </c:pt>
                <c:pt idx="220">
                  <c:v>10.999999999999956</c:v>
                </c:pt>
              </c:numCache>
            </c:numRef>
          </c:xVal>
          <c:yVal>
            <c:numRef>
              <c:f>ArtificialTreatments!$X$21:$X$241</c:f>
              <c:numCache>
                <c:formatCode>General</c:formatCode>
                <c:ptCount val="221"/>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numCache>
            </c:numRef>
          </c:yVal>
          <c:smooth val="0"/>
          <c:extLst>
            <c:ext xmlns:c16="http://schemas.microsoft.com/office/drawing/2014/chart" uri="{C3380CC4-5D6E-409C-BE32-E72D297353CC}">
              <c16:uniqueId val="{00000000-B8A3-41BF-B430-1FF0726DC2BB}"/>
            </c:ext>
          </c:extLst>
        </c:ser>
        <c:ser>
          <c:idx val="1"/>
          <c:order val="1"/>
          <c:tx>
            <c:strRef>
              <c:f>ArtificialTreatments!$Y$20</c:f>
              <c:strCache>
                <c:ptCount val="1"/>
                <c:pt idx="0">
                  <c:v>Score2</c:v>
                </c:pt>
              </c:strCache>
            </c:strRef>
          </c:tx>
          <c:spPr>
            <a:ln w="19050" cap="rnd">
              <a:solidFill>
                <a:schemeClr val="accent2"/>
              </a:solidFill>
              <a:round/>
            </a:ln>
            <a:effectLst/>
          </c:spPr>
          <c:marker>
            <c:symbol val="none"/>
          </c:marker>
          <c:xVal>
            <c:numRef>
              <c:f>ArtificialTreatments!$B$21:$B$241</c:f>
              <c:numCache>
                <c:formatCode>General</c:formatCode>
                <c:ptCount val="221"/>
                <c:pt idx="0">
                  <c:v>-11</c:v>
                </c:pt>
                <c:pt idx="1">
                  <c:v>-10.9</c:v>
                </c:pt>
                <c:pt idx="2">
                  <c:v>-10.8</c:v>
                </c:pt>
                <c:pt idx="3">
                  <c:v>-10.700000000000001</c:v>
                </c:pt>
                <c:pt idx="4">
                  <c:v>-10.600000000000001</c:v>
                </c:pt>
                <c:pt idx="5">
                  <c:v>-10.500000000000002</c:v>
                </c:pt>
                <c:pt idx="6">
                  <c:v>-10.400000000000002</c:v>
                </c:pt>
                <c:pt idx="7">
                  <c:v>-10.300000000000002</c:v>
                </c:pt>
                <c:pt idx="8">
                  <c:v>-10.200000000000003</c:v>
                </c:pt>
                <c:pt idx="9">
                  <c:v>-10.100000000000003</c:v>
                </c:pt>
                <c:pt idx="10">
                  <c:v>-10.000000000000004</c:v>
                </c:pt>
                <c:pt idx="11">
                  <c:v>-9.9000000000000039</c:v>
                </c:pt>
                <c:pt idx="12">
                  <c:v>-9.8000000000000043</c:v>
                </c:pt>
                <c:pt idx="13">
                  <c:v>-9.7000000000000046</c:v>
                </c:pt>
                <c:pt idx="14">
                  <c:v>-9.600000000000005</c:v>
                </c:pt>
                <c:pt idx="15">
                  <c:v>-9.5000000000000053</c:v>
                </c:pt>
                <c:pt idx="16">
                  <c:v>-9.4000000000000057</c:v>
                </c:pt>
                <c:pt idx="17">
                  <c:v>-9.300000000000006</c:v>
                </c:pt>
                <c:pt idx="18">
                  <c:v>-9.2000000000000064</c:v>
                </c:pt>
                <c:pt idx="19">
                  <c:v>-9.1000000000000068</c:v>
                </c:pt>
                <c:pt idx="20">
                  <c:v>-9.0000000000000071</c:v>
                </c:pt>
                <c:pt idx="21">
                  <c:v>-8.9000000000000075</c:v>
                </c:pt>
                <c:pt idx="22">
                  <c:v>-8.8000000000000078</c:v>
                </c:pt>
                <c:pt idx="23">
                  <c:v>-8.7000000000000082</c:v>
                </c:pt>
                <c:pt idx="24">
                  <c:v>-8.6000000000000085</c:v>
                </c:pt>
                <c:pt idx="25">
                  <c:v>-8.5000000000000089</c:v>
                </c:pt>
                <c:pt idx="26">
                  <c:v>-8.4000000000000092</c:v>
                </c:pt>
                <c:pt idx="27">
                  <c:v>-8.3000000000000096</c:v>
                </c:pt>
                <c:pt idx="28">
                  <c:v>-8.2000000000000099</c:v>
                </c:pt>
                <c:pt idx="29">
                  <c:v>-8.1000000000000103</c:v>
                </c:pt>
                <c:pt idx="30">
                  <c:v>-8.0000000000000107</c:v>
                </c:pt>
                <c:pt idx="31">
                  <c:v>-7.900000000000011</c:v>
                </c:pt>
                <c:pt idx="32">
                  <c:v>-7.8000000000000114</c:v>
                </c:pt>
                <c:pt idx="33">
                  <c:v>-7.7000000000000117</c:v>
                </c:pt>
                <c:pt idx="34">
                  <c:v>-7.6000000000000121</c:v>
                </c:pt>
                <c:pt idx="35">
                  <c:v>-7.5000000000000124</c:v>
                </c:pt>
                <c:pt idx="36">
                  <c:v>-7.4000000000000128</c:v>
                </c:pt>
                <c:pt idx="37">
                  <c:v>-7.3000000000000131</c:v>
                </c:pt>
                <c:pt idx="38">
                  <c:v>-7.2000000000000135</c:v>
                </c:pt>
                <c:pt idx="39">
                  <c:v>-7.1000000000000139</c:v>
                </c:pt>
                <c:pt idx="40">
                  <c:v>-7.0000000000000142</c:v>
                </c:pt>
                <c:pt idx="41">
                  <c:v>-6.9000000000000146</c:v>
                </c:pt>
                <c:pt idx="42">
                  <c:v>-6.8000000000000149</c:v>
                </c:pt>
                <c:pt idx="43">
                  <c:v>-6.7000000000000153</c:v>
                </c:pt>
                <c:pt idx="44">
                  <c:v>-6.6000000000000156</c:v>
                </c:pt>
                <c:pt idx="45">
                  <c:v>-6.500000000000016</c:v>
                </c:pt>
                <c:pt idx="46">
                  <c:v>-6.4000000000000163</c:v>
                </c:pt>
                <c:pt idx="47">
                  <c:v>-6.3000000000000167</c:v>
                </c:pt>
                <c:pt idx="48">
                  <c:v>-6.2000000000000171</c:v>
                </c:pt>
                <c:pt idx="49">
                  <c:v>-6.1000000000000174</c:v>
                </c:pt>
                <c:pt idx="50">
                  <c:v>-6.0000000000000178</c:v>
                </c:pt>
                <c:pt idx="51">
                  <c:v>-5.9000000000000181</c:v>
                </c:pt>
                <c:pt idx="52">
                  <c:v>-5.8000000000000185</c:v>
                </c:pt>
                <c:pt idx="53">
                  <c:v>-5.7000000000000188</c:v>
                </c:pt>
                <c:pt idx="54">
                  <c:v>-5.6000000000000192</c:v>
                </c:pt>
                <c:pt idx="55">
                  <c:v>-5.5000000000000195</c:v>
                </c:pt>
                <c:pt idx="56">
                  <c:v>-5.4000000000000199</c:v>
                </c:pt>
                <c:pt idx="57">
                  <c:v>-5.3000000000000203</c:v>
                </c:pt>
                <c:pt idx="58">
                  <c:v>-5.2000000000000206</c:v>
                </c:pt>
                <c:pt idx="59">
                  <c:v>-5.100000000000021</c:v>
                </c:pt>
                <c:pt idx="60">
                  <c:v>-5.0000000000000213</c:v>
                </c:pt>
                <c:pt idx="61">
                  <c:v>-4.9000000000000217</c:v>
                </c:pt>
                <c:pt idx="62">
                  <c:v>-4.800000000000022</c:v>
                </c:pt>
                <c:pt idx="63">
                  <c:v>-4.7000000000000224</c:v>
                </c:pt>
                <c:pt idx="64">
                  <c:v>-4.6000000000000227</c:v>
                </c:pt>
                <c:pt idx="65">
                  <c:v>-4.5000000000000231</c:v>
                </c:pt>
                <c:pt idx="66">
                  <c:v>-4.4000000000000234</c:v>
                </c:pt>
                <c:pt idx="67">
                  <c:v>-4.3000000000000238</c:v>
                </c:pt>
                <c:pt idx="68">
                  <c:v>-4.2000000000000242</c:v>
                </c:pt>
                <c:pt idx="69">
                  <c:v>-4.1000000000000245</c:v>
                </c:pt>
                <c:pt idx="70">
                  <c:v>-4.0000000000000249</c:v>
                </c:pt>
                <c:pt idx="71">
                  <c:v>-3.9000000000000248</c:v>
                </c:pt>
                <c:pt idx="72">
                  <c:v>-3.8000000000000247</c:v>
                </c:pt>
                <c:pt idx="73">
                  <c:v>-3.7000000000000246</c:v>
                </c:pt>
                <c:pt idx="74">
                  <c:v>-3.6000000000000245</c:v>
                </c:pt>
                <c:pt idx="75">
                  <c:v>-3.5000000000000244</c:v>
                </c:pt>
                <c:pt idx="76">
                  <c:v>-3.4000000000000243</c:v>
                </c:pt>
                <c:pt idx="77">
                  <c:v>-3.3000000000000242</c:v>
                </c:pt>
                <c:pt idx="78">
                  <c:v>-3.2000000000000242</c:v>
                </c:pt>
                <c:pt idx="79">
                  <c:v>-3.1000000000000241</c:v>
                </c:pt>
                <c:pt idx="80">
                  <c:v>-3.000000000000024</c:v>
                </c:pt>
                <c:pt idx="81">
                  <c:v>-2.9000000000000239</c:v>
                </c:pt>
                <c:pt idx="82">
                  <c:v>-2.8000000000000238</c:v>
                </c:pt>
                <c:pt idx="83">
                  <c:v>-2.7000000000000237</c:v>
                </c:pt>
                <c:pt idx="84">
                  <c:v>-2.6000000000000236</c:v>
                </c:pt>
                <c:pt idx="85">
                  <c:v>-2.5000000000000235</c:v>
                </c:pt>
                <c:pt idx="86">
                  <c:v>-2.4000000000000234</c:v>
                </c:pt>
                <c:pt idx="87">
                  <c:v>-2.3000000000000234</c:v>
                </c:pt>
                <c:pt idx="88">
                  <c:v>-2.2000000000000233</c:v>
                </c:pt>
                <c:pt idx="89">
                  <c:v>-2.1000000000000232</c:v>
                </c:pt>
                <c:pt idx="90">
                  <c:v>-2.0000000000000231</c:v>
                </c:pt>
                <c:pt idx="91">
                  <c:v>-1.900000000000023</c:v>
                </c:pt>
                <c:pt idx="92">
                  <c:v>-1.8000000000000229</c:v>
                </c:pt>
                <c:pt idx="93">
                  <c:v>-1.7000000000000228</c:v>
                </c:pt>
                <c:pt idx="94">
                  <c:v>-1.6000000000000227</c:v>
                </c:pt>
                <c:pt idx="95">
                  <c:v>-1.5000000000000226</c:v>
                </c:pt>
                <c:pt idx="96">
                  <c:v>-1.4000000000000226</c:v>
                </c:pt>
                <c:pt idx="97">
                  <c:v>-1.3000000000000225</c:v>
                </c:pt>
                <c:pt idx="98">
                  <c:v>-1.2000000000000224</c:v>
                </c:pt>
                <c:pt idx="99">
                  <c:v>-1.1000000000000223</c:v>
                </c:pt>
                <c:pt idx="100">
                  <c:v>-1.0000000000000222</c:v>
                </c:pt>
                <c:pt idx="101">
                  <c:v>-0.90000000000002223</c:v>
                </c:pt>
                <c:pt idx="102">
                  <c:v>-0.80000000000002225</c:v>
                </c:pt>
                <c:pt idx="103">
                  <c:v>-0.70000000000002227</c:v>
                </c:pt>
                <c:pt idx="104">
                  <c:v>-0.60000000000002229</c:v>
                </c:pt>
                <c:pt idx="105">
                  <c:v>-0.50000000000002232</c:v>
                </c:pt>
                <c:pt idx="106">
                  <c:v>-0.40000000000002234</c:v>
                </c:pt>
                <c:pt idx="107">
                  <c:v>-0.30000000000002236</c:v>
                </c:pt>
                <c:pt idx="108">
                  <c:v>-0.20000000000002235</c:v>
                </c:pt>
                <c:pt idx="109">
                  <c:v>-0.10000000000002235</c:v>
                </c:pt>
                <c:pt idx="110">
                  <c:v>-2.2343238370581275E-14</c:v>
                </c:pt>
                <c:pt idx="111">
                  <c:v>9.9999999999977662E-2</c:v>
                </c:pt>
                <c:pt idx="112">
                  <c:v>0.19999999999997767</c:v>
                </c:pt>
                <c:pt idx="113">
                  <c:v>0.29999999999997767</c:v>
                </c:pt>
                <c:pt idx="114">
                  <c:v>0.39999999999997771</c:v>
                </c:pt>
                <c:pt idx="115">
                  <c:v>0.49999999999997768</c:v>
                </c:pt>
                <c:pt idx="116">
                  <c:v>0.59999999999997766</c:v>
                </c:pt>
                <c:pt idx="117">
                  <c:v>0.69999999999997764</c:v>
                </c:pt>
                <c:pt idx="118">
                  <c:v>0.79999999999997762</c:v>
                </c:pt>
                <c:pt idx="119">
                  <c:v>0.8999999999999776</c:v>
                </c:pt>
                <c:pt idx="120">
                  <c:v>0.99999999999997757</c:v>
                </c:pt>
                <c:pt idx="121">
                  <c:v>1.0999999999999777</c:v>
                </c:pt>
                <c:pt idx="122">
                  <c:v>1.1999999999999778</c:v>
                </c:pt>
                <c:pt idx="123">
                  <c:v>1.2999999999999778</c:v>
                </c:pt>
                <c:pt idx="124">
                  <c:v>1.3999999999999779</c:v>
                </c:pt>
                <c:pt idx="125">
                  <c:v>1.499999999999978</c:v>
                </c:pt>
                <c:pt idx="126">
                  <c:v>1.5999999999999781</c:v>
                </c:pt>
                <c:pt idx="127">
                  <c:v>1.6999999999999782</c:v>
                </c:pt>
                <c:pt idx="128">
                  <c:v>1.7999999999999783</c:v>
                </c:pt>
                <c:pt idx="129">
                  <c:v>1.8999999999999784</c:v>
                </c:pt>
                <c:pt idx="130">
                  <c:v>1.9999999999999785</c:v>
                </c:pt>
                <c:pt idx="131">
                  <c:v>2.0999999999999783</c:v>
                </c:pt>
                <c:pt idx="132">
                  <c:v>2.1999999999999784</c:v>
                </c:pt>
                <c:pt idx="133">
                  <c:v>2.2999999999999785</c:v>
                </c:pt>
                <c:pt idx="134">
                  <c:v>2.3999999999999786</c:v>
                </c:pt>
                <c:pt idx="135">
                  <c:v>2.4999999999999787</c:v>
                </c:pt>
                <c:pt idx="136">
                  <c:v>2.5999999999999788</c:v>
                </c:pt>
                <c:pt idx="137">
                  <c:v>2.6999999999999789</c:v>
                </c:pt>
                <c:pt idx="138">
                  <c:v>2.799999999999979</c:v>
                </c:pt>
                <c:pt idx="139">
                  <c:v>2.899999999999979</c:v>
                </c:pt>
                <c:pt idx="140">
                  <c:v>2.9999999999999791</c:v>
                </c:pt>
                <c:pt idx="141">
                  <c:v>3.0999999999999792</c:v>
                </c:pt>
                <c:pt idx="142">
                  <c:v>3.1999999999999793</c:v>
                </c:pt>
                <c:pt idx="143">
                  <c:v>3.2999999999999794</c:v>
                </c:pt>
                <c:pt idx="144">
                  <c:v>3.3999999999999795</c:v>
                </c:pt>
                <c:pt idx="145">
                  <c:v>3.4999999999999796</c:v>
                </c:pt>
                <c:pt idx="146">
                  <c:v>3.5999999999999797</c:v>
                </c:pt>
                <c:pt idx="147">
                  <c:v>3.6999999999999797</c:v>
                </c:pt>
                <c:pt idx="148">
                  <c:v>3.7999999999999798</c:v>
                </c:pt>
                <c:pt idx="149">
                  <c:v>3.8999999999999799</c:v>
                </c:pt>
                <c:pt idx="150">
                  <c:v>3.99999999999998</c:v>
                </c:pt>
                <c:pt idx="151">
                  <c:v>4.0999999999999801</c:v>
                </c:pt>
                <c:pt idx="152">
                  <c:v>4.1999999999999797</c:v>
                </c:pt>
                <c:pt idx="153">
                  <c:v>4.2999999999999794</c:v>
                </c:pt>
                <c:pt idx="154">
                  <c:v>4.399999999999979</c:v>
                </c:pt>
                <c:pt idx="155">
                  <c:v>4.4999999999999787</c:v>
                </c:pt>
                <c:pt idx="156">
                  <c:v>4.5999999999999783</c:v>
                </c:pt>
                <c:pt idx="157">
                  <c:v>4.699999999999978</c:v>
                </c:pt>
                <c:pt idx="158">
                  <c:v>4.7999999999999776</c:v>
                </c:pt>
                <c:pt idx="159">
                  <c:v>4.8999999999999773</c:v>
                </c:pt>
                <c:pt idx="160">
                  <c:v>4.9999999999999769</c:v>
                </c:pt>
                <c:pt idx="161">
                  <c:v>5.0999999999999766</c:v>
                </c:pt>
                <c:pt idx="162">
                  <c:v>5.1999999999999762</c:v>
                </c:pt>
                <c:pt idx="163">
                  <c:v>5.2999999999999758</c:v>
                </c:pt>
                <c:pt idx="164">
                  <c:v>5.3999999999999755</c:v>
                </c:pt>
                <c:pt idx="165">
                  <c:v>5.4999999999999751</c:v>
                </c:pt>
                <c:pt idx="166">
                  <c:v>5.5999999999999748</c:v>
                </c:pt>
                <c:pt idx="167">
                  <c:v>5.6999999999999744</c:v>
                </c:pt>
                <c:pt idx="168">
                  <c:v>5.7999999999999741</c:v>
                </c:pt>
                <c:pt idx="169">
                  <c:v>5.8999999999999737</c:v>
                </c:pt>
                <c:pt idx="170">
                  <c:v>5.9999999999999734</c:v>
                </c:pt>
                <c:pt idx="171">
                  <c:v>6.099999999999973</c:v>
                </c:pt>
                <c:pt idx="172">
                  <c:v>6.1999999999999726</c:v>
                </c:pt>
                <c:pt idx="173">
                  <c:v>6.2999999999999723</c:v>
                </c:pt>
                <c:pt idx="174">
                  <c:v>6.3999999999999719</c:v>
                </c:pt>
                <c:pt idx="175">
                  <c:v>6.4999999999999716</c:v>
                </c:pt>
                <c:pt idx="176">
                  <c:v>6.5999999999999712</c:v>
                </c:pt>
                <c:pt idx="177">
                  <c:v>6.6999999999999709</c:v>
                </c:pt>
                <c:pt idx="178">
                  <c:v>6.7999999999999705</c:v>
                </c:pt>
                <c:pt idx="179">
                  <c:v>6.8999999999999702</c:v>
                </c:pt>
                <c:pt idx="180">
                  <c:v>6.9999999999999698</c:v>
                </c:pt>
                <c:pt idx="181">
                  <c:v>7.0999999999999694</c:v>
                </c:pt>
                <c:pt idx="182">
                  <c:v>7.1999999999999691</c:v>
                </c:pt>
                <c:pt idx="183">
                  <c:v>7.2999999999999687</c:v>
                </c:pt>
                <c:pt idx="184">
                  <c:v>7.3999999999999684</c:v>
                </c:pt>
                <c:pt idx="185">
                  <c:v>7.499999999999968</c:v>
                </c:pt>
                <c:pt idx="186">
                  <c:v>7.5999999999999677</c:v>
                </c:pt>
                <c:pt idx="187">
                  <c:v>7.6999999999999673</c:v>
                </c:pt>
                <c:pt idx="188">
                  <c:v>7.799999999999967</c:v>
                </c:pt>
                <c:pt idx="189">
                  <c:v>7.8999999999999666</c:v>
                </c:pt>
                <c:pt idx="190">
                  <c:v>7.9999999999999662</c:v>
                </c:pt>
                <c:pt idx="191">
                  <c:v>8.0999999999999659</c:v>
                </c:pt>
                <c:pt idx="192">
                  <c:v>8.1999999999999655</c:v>
                </c:pt>
                <c:pt idx="193">
                  <c:v>8.2999999999999652</c:v>
                </c:pt>
                <c:pt idx="194">
                  <c:v>8.3999999999999648</c:v>
                </c:pt>
                <c:pt idx="195">
                  <c:v>8.4999999999999645</c:v>
                </c:pt>
                <c:pt idx="196">
                  <c:v>8.5999999999999641</c:v>
                </c:pt>
                <c:pt idx="197">
                  <c:v>8.6999999999999638</c:v>
                </c:pt>
                <c:pt idx="198">
                  <c:v>8.7999999999999634</c:v>
                </c:pt>
                <c:pt idx="199">
                  <c:v>8.8999999999999631</c:v>
                </c:pt>
                <c:pt idx="200">
                  <c:v>8.9999999999999627</c:v>
                </c:pt>
                <c:pt idx="201">
                  <c:v>9.0999999999999623</c:v>
                </c:pt>
                <c:pt idx="202">
                  <c:v>9.199999999999962</c:v>
                </c:pt>
                <c:pt idx="203">
                  <c:v>9.2999999999999616</c:v>
                </c:pt>
                <c:pt idx="204">
                  <c:v>9.3999999999999613</c:v>
                </c:pt>
                <c:pt idx="205">
                  <c:v>9.4999999999999609</c:v>
                </c:pt>
                <c:pt idx="206">
                  <c:v>9.5999999999999606</c:v>
                </c:pt>
                <c:pt idx="207">
                  <c:v>9.6999999999999602</c:v>
                </c:pt>
                <c:pt idx="208">
                  <c:v>9.7999999999999599</c:v>
                </c:pt>
                <c:pt idx="209">
                  <c:v>9.8999999999999595</c:v>
                </c:pt>
                <c:pt idx="210">
                  <c:v>9.9999999999999591</c:v>
                </c:pt>
                <c:pt idx="211">
                  <c:v>10.099999999999959</c:v>
                </c:pt>
                <c:pt idx="212">
                  <c:v>10.199999999999958</c:v>
                </c:pt>
                <c:pt idx="213">
                  <c:v>10.299999999999958</c:v>
                </c:pt>
                <c:pt idx="214">
                  <c:v>10.399999999999958</c:v>
                </c:pt>
                <c:pt idx="215">
                  <c:v>10.499999999999957</c:v>
                </c:pt>
                <c:pt idx="216">
                  <c:v>10.599999999999957</c:v>
                </c:pt>
                <c:pt idx="217">
                  <c:v>10.699999999999957</c:v>
                </c:pt>
                <c:pt idx="218">
                  <c:v>10.799999999999956</c:v>
                </c:pt>
                <c:pt idx="219">
                  <c:v>10.899999999999956</c:v>
                </c:pt>
                <c:pt idx="220">
                  <c:v>10.999999999999956</c:v>
                </c:pt>
              </c:numCache>
            </c:numRef>
          </c:xVal>
          <c:yVal>
            <c:numRef>
              <c:f>ArtificialTreatments!$Y$21:$Y$241</c:f>
              <c:numCache>
                <c:formatCode>General</c:formatCode>
                <c:ptCount val="221"/>
                <c:pt idx="0">
                  <c:v>1.403442308506798</c:v>
                </c:pt>
                <c:pt idx="1">
                  <c:v>1.403442308506798</c:v>
                </c:pt>
                <c:pt idx="2">
                  <c:v>1.403442308506798</c:v>
                </c:pt>
                <c:pt idx="3">
                  <c:v>1.403442308506798</c:v>
                </c:pt>
                <c:pt idx="4">
                  <c:v>1.403442308506798</c:v>
                </c:pt>
                <c:pt idx="5">
                  <c:v>1.403442308506798</c:v>
                </c:pt>
                <c:pt idx="6">
                  <c:v>1.403442308506798</c:v>
                </c:pt>
                <c:pt idx="7">
                  <c:v>1.403442308506798</c:v>
                </c:pt>
                <c:pt idx="8">
                  <c:v>1.403442308506798</c:v>
                </c:pt>
                <c:pt idx="9">
                  <c:v>1.403442308506798</c:v>
                </c:pt>
                <c:pt idx="10">
                  <c:v>1.403442308506798</c:v>
                </c:pt>
                <c:pt idx="11">
                  <c:v>1.403442308506798</c:v>
                </c:pt>
                <c:pt idx="12">
                  <c:v>1.403442308506798</c:v>
                </c:pt>
                <c:pt idx="13">
                  <c:v>1.403442308506798</c:v>
                </c:pt>
                <c:pt idx="14">
                  <c:v>1.403442308506798</c:v>
                </c:pt>
                <c:pt idx="15">
                  <c:v>1.403442308506798</c:v>
                </c:pt>
                <c:pt idx="16">
                  <c:v>1.403442308506798</c:v>
                </c:pt>
                <c:pt idx="17">
                  <c:v>1.403442308506798</c:v>
                </c:pt>
                <c:pt idx="18">
                  <c:v>1.403442308506798</c:v>
                </c:pt>
                <c:pt idx="19">
                  <c:v>1.403442308506798</c:v>
                </c:pt>
                <c:pt idx="20">
                  <c:v>1.403442308506798</c:v>
                </c:pt>
                <c:pt idx="21">
                  <c:v>1.406018831652319</c:v>
                </c:pt>
                <c:pt idx="22">
                  <c:v>1.4085953547978403</c:v>
                </c:pt>
                <c:pt idx="23">
                  <c:v>1.4111718779433615</c:v>
                </c:pt>
                <c:pt idx="24">
                  <c:v>1.4137484010888826</c:v>
                </c:pt>
                <c:pt idx="25">
                  <c:v>1.4163249242344038</c:v>
                </c:pt>
                <c:pt idx="26">
                  <c:v>1.4189014473799249</c:v>
                </c:pt>
                <c:pt idx="27">
                  <c:v>1.4214779705254461</c:v>
                </c:pt>
                <c:pt idx="28">
                  <c:v>1.4240544936709674</c:v>
                </c:pt>
                <c:pt idx="29">
                  <c:v>1.4266310168164882</c:v>
                </c:pt>
                <c:pt idx="30">
                  <c:v>1.4292075399620094</c:v>
                </c:pt>
                <c:pt idx="31">
                  <c:v>1.4317840631075307</c:v>
                </c:pt>
                <c:pt idx="32">
                  <c:v>1.4343605862530517</c:v>
                </c:pt>
                <c:pt idx="33">
                  <c:v>1.436937109398573</c:v>
                </c:pt>
                <c:pt idx="34">
                  <c:v>1.439513632544094</c:v>
                </c:pt>
                <c:pt idx="35">
                  <c:v>1.4420901556896153</c:v>
                </c:pt>
                <c:pt idx="36">
                  <c:v>1.4446666788351366</c:v>
                </c:pt>
                <c:pt idx="37">
                  <c:v>1.4472432019806576</c:v>
                </c:pt>
                <c:pt idx="38">
                  <c:v>1.4498197251261788</c:v>
                </c:pt>
                <c:pt idx="39">
                  <c:v>1.4523962482716999</c:v>
                </c:pt>
                <c:pt idx="40">
                  <c:v>1.4549727714172209</c:v>
                </c:pt>
                <c:pt idx="41">
                  <c:v>1.4575492945627424</c:v>
                </c:pt>
                <c:pt idx="42">
                  <c:v>1.4601258177082634</c:v>
                </c:pt>
                <c:pt idx="43">
                  <c:v>1.4627023408537845</c:v>
                </c:pt>
                <c:pt idx="44">
                  <c:v>1.4652788639993057</c:v>
                </c:pt>
                <c:pt idx="45">
                  <c:v>1.467855387144827</c:v>
                </c:pt>
                <c:pt idx="46">
                  <c:v>1.470431910290348</c:v>
                </c:pt>
                <c:pt idx="47">
                  <c:v>1.4730084334358693</c:v>
                </c:pt>
                <c:pt idx="48">
                  <c:v>1.4755849565813905</c:v>
                </c:pt>
                <c:pt idx="49">
                  <c:v>1.4781614797269116</c:v>
                </c:pt>
                <c:pt idx="50">
                  <c:v>1.4807380028724326</c:v>
                </c:pt>
                <c:pt idx="51">
                  <c:v>1.4833145260179541</c:v>
                </c:pt>
                <c:pt idx="52">
                  <c:v>1.4858910491634751</c:v>
                </c:pt>
                <c:pt idx="53">
                  <c:v>1.4884675723089964</c:v>
                </c:pt>
                <c:pt idx="54">
                  <c:v>1.4910440954545177</c:v>
                </c:pt>
                <c:pt idx="55">
                  <c:v>1.4936206186000387</c:v>
                </c:pt>
                <c:pt idx="56">
                  <c:v>1.9187624212949141</c:v>
                </c:pt>
                <c:pt idx="57">
                  <c:v>1.4987736648910812</c:v>
                </c:pt>
                <c:pt idx="58">
                  <c:v>1.5013501880366023</c:v>
                </c:pt>
                <c:pt idx="59">
                  <c:v>1.5039267111821235</c:v>
                </c:pt>
                <c:pt idx="60">
                  <c:v>1.5065032343276445</c:v>
                </c:pt>
                <c:pt idx="61">
                  <c:v>1.5090797574731658</c:v>
                </c:pt>
                <c:pt idx="62">
                  <c:v>1.5116562806186868</c:v>
                </c:pt>
                <c:pt idx="63">
                  <c:v>1.5142328037642079</c:v>
                </c:pt>
                <c:pt idx="64">
                  <c:v>1.5168093269097294</c:v>
                </c:pt>
                <c:pt idx="65">
                  <c:v>1.5193858500552504</c:v>
                </c:pt>
                <c:pt idx="66">
                  <c:v>1.5219623732007714</c:v>
                </c:pt>
                <c:pt idx="67">
                  <c:v>1.5245388963462925</c:v>
                </c:pt>
                <c:pt idx="68">
                  <c:v>1.527115419491814</c:v>
                </c:pt>
                <c:pt idx="69">
                  <c:v>1.529691942637335</c:v>
                </c:pt>
                <c:pt idx="70">
                  <c:v>1.532268465782856</c:v>
                </c:pt>
                <c:pt idx="71">
                  <c:v>1.5348449889283773</c:v>
                </c:pt>
                <c:pt idx="72">
                  <c:v>1.5374215120738985</c:v>
                </c:pt>
                <c:pt idx="73">
                  <c:v>1.5399980352194198</c:v>
                </c:pt>
                <c:pt idx="74">
                  <c:v>1.5425745583649408</c:v>
                </c:pt>
                <c:pt idx="75">
                  <c:v>1.5451510815104621</c:v>
                </c:pt>
                <c:pt idx="76">
                  <c:v>1.5477276046559831</c:v>
                </c:pt>
                <c:pt idx="77">
                  <c:v>1.5503041278015044</c:v>
                </c:pt>
                <c:pt idx="78">
                  <c:v>1.5528806509470257</c:v>
                </c:pt>
                <c:pt idx="79">
                  <c:v>1.5554571740925469</c:v>
                </c:pt>
                <c:pt idx="80">
                  <c:v>1.5580336972380679</c:v>
                </c:pt>
                <c:pt idx="81">
                  <c:v>1.504443062886881</c:v>
                </c:pt>
                <c:pt idx="82">
                  <c:v>1.4508524285356807</c:v>
                </c:pt>
                <c:pt idx="83">
                  <c:v>1.3972617941844803</c:v>
                </c:pt>
                <c:pt idx="84">
                  <c:v>1.3436711598332798</c:v>
                </c:pt>
                <c:pt idx="85">
                  <c:v>1.2900805254820795</c:v>
                </c:pt>
                <c:pt idx="86">
                  <c:v>1.236489891130879</c:v>
                </c:pt>
                <c:pt idx="87">
                  <c:v>1.1828992567796786</c:v>
                </c:pt>
                <c:pt idx="88">
                  <c:v>1.1293086224284781</c:v>
                </c:pt>
                <c:pt idx="89">
                  <c:v>1.0757179880772778</c:v>
                </c:pt>
                <c:pt idx="90">
                  <c:v>1.0221273537260771</c:v>
                </c:pt>
                <c:pt idx="91">
                  <c:v>0.96853671937487706</c:v>
                </c:pt>
                <c:pt idx="92">
                  <c:v>0.91494608502367636</c:v>
                </c:pt>
                <c:pt idx="93">
                  <c:v>0.8613554506724761</c:v>
                </c:pt>
                <c:pt idx="94">
                  <c:v>0.80776481632127561</c:v>
                </c:pt>
                <c:pt idx="95">
                  <c:v>0.75417418197007535</c:v>
                </c:pt>
                <c:pt idx="96">
                  <c:v>0.70058354761887487</c:v>
                </c:pt>
                <c:pt idx="97">
                  <c:v>0.64699291326767427</c:v>
                </c:pt>
                <c:pt idx="98">
                  <c:v>0.59340227891647412</c:v>
                </c:pt>
                <c:pt idx="99">
                  <c:v>0.53981164456527375</c:v>
                </c:pt>
                <c:pt idx="100">
                  <c:v>0.48622101021407316</c:v>
                </c:pt>
                <c:pt idx="101">
                  <c:v>0.43263037586287278</c:v>
                </c:pt>
                <c:pt idx="102">
                  <c:v>0.37903974151167252</c:v>
                </c:pt>
                <c:pt idx="103">
                  <c:v>0.32544910716047237</c:v>
                </c:pt>
                <c:pt idx="104">
                  <c:v>0.27185847280927167</c:v>
                </c:pt>
                <c:pt idx="105">
                  <c:v>0.21826783845807141</c:v>
                </c:pt>
                <c:pt idx="106">
                  <c:v>0.16467720410687126</c:v>
                </c:pt>
                <c:pt idx="107">
                  <c:v>0.11108656975567099</c:v>
                </c:pt>
                <c:pt idx="108">
                  <c:v>5.7495935404470178E-2</c:v>
                </c:pt>
                <c:pt idx="109">
                  <c:v>3.9053010532699162E-3</c:v>
                </c:pt>
                <c:pt idx="110">
                  <c:v>-4.9685333297930234E-2</c:v>
                </c:pt>
                <c:pt idx="111">
                  <c:v>-0.10327596764913072</c:v>
                </c:pt>
                <c:pt idx="112">
                  <c:v>-0.15686660200033087</c:v>
                </c:pt>
                <c:pt idx="113">
                  <c:v>-0.21045723635153146</c:v>
                </c:pt>
                <c:pt idx="114">
                  <c:v>-0.26404787070273206</c:v>
                </c:pt>
                <c:pt idx="115">
                  <c:v>-0.31763850505393221</c:v>
                </c:pt>
                <c:pt idx="116">
                  <c:v>-0.37122913940513236</c:v>
                </c:pt>
                <c:pt idx="117">
                  <c:v>-0.42481977375633284</c:v>
                </c:pt>
                <c:pt idx="118">
                  <c:v>-0.47841040810753344</c:v>
                </c:pt>
                <c:pt idx="119">
                  <c:v>-0.53200104245873359</c:v>
                </c:pt>
                <c:pt idx="120">
                  <c:v>-0.58559167680993418</c:v>
                </c:pt>
                <c:pt idx="121">
                  <c:v>-0.63918231116113433</c:v>
                </c:pt>
                <c:pt idx="122">
                  <c:v>-0.69277294551233493</c:v>
                </c:pt>
                <c:pt idx="123">
                  <c:v>-0.74636357986353508</c:v>
                </c:pt>
                <c:pt idx="124">
                  <c:v>-0.79995421421473578</c:v>
                </c:pt>
                <c:pt idx="125">
                  <c:v>-0.85354484856593604</c:v>
                </c:pt>
                <c:pt idx="126">
                  <c:v>-0.90713548291713653</c:v>
                </c:pt>
                <c:pt idx="127">
                  <c:v>-0.96072611726833679</c:v>
                </c:pt>
                <c:pt idx="128">
                  <c:v>-1.0143167516195373</c:v>
                </c:pt>
                <c:pt idx="129">
                  <c:v>-1.0679073859707375</c:v>
                </c:pt>
                <c:pt idx="130">
                  <c:v>-1.1214980203219382</c:v>
                </c:pt>
                <c:pt idx="131">
                  <c:v>-1.1750886546731385</c:v>
                </c:pt>
                <c:pt idx="132">
                  <c:v>-1.2286792890243385</c:v>
                </c:pt>
                <c:pt idx="133">
                  <c:v>-1.2822699233755392</c:v>
                </c:pt>
                <c:pt idx="134">
                  <c:v>-1.3358605577267397</c:v>
                </c:pt>
                <c:pt idx="135">
                  <c:v>-1.38945119207794</c:v>
                </c:pt>
                <c:pt idx="136">
                  <c:v>-1.44304182642914</c:v>
                </c:pt>
                <c:pt idx="137">
                  <c:v>-1.496632460780341</c:v>
                </c:pt>
                <c:pt idx="138">
                  <c:v>-1.5502230951315414</c:v>
                </c:pt>
                <c:pt idx="139">
                  <c:v>-1.6038137294827415</c:v>
                </c:pt>
                <c:pt idx="140">
                  <c:v>-1.6574043638339417</c:v>
                </c:pt>
                <c:pt idx="141">
                  <c:v>-1.5405384286339663</c:v>
                </c:pt>
                <c:pt idx="142">
                  <c:v>-1.4236724934339546</c:v>
                </c:pt>
                <c:pt idx="143">
                  <c:v>-1.3068065582339434</c:v>
                </c:pt>
                <c:pt idx="144">
                  <c:v>-1.1899406230339318</c:v>
                </c:pt>
                <c:pt idx="145">
                  <c:v>-1.0730746878339206</c:v>
                </c:pt>
                <c:pt idx="146">
                  <c:v>-0.95620875263390892</c:v>
                </c:pt>
                <c:pt idx="147">
                  <c:v>-0.8393428174338976</c:v>
                </c:pt>
                <c:pt idx="148">
                  <c:v>-0.72247688223388606</c:v>
                </c:pt>
                <c:pt idx="149">
                  <c:v>-0.60561094703387464</c:v>
                </c:pt>
                <c:pt idx="150">
                  <c:v>-0.48874501183386326</c:v>
                </c:pt>
                <c:pt idx="151">
                  <c:v>-0.30389989601701917</c:v>
                </c:pt>
                <c:pt idx="152">
                  <c:v>-0.1190547802001623</c:v>
                </c:pt>
                <c:pt idx="153">
                  <c:v>6.5790335616694506E-2</c:v>
                </c:pt>
                <c:pt idx="154">
                  <c:v>0.25063545143355132</c:v>
                </c:pt>
                <c:pt idx="155">
                  <c:v>0.43548056725040818</c:v>
                </c:pt>
                <c:pt idx="156">
                  <c:v>0.62032568306726499</c:v>
                </c:pt>
                <c:pt idx="157">
                  <c:v>0.80517079888412191</c:v>
                </c:pt>
                <c:pt idx="158">
                  <c:v>0.99001591470097883</c:v>
                </c:pt>
                <c:pt idx="159">
                  <c:v>1.1748610305178355</c:v>
                </c:pt>
                <c:pt idx="160">
                  <c:v>1.3597061463346924</c:v>
                </c:pt>
                <c:pt idx="161">
                  <c:v>1.3359231860654697</c:v>
                </c:pt>
                <c:pt idx="162">
                  <c:v>1.3121402257961987</c:v>
                </c:pt>
                <c:pt idx="163">
                  <c:v>1.2883572655269275</c:v>
                </c:pt>
                <c:pt idx="164">
                  <c:v>1.2645743052576566</c:v>
                </c:pt>
                <c:pt idx="165">
                  <c:v>1.2407913449883858</c:v>
                </c:pt>
                <c:pt idx="166">
                  <c:v>1.2170083847191149</c:v>
                </c:pt>
                <c:pt idx="167">
                  <c:v>1.1932254244498437</c:v>
                </c:pt>
                <c:pt idx="168">
                  <c:v>1.1694424641805727</c:v>
                </c:pt>
                <c:pt idx="169">
                  <c:v>1.145659503911302</c:v>
                </c:pt>
                <c:pt idx="170">
                  <c:v>1.1218765436420246</c:v>
                </c:pt>
                <c:pt idx="171">
                  <c:v>1.1218765436420246</c:v>
                </c:pt>
                <c:pt idx="172">
                  <c:v>1.1218765436420246</c:v>
                </c:pt>
                <c:pt idx="173">
                  <c:v>1.1218765436420246</c:v>
                </c:pt>
                <c:pt idx="174">
                  <c:v>1.1218765436420246</c:v>
                </c:pt>
                <c:pt idx="175">
                  <c:v>1.1218765436420246</c:v>
                </c:pt>
                <c:pt idx="176">
                  <c:v>1.1218765436420246</c:v>
                </c:pt>
                <c:pt idx="177">
                  <c:v>1.1218765436420246</c:v>
                </c:pt>
                <c:pt idx="178">
                  <c:v>1.1218765436420246</c:v>
                </c:pt>
                <c:pt idx="179">
                  <c:v>1.1218765436420246</c:v>
                </c:pt>
                <c:pt idx="180">
                  <c:v>1.1218765436420246</c:v>
                </c:pt>
                <c:pt idx="181">
                  <c:v>1.1218765436420246</c:v>
                </c:pt>
                <c:pt idx="182">
                  <c:v>1.1218765436420246</c:v>
                </c:pt>
                <c:pt idx="183">
                  <c:v>1.1218765436420246</c:v>
                </c:pt>
                <c:pt idx="184">
                  <c:v>1.1218765436420246</c:v>
                </c:pt>
                <c:pt idx="185">
                  <c:v>1.1218765436420246</c:v>
                </c:pt>
                <c:pt idx="186">
                  <c:v>1.1218765436420246</c:v>
                </c:pt>
                <c:pt idx="187">
                  <c:v>1.1218765436420246</c:v>
                </c:pt>
                <c:pt idx="188">
                  <c:v>1.1218765436420246</c:v>
                </c:pt>
                <c:pt idx="189">
                  <c:v>1.1218765436420246</c:v>
                </c:pt>
                <c:pt idx="190">
                  <c:v>1.1218765436420246</c:v>
                </c:pt>
                <c:pt idx="191">
                  <c:v>1.1218765436420246</c:v>
                </c:pt>
                <c:pt idx="192">
                  <c:v>1.1218765436420246</c:v>
                </c:pt>
                <c:pt idx="193">
                  <c:v>1.1218765436420246</c:v>
                </c:pt>
                <c:pt idx="194">
                  <c:v>1.1218765436420246</c:v>
                </c:pt>
                <c:pt idx="195">
                  <c:v>1.1218765436420246</c:v>
                </c:pt>
                <c:pt idx="196">
                  <c:v>1.1218765436420246</c:v>
                </c:pt>
                <c:pt idx="197">
                  <c:v>1.1218765436420246</c:v>
                </c:pt>
                <c:pt idx="198">
                  <c:v>1.1218765436420246</c:v>
                </c:pt>
                <c:pt idx="199">
                  <c:v>1.1218765436420246</c:v>
                </c:pt>
                <c:pt idx="200">
                  <c:v>1.1218765436420246</c:v>
                </c:pt>
                <c:pt idx="201">
                  <c:v>1.1218765436420246</c:v>
                </c:pt>
                <c:pt idx="202">
                  <c:v>1.1218765436420246</c:v>
                </c:pt>
                <c:pt idx="203">
                  <c:v>1.1218765436420246</c:v>
                </c:pt>
                <c:pt idx="204">
                  <c:v>1.1218765436420246</c:v>
                </c:pt>
                <c:pt idx="205">
                  <c:v>1.1218765436420246</c:v>
                </c:pt>
                <c:pt idx="206">
                  <c:v>1.1218765436420246</c:v>
                </c:pt>
                <c:pt idx="207">
                  <c:v>1.1218765436420246</c:v>
                </c:pt>
                <c:pt idx="208">
                  <c:v>1.9187624212949141</c:v>
                </c:pt>
                <c:pt idx="209">
                  <c:v>1.9187624212949141</c:v>
                </c:pt>
                <c:pt idx="210">
                  <c:v>1.9187624212949141</c:v>
                </c:pt>
                <c:pt idx="211">
                  <c:v>1.9187624212949141</c:v>
                </c:pt>
                <c:pt idx="212">
                  <c:v>1.9187624212949141</c:v>
                </c:pt>
                <c:pt idx="213">
                  <c:v>1.9187624212949141</c:v>
                </c:pt>
                <c:pt idx="214">
                  <c:v>1.9187624212949141</c:v>
                </c:pt>
                <c:pt idx="215">
                  <c:v>1.9187624212949141</c:v>
                </c:pt>
                <c:pt idx="216">
                  <c:v>1.9187624212949141</c:v>
                </c:pt>
                <c:pt idx="217">
                  <c:v>1.9187624212949141</c:v>
                </c:pt>
                <c:pt idx="218">
                  <c:v>1.9187624212949141</c:v>
                </c:pt>
                <c:pt idx="219">
                  <c:v>1.9187624212949141</c:v>
                </c:pt>
                <c:pt idx="220">
                  <c:v>1.9187624212949141</c:v>
                </c:pt>
              </c:numCache>
            </c:numRef>
          </c:yVal>
          <c:smooth val="0"/>
          <c:extLst>
            <c:ext xmlns:c16="http://schemas.microsoft.com/office/drawing/2014/chart" uri="{C3380CC4-5D6E-409C-BE32-E72D297353CC}">
              <c16:uniqueId val="{00000001-B8A3-41BF-B430-1FF0726DC2BB}"/>
            </c:ext>
          </c:extLst>
        </c:ser>
        <c:ser>
          <c:idx val="2"/>
          <c:order val="2"/>
          <c:tx>
            <c:strRef>
              <c:f>ArtificialTreatments!$Z$20</c:f>
              <c:strCache>
                <c:ptCount val="1"/>
                <c:pt idx="0">
                  <c:v>Score3</c:v>
                </c:pt>
              </c:strCache>
            </c:strRef>
          </c:tx>
          <c:spPr>
            <a:ln w="19050" cap="rnd">
              <a:solidFill>
                <a:schemeClr val="accent3"/>
              </a:solidFill>
              <a:round/>
            </a:ln>
            <a:effectLst/>
          </c:spPr>
          <c:marker>
            <c:symbol val="none"/>
          </c:marker>
          <c:xVal>
            <c:numRef>
              <c:f>ArtificialTreatments!$B$21:$B$241</c:f>
              <c:numCache>
                <c:formatCode>General</c:formatCode>
                <c:ptCount val="221"/>
                <c:pt idx="0">
                  <c:v>-11</c:v>
                </c:pt>
                <c:pt idx="1">
                  <c:v>-10.9</c:v>
                </c:pt>
                <c:pt idx="2">
                  <c:v>-10.8</c:v>
                </c:pt>
                <c:pt idx="3">
                  <c:v>-10.700000000000001</c:v>
                </c:pt>
                <c:pt idx="4">
                  <c:v>-10.600000000000001</c:v>
                </c:pt>
                <c:pt idx="5">
                  <c:v>-10.500000000000002</c:v>
                </c:pt>
                <c:pt idx="6">
                  <c:v>-10.400000000000002</c:v>
                </c:pt>
                <c:pt idx="7">
                  <c:v>-10.300000000000002</c:v>
                </c:pt>
                <c:pt idx="8">
                  <c:v>-10.200000000000003</c:v>
                </c:pt>
                <c:pt idx="9">
                  <c:v>-10.100000000000003</c:v>
                </c:pt>
                <c:pt idx="10">
                  <c:v>-10.000000000000004</c:v>
                </c:pt>
                <c:pt idx="11">
                  <c:v>-9.9000000000000039</c:v>
                </c:pt>
                <c:pt idx="12">
                  <c:v>-9.8000000000000043</c:v>
                </c:pt>
                <c:pt idx="13">
                  <c:v>-9.7000000000000046</c:v>
                </c:pt>
                <c:pt idx="14">
                  <c:v>-9.600000000000005</c:v>
                </c:pt>
                <c:pt idx="15">
                  <c:v>-9.5000000000000053</c:v>
                </c:pt>
                <c:pt idx="16">
                  <c:v>-9.4000000000000057</c:v>
                </c:pt>
                <c:pt idx="17">
                  <c:v>-9.300000000000006</c:v>
                </c:pt>
                <c:pt idx="18">
                  <c:v>-9.2000000000000064</c:v>
                </c:pt>
                <c:pt idx="19">
                  <c:v>-9.1000000000000068</c:v>
                </c:pt>
                <c:pt idx="20">
                  <c:v>-9.0000000000000071</c:v>
                </c:pt>
                <c:pt idx="21">
                  <c:v>-8.9000000000000075</c:v>
                </c:pt>
                <c:pt idx="22">
                  <c:v>-8.8000000000000078</c:v>
                </c:pt>
                <c:pt idx="23">
                  <c:v>-8.7000000000000082</c:v>
                </c:pt>
                <c:pt idx="24">
                  <c:v>-8.6000000000000085</c:v>
                </c:pt>
                <c:pt idx="25">
                  <c:v>-8.5000000000000089</c:v>
                </c:pt>
                <c:pt idx="26">
                  <c:v>-8.4000000000000092</c:v>
                </c:pt>
                <c:pt idx="27">
                  <c:v>-8.3000000000000096</c:v>
                </c:pt>
                <c:pt idx="28">
                  <c:v>-8.2000000000000099</c:v>
                </c:pt>
                <c:pt idx="29">
                  <c:v>-8.1000000000000103</c:v>
                </c:pt>
                <c:pt idx="30">
                  <c:v>-8.0000000000000107</c:v>
                </c:pt>
                <c:pt idx="31">
                  <c:v>-7.900000000000011</c:v>
                </c:pt>
                <c:pt idx="32">
                  <c:v>-7.8000000000000114</c:v>
                </c:pt>
                <c:pt idx="33">
                  <c:v>-7.7000000000000117</c:v>
                </c:pt>
                <c:pt idx="34">
                  <c:v>-7.6000000000000121</c:v>
                </c:pt>
                <c:pt idx="35">
                  <c:v>-7.5000000000000124</c:v>
                </c:pt>
                <c:pt idx="36">
                  <c:v>-7.4000000000000128</c:v>
                </c:pt>
                <c:pt idx="37">
                  <c:v>-7.3000000000000131</c:v>
                </c:pt>
                <c:pt idx="38">
                  <c:v>-7.2000000000000135</c:v>
                </c:pt>
                <c:pt idx="39">
                  <c:v>-7.1000000000000139</c:v>
                </c:pt>
                <c:pt idx="40">
                  <c:v>-7.0000000000000142</c:v>
                </c:pt>
                <c:pt idx="41">
                  <c:v>-6.9000000000000146</c:v>
                </c:pt>
                <c:pt idx="42">
                  <c:v>-6.8000000000000149</c:v>
                </c:pt>
                <c:pt idx="43">
                  <c:v>-6.7000000000000153</c:v>
                </c:pt>
                <c:pt idx="44">
                  <c:v>-6.6000000000000156</c:v>
                </c:pt>
                <c:pt idx="45">
                  <c:v>-6.500000000000016</c:v>
                </c:pt>
                <c:pt idx="46">
                  <c:v>-6.4000000000000163</c:v>
                </c:pt>
                <c:pt idx="47">
                  <c:v>-6.3000000000000167</c:v>
                </c:pt>
                <c:pt idx="48">
                  <c:v>-6.2000000000000171</c:v>
                </c:pt>
                <c:pt idx="49">
                  <c:v>-6.1000000000000174</c:v>
                </c:pt>
                <c:pt idx="50">
                  <c:v>-6.0000000000000178</c:v>
                </c:pt>
                <c:pt idx="51">
                  <c:v>-5.9000000000000181</c:v>
                </c:pt>
                <c:pt idx="52">
                  <c:v>-5.8000000000000185</c:v>
                </c:pt>
                <c:pt idx="53">
                  <c:v>-5.7000000000000188</c:v>
                </c:pt>
                <c:pt idx="54">
                  <c:v>-5.6000000000000192</c:v>
                </c:pt>
                <c:pt idx="55">
                  <c:v>-5.5000000000000195</c:v>
                </c:pt>
                <c:pt idx="56">
                  <c:v>-5.4000000000000199</c:v>
                </c:pt>
                <c:pt idx="57">
                  <c:v>-5.3000000000000203</c:v>
                </c:pt>
                <c:pt idx="58">
                  <c:v>-5.2000000000000206</c:v>
                </c:pt>
                <c:pt idx="59">
                  <c:v>-5.100000000000021</c:v>
                </c:pt>
                <c:pt idx="60">
                  <c:v>-5.0000000000000213</c:v>
                </c:pt>
                <c:pt idx="61">
                  <c:v>-4.9000000000000217</c:v>
                </c:pt>
                <c:pt idx="62">
                  <c:v>-4.800000000000022</c:v>
                </c:pt>
                <c:pt idx="63">
                  <c:v>-4.7000000000000224</c:v>
                </c:pt>
                <c:pt idx="64">
                  <c:v>-4.6000000000000227</c:v>
                </c:pt>
                <c:pt idx="65">
                  <c:v>-4.5000000000000231</c:v>
                </c:pt>
                <c:pt idx="66">
                  <c:v>-4.4000000000000234</c:v>
                </c:pt>
                <c:pt idx="67">
                  <c:v>-4.3000000000000238</c:v>
                </c:pt>
                <c:pt idx="68">
                  <c:v>-4.2000000000000242</c:v>
                </c:pt>
                <c:pt idx="69">
                  <c:v>-4.1000000000000245</c:v>
                </c:pt>
                <c:pt idx="70">
                  <c:v>-4.0000000000000249</c:v>
                </c:pt>
                <c:pt idx="71">
                  <c:v>-3.9000000000000248</c:v>
                </c:pt>
                <c:pt idx="72">
                  <c:v>-3.8000000000000247</c:v>
                </c:pt>
                <c:pt idx="73">
                  <c:v>-3.7000000000000246</c:v>
                </c:pt>
                <c:pt idx="74">
                  <c:v>-3.6000000000000245</c:v>
                </c:pt>
                <c:pt idx="75">
                  <c:v>-3.5000000000000244</c:v>
                </c:pt>
                <c:pt idx="76">
                  <c:v>-3.4000000000000243</c:v>
                </c:pt>
                <c:pt idx="77">
                  <c:v>-3.3000000000000242</c:v>
                </c:pt>
                <c:pt idx="78">
                  <c:v>-3.2000000000000242</c:v>
                </c:pt>
                <c:pt idx="79">
                  <c:v>-3.1000000000000241</c:v>
                </c:pt>
                <c:pt idx="80">
                  <c:v>-3.000000000000024</c:v>
                </c:pt>
                <c:pt idx="81">
                  <c:v>-2.9000000000000239</c:v>
                </c:pt>
                <c:pt idx="82">
                  <c:v>-2.8000000000000238</c:v>
                </c:pt>
                <c:pt idx="83">
                  <c:v>-2.7000000000000237</c:v>
                </c:pt>
                <c:pt idx="84">
                  <c:v>-2.6000000000000236</c:v>
                </c:pt>
                <c:pt idx="85">
                  <c:v>-2.5000000000000235</c:v>
                </c:pt>
                <c:pt idx="86">
                  <c:v>-2.4000000000000234</c:v>
                </c:pt>
                <c:pt idx="87">
                  <c:v>-2.3000000000000234</c:v>
                </c:pt>
                <c:pt idx="88">
                  <c:v>-2.2000000000000233</c:v>
                </c:pt>
                <c:pt idx="89">
                  <c:v>-2.1000000000000232</c:v>
                </c:pt>
                <c:pt idx="90">
                  <c:v>-2.0000000000000231</c:v>
                </c:pt>
                <c:pt idx="91">
                  <c:v>-1.900000000000023</c:v>
                </c:pt>
                <c:pt idx="92">
                  <c:v>-1.8000000000000229</c:v>
                </c:pt>
                <c:pt idx="93">
                  <c:v>-1.7000000000000228</c:v>
                </c:pt>
                <c:pt idx="94">
                  <c:v>-1.6000000000000227</c:v>
                </c:pt>
                <c:pt idx="95">
                  <c:v>-1.5000000000000226</c:v>
                </c:pt>
                <c:pt idx="96">
                  <c:v>-1.4000000000000226</c:v>
                </c:pt>
                <c:pt idx="97">
                  <c:v>-1.3000000000000225</c:v>
                </c:pt>
                <c:pt idx="98">
                  <c:v>-1.2000000000000224</c:v>
                </c:pt>
                <c:pt idx="99">
                  <c:v>-1.1000000000000223</c:v>
                </c:pt>
                <c:pt idx="100">
                  <c:v>-1.0000000000000222</c:v>
                </c:pt>
                <c:pt idx="101">
                  <c:v>-0.90000000000002223</c:v>
                </c:pt>
                <c:pt idx="102">
                  <c:v>-0.80000000000002225</c:v>
                </c:pt>
                <c:pt idx="103">
                  <c:v>-0.70000000000002227</c:v>
                </c:pt>
                <c:pt idx="104">
                  <c:v>-0.60000000000002229</c:v>
                </c:pt>
                <c:pt idx="105">
                  <c:v>-0.50000000000002232</c:v>
                </c:pt>
                <c:pt idx="106">
                  <c:v>-0.40000000000002234</c:v>
                </c:pt>
                <c:pt idx="107">
                  <c:v>-0.30000000000002236</c:v>
                </c:pt>
                <c:pt idx="108">
                  <c:v>-0.20000000000002235</c:v>
                </c:pt>
                <c:pt idx="109">
                  <c:v>-0.10000000000002235</c:v>
                </c:pt>
                <c:pt idx="110">
                  <c:v>-2.2343238370581275E-14</c:v>
                </c:pt>
                <c:pt idx="111">
                  <c:v>9.9999999999977662E-2</c:v>
                </c:pt>
                <c:pt idx="112">
                  <c:v>0.19999999999997767</c:v>
                </c:pt>
                <c:pt idx="113">
                  <c:v>0.29999999999997767</c:v>
                </c:pt>
                <c:pt idx="114">
                  <c:v>0.39999999999997771</c:v>
                </c:pt>
                <c:pt idx="115">
                  <c:v>0.49999999999997768</c:v>
                </c:pt>
                <c:pt idx="116">
                  <c:v>0.59999999999997766</c:v>
                </c:pt>
                <c:pt idx="117">
                  <c:v>0.69999999999997764</c:v>
                </c:pt>
                <c:pt idx="118">
                  <c:v>0.79999999999997762</c:v>
                </c:pt>
                <c:pt idx="119">
                  <c:v>0.8999999999999776</c:v>
                </c:pt>
                <c:pt idx="120">
                  <c:v>0.99999999999997757</c:v>
                </c:pt>
                <c:pt idx="121">
                  <c:v>1.0999999999999777</c:v>
                </c:pt>
                <c:pt idx="122">
                  <c:v>1.1999999999999778</c:v>
                </c:pt>
                <c:pt idx="123">
                  <c:v>1.2999999999999778</c:v>
                </c:pt>
                <c:pt idx="124">
                  <c:v>1.3999999999999779</c:v>
                </c:pt>
                <c:pt idx="125">
                  <c:v>1.499999999999978</c:v>
                </c:pt>
                <c:pt idx="126">
                  <c:v>1.5999999999999781</c:v>
                </c:pt>
                <c:pt idx="127">
                  <c:v>1.6999999999999782</c:v>
                </c:pt>
                <c:pt idx="128">
                  <c:v>1.7999999999999783</c:v>
                </c:pt>
                <c:pt idx="129">
                  <c:v>1.8999999999999784</c:v>
                </c:pt>
                <c:pt idx="130">
                  <c:v>1.9999999999999785</c:v>
                </c:pt>
                <c:pt idx="131">
                  <c:v>2.0999999999999783</c:v>
                </c:pt>
                <c:pt idx="132">
                  <c:v>2.1999999999999784</c:v>
                </c:pt>
                <c:pt idx="133">
                  <c:v>2.2999999999999785</c:v>
                </c:pt>
                <c:pt idx="134">
                  <c:v>2.3999999999999786</c:v>
                </c:pt>
                <c:pt idx="135">
                  <c:v>2.4999999999999787</c:v>
                </c:pt>
                <c:pt idx="136">
                  <c:v>2.5999999999999788</c:v>
                </c:pt>
                <c:pt idx="137">
                  <c:v>2.6999999999999789</c:v>
                </c:pt>
                <c:pt idx="138">
                  <c:v>2.799999999999979</c:v>
                </c:pt>
                <c:pt idx="139">
                  <c:v>2.899999999999979</c:v>
                </c:pt>
                <c:pt idx="140">
                  <c:v>2.9999999999999791</c:v>
                </c:pt>
                <c:pt idx="141">
                  <c:v>3.0999999999999792</c:v>
                </c:pt>
                <c:pt idx="142">
                  <c:v>3.1999999999999793</c:v>
                </c:pt>
                <c:pt idx="143">
                  <c:v>3.2999999999999794</c:v>
                </c:pt>
                <c:pt idx="144">
                  <c:v>3.3999999999999795</c:v>
                </c:pt>
                <c:pt idx="145">
                  <c:v>3.4999999999999796</c:v>
                </c:pt>
                <c:pt idx="146">
                  <c:v>3.5999999999999797</c:v>
                </c:pt>
                <c:pt idx="147">
                  <c:v>3.6999999999999797</c:v>
                </c:pt>
                <c:pt idx="148">
                  <c:v>3.7999999999999798</c:v>
                </c:pt>
                <c:pt idx="149">
                  <c:v>3.8999999999999799</c:v>
                </c:pt>
                <c:pt idx="150">
                  <c:v>3.99999999999998</c:v>
                </c:pt>
                <c:pt idx="151">
                  <c:v>4.0999999999999801</c:v>
                </c:pt>
                <c:pt idx="152">
                  <c:v>4.1999999999999797</c:v>
                </c:pt>
                <c:pt idx="153">
                  <c:v>4.2999999999999794</c:v>
                </c:pt>
                <c:pt idx="154">
                  <c:v>4.399999999999979</c:v>
                </c:pt>
                <c:pt idx="155">
                  <c:v>4.4999999999999787</c:v>
                </c:pt>
                <c:pt idx="156">
                  <c:v>4.5999999999999783</c:v>
                </c:pt>
                <c:pt idx="157">
                  <c:v>4.699999999999978</c:v>
                </c:pt>
                <c:pt idx="158">
                  <c:v>4.7999999999999776</c:v>
                </c:pt>
                <c:pt idx="159">
                  <c:v>4.8999999999999773</c:v>
                </c:pt>
                <c:pt idx="160">
                  <c:v>4.9999999999999769</c:v>
                </c:pt>
                <c:pt idx="161">
                  <c:v>5.0999999999999766</c:v>
                </c:pt>
                <c:pt idx="162">
                  <c:v>5.1999999999999762</c:v>
                </c:pt>
                <c:pt idx="163">
                  <c:v>5.2999999999999758</c:v>
                </c:pt>
                <c:pt idx="164">
                  <c:v>5.3999999999999755</c:v>
                </c:pt>
                <c:pt idx="165">
                  <c:v>5.4999999999999751</c:v>
                </c:pt>
                <c:pt idx="166">
                  <c:v>5.5999999999999748</c:v>
                </c:pt>
                <c:pt idx="167">
                  <c:v>5.6999999999999744</c:v>
                </c:pt>
                <c:pt idx="168">
                  <c:v>5.7999999999999741</c:v>
                </c:pt>
                <c:pt idx="169">
                  <c:v>5.8999999999999737</c:v>
                </c:pt>
                <c:pt idx="170">
                  <c:v>5.9999999999999734</c:v>
                </c:pt>
                <c:pt idx="171">
                  <c:v>6.099999999999973</c:v>
                </c:pt>
                <c:pt idx="172">
                  <c:v>6.1999999999999726</c:v>
                </c:pt>
                <c:pt idx="173">
                  <c:v>6.2999999999999723</c:v>
                </c:pt>
                <c:pt idx="174">
                  <c:v>6.3999999999999719</c:v>
                </c:pt>
                <c:pt idx="175">
                  <c:v>6.4999999999999716</c:v>
                </c:pt>
                <c:pt idx="176">
                  <c:v>6.5999999999999712</c:v>
                </c:pt>
                <c:pt idx="177">
                  <c:v>6.6999999999999709</c:v>
                </c:pt>
                <c:pt idx="178">
                  <c:v>6.7999999999999705</c:v>
                </c:pt>
                <c:pt idx="179">
                  <c:v>6.8999999999999702</c:v>
                </c:pt>
                <c:pt idx="180">
                  <c:v>6.9999999999999698</c:v>
                </c:pt>
                <c:pt idx="181">
                  <c:v>7.0999999999999694</c:v>
                </c:pt>
                <c:pt idx="182">
                  <c:v>7.1999999999999691</c:v>
                </c:pt>
                <c:pt idx="183">
                  <c:v>7.2999999999999687</c:v>
                </c:pt>
                <c:pt idx="184">
                  <c:v>7.3999999999999684</c:v>
                </c:pt>
                <c:pt idx="185">
                  <c:v>7.499999999999968</c:v>
                </c:pt>
                <c:pt idx="186">
                  <c:v>7.5999999999999677</c:v>
                </c:pt>
                <c:pt idx="187">
                  <c:v>7.6999999999999673</c:v>
                </c:pt>
                <c:pt idx="188">
                  <c:v>7.799999999999967</c:v>
                </c:pt>
                <c:pt idx="189">
                  <c:v>7.8999999999999666</c:v>
                </c:pt>
                <c:pt idx="190">
                  <c:v>7.9999999999999662</c:v>
                </c:pt>
                <c:pt idx="191">
                  <c:v>8.0999999999999659</c:v>
                </c:pt>
                <c:pt idx="192">
                  <c:v>8.1999999999999655</c:v>
                </c:pt>
                <c:pt idx="193">
                  <c:v>8.2999999999999652</c:v>
                </c:pt>
                <c:pt idx="194">
                  <c:v>8.3999999999999648</c:v>
                </c:pt>
                <c:pt idx="195">
                  <c:v>8.4999999999999645</c:v>
                </c:pt>
                <c:pt idx="196">
                  <c:v>8.5999999999999641</c:v>
                </c:pt>
                <c:pt idx="197">
                  <c:v>8.6999999999999638</c:v>
                </c:pt>
                <c:pt idx="198">
                  <c:v>8.7999999999999634</c:v>
                </c:pt>
                <c:pt idx="199">
                  <c:v>8.8999999999999631</c:v>
                </c:pt>
                <c:pt idx="200">
                  <c:v>8.9999999999999627</c:v>
                </c:pt>
                <c:pt idx="201">
                  <c:v>9.0999999999999623</c:v>
                </c:pt>
                <c:pt idx="202">
                  <c:v>9.199999999999962</c:v>
                </c:pt>
                <c:pt idx="203">
                  <c:v>9.2999999999999616</c:v>
                </c:pt>
                <c:pt idx="204">
                  <c:v>9.3999999999999613</c:v>
                </c:pt>
                <c:pt idx="205">
                  <c:v>9.4999999999999609</c:v>
                </c:pt>
                <c:pt idx="206">
                  <c:v>9.5999999999999606</c:v>
                </c:pt>
                <c:pt idx="207">
                  <c:v>9.6999999999999602</c:v>
                </c:pt>
                <c:pt idx="208">
                  <c:v>9.7999999999999599</c:v>
                </c:pt>
                <c:pt idx="209">
                  <c:v>9.8999999999999595</c:v>
                </c:pt>
                <c:pt idx="210">
                  <c:v>9.9999999999999591</c:v>
                </c:pt>
                <c:pt idx="211">
                  <c:v>10.099999999999959</c:v>
                </c:pt>
                <c:pt idx="212">
                  <c:v>10.199999999999958</c:v>
                </c:pt>
                <c:pt idx="213">
                  <c:v>10.299999999999958</c:v>
                </c:pt>
                <c:pt idx="214">
                  <c:v>10.399999999999958</c:v>
                </c:pt>
                <c:pt idx="215">
                  <c:v>10.499999999999957</c:v>
                </c:pt>
                <c:pt idx="216">
                  <c:v>10.599999999999957</c:v>
                </c:pt>
                <c:pt idx="217">
                  <c:v>10.699999999999957</c:v>
                </c:pt>
                <c:pt idx="218">
                  <c:v>10.799999999999956</c:v>
                </c:pt>
                <c:pt idx="219">
                  <c:v>10.899999999999956</c:v>
                </c:pt>
                <c:pt idx="220">
                  <c:v>10.999999999999956</c:v>
                </c:pt>
              </c:numCache>
            </c:numRef>
          </c:xVal>
          <c:yVal>
            <c:numRef>
              <c:f>ArtificialTreatments!$Z$21:$Z$241</c:f>
              <c:numCache>
                <c:formatCode>General</c:formatCode>
                <c:ptCount val="221"/>
                <c:pt idx="0">
                  <c:v>-0.5892693540295908</c:v>
                </c:pt>
                <c:pt idx="1">
                  <c:v>-0.5892693540295908</c:v>
                </c:pt>
                <c:pt idx="2">
                  <c:v>-0.5892693540295908</c:v>
                </c:pt>
                <c:pt idx="3">
                  <c:v>-0.5892693540295908</c:v>
                </c:pt>
                <c:pt idx="4">
                  <c:v>-0.5892693540295908</c:v>
                </c:pt>
                <c:pt idx="5">
                  <c:v>-0.5892693540295908</c:v>
                </c:pt>
                <c:pt idx="6">
                  <c:v>-0.5892693540295908</c:v>
                </c:pt>
                <c:pt idx="7">
                  <c:v>-0.5892693540295908</c:v>
                </c:pt>
                <c:pt idx="8">
                  <c:v>-0.5892693540295908</c:v>
                </c:pt>
                <c:pt idx="9">
                  <c:v>-0.5892693540295908</c:v>
                </c:pt>
                <c:pt idx="10">
                  <c:v>-0.5892693540295908</c:v>
                </c:pt>
                <c:pt idx="11">
                  <c:v>-0.5892693540295908</c:v>
                </c:pt>
                <c:pt idx="12">
                  <c:v>-0.5892693540295908</c:v>
                </c:pt>
                <c:pt idx="13">
                  <c:v>-0.5892693540295908</c:v>
                </c:pt>
                <c:pt idx="14">
                  <c:v>-0.5892693540295908</c:v>
                </c:pt>
                <c:pt idx="15">
                  <c:v>-0.5892693540295908</c:v>
                </c:pt>
                <c:pt idx="16">
                  <c:v>-0.5892693540295908</c:v>
                </c:pt>
                <c:pt idx="17">
                  <c:v>-0.5892693540295908</c:v>
                </c:pt>
                <c:pt idx="18">
                  <c:v>-0.5892693540295908</c:v>
                </c:pt>
                <c:pt idx="19">
                  <c:v>-0.5892693540295908</c:v>
                </c:pt>
                <c:pt idx="20">
                  <c:v>-0.5892693540295908</c:v>
                </c:pt>
                <c:pt idx="21">
                  <c:v>-0.57609668211041831</c:v>
                </c:pt>
                <c:pt idx="22">
                  <c:v>-0.56292401019124472</c:v>
                </c:pt>
                <c:pt idx="23">
                  <c:v>-0.54975133827207112</c:v>
                </c:pt>
                <c:pt idx="24">
                  <c:v>-0.53657866635289764</c:v>
                </c:pt>
                <c:pt idx="25">
                  <c:v>-0.52340599443372404</c:v>
                </c:pt>
                <c:pt idx="26">
                  <c:v>-0.51023332251455056</c:v>
                </c:pt>
                <c:pt idx="27">
                  <c:v>-0.49706065059537696</c:v>
                </c:pt>
                <c:pt idx="28">
                  <c:v>-0.48388797867620342</c:v>
                </c:pt>
                <c:pt idx="29">
                  <c:v>-0.47071530675702988</c:v>
                </c:pt>
                <c:pt idx="30">
                  <c:v>-0.45754263483785634</c:v>
                </c:pt>
                <c:pt idx="31">
                  <c:v>-0.4443699629186828</c:v>
                </c:pt>
                <c:pt idx="32">
                  <c:v>-0.43119729099950926</c:v>
                </c:pt>
                <c:pt idx="33">
                  <c:v>-0.41802461908033572</c:v>
                </c:pt>
                <c:pt idx="34">
                  <c:v>-0.40485194716116218</c:v>
                </c:pt>
                <c:pt idx="35">
                  <c:v>-0.39167927524198864</c:v>
                </c:pt>
                <c:pt idx="36">
                  <c:v>-0.37850660332281499</c:v>
                </c:pt>
                <c:pt idx="37">
                  <c:v>-0.36533393140364145</c:v>
                </c:pt>
                <c:pt idx="38">
                  <c:v>-0.35216125948446791</c:v>
                </c:pt>
                <c:pt idx="39">
                  <c:v>-0.33898858756529443</c:v>
                </c:pt>
                <c:pt idx="40">
                  <c:v>-0.32581591564612089</c:v>
                </c:pt>
                <c:pt idx="41">
                  <c:v>-0.31264324372694735</c:v>
                </c:pt>
                <c:pt idx="42">
                  <c:v>-0.29947057180777381</c:v>
                </c:pt>
                <c:pt idx="43">
                  <c:v>-0.28629789988860022</c:v>
                </c:pt>
                <c:pt idx="44">
                  <c:v>-0.27312522796942668</c:v>
                </c:pt>
                <c:pt idx="45">
                  <c:v>-0.25995255605025314</c:v>
                </c:pt>
                <c:pt idx="46">
                  <c:v>-0.2467798841310796</c:v>
                </c:pt>
                <c:pt idx="47">
                  <c:v>-0.23360721221190606</c:v>
                </c:pt>
                <c:pt idx="48">
                  <c:v>-0.22043454029273252</c:v>
                </c:pt>
                <c:pt idx="49">
                  <c:v>-0.20726186837355903</c:v>
                </c:pt>
                <c:pt idx="50">
                  <c:v>-0.19408919645438549</c:v>
                </c:pt>
                <c:pt idx="51">
                  <c:v>-0.18091652453521201</c:v>
                </c:pt>
                <c:pt idx="52">
                  <c:v>-0.16774385261603844</c:v>
                </c:pt>
                <c:pt idx="53">
                  <c:v>-0.1545711806968649</c:v>
                </c:pt>
                <c:pt idx="54">
                  <c:v>-0.14139850877769136</c:v>
                </c:pt>
                <c:pt idx="55">
                  <c:v>-0.12822583685851785</c:v>
                </c:pt>
                <c:pt idx="56">
                  <c:v>-1.690452959566124</c:v>
                </c:pt>
                <c:pt idx="57">
                  <c:v>-0.10188049302017074</c:v>
                </c:pt>
                <c:pt idx="58">
                  <c:v>-8.8707821100997203E-2</c:v>
                </c:pt>
                <c:pt idx="59">
                  <c:v>-7.5535149181823663E-2</c:v>
                </c:pt>
                <c:pt idx="60">
                  <c:v>-6.2362477262650123E-2</c:v>
                </c:pt>
                <c:pt idx="61">
                  <c:v>-4.9189805343476584E-2</c:v>
                </c:pt>
                <c:pt idx="62">
                  <c:v>-3.6017133424303044E-2</c:v>
                </c:pt>
                <c:pt idx="63">
                  <c:v>-2.2844461505129504E-2</c:v>
                </c:pt>
                <c:pt idx="64">
                  <c:v>-9.6717895859559366E-3</c:v>
                </c:pt>
                <c:pt idx="65">
                  <c:v>3.5008823332176031E-3</c:v>
                </c:pt>
                <c:pt idx="66">
                  <c:v>1.6673554252391115E-2</c:v>
                </c:pt>
                <c:pt idx="67">
                  <c:v>2.9846226171564655E-2</c:v>
                </c:pt>
                <c:pt idx="68">
                  <c:v>4.3018898090738222E-2</c:v>
                </c:pt>
                <c:pt idx="69">
                  <c:v>5.6191570009911748E-2</c:v>
                </c:pt>
                <c:pt idx="70">
                  <c:v>6.9364241929085288E-2</c:v>
                </c:pt>
                <c:pt idx="71">
                  <c:v>8.2536913848258828E-2</c:v>
                </c:pt>
                <c:pt idx="72">
                  <c:v>9.5709585767432548E-2</c:v>
                </c:pt>
                <c:pt idx="73">
                  <c:v>0.10888225768660617</c:v>
                </c:pt>
                <c:pt idx="74">
                  <c:v>0.12205492960577971</c:v>
                </c:pt>
                <c:pt idx="75">
                  <c:v>0.13522760152495328</c:v>
                </c:pt>
                <c:pt idx="76">
                  <c:v>0.1484002734441269</c:v>
                </c:pt>
                <c:pt idx="77">
                  <c:v>0.16157294536330061</c:v>
                </c:pt>
                <c:pt idx="78">
                  <c:v>0.17474561728247415</c:v>
                </c:pt>
                <c:pt idx="79">
                  <c:v>0.18791828920164769</c:v>
                </c:pt>
                <c:pt idx="80">
                  <c:v>0.20109096112082131</c:v>
                </c:pt>
                <c:pt idx="81">
                  <c:v>0.22065331789429243</c:v>
                </c:pt>
                <c:pt idx="82">
                  <c:v>0.24021567466776511</c:v>
                </c:pt>
                <c:pt idx="83">
                  <c:v>0.25977803144123779</c:v>
                </c:pt>
                <c:pt idx="84">
                  <c:v>0.27934038821471041</c:v>
                </c:pt>
                <c:pt idx="85">
                  <c:v>0.29890274498818303</c:v>
                </c:pt>
                <c:pt idx="86">
                  <c:v>0.31846510176165571</c:v>
                </c:pt>
                <c:pt idx="87">
                  <c:v>0.33802745853512833</c:v>
                </c:pt>
                <c:pt idx="88">
                  <c:v>0.35758981530860101</c:v>
                </c:pt>
                <c:pt idx="89">
                  <c:v>0.37715217208207363</c:v>
                </c:pt>
                <c:pt idx="90">
                  <c:v>0.39671452885554637</c:v>
                </c:pt>
                <c:pt idx="91">
                  <c:v>0.41627688562901899</c:v>
                </c:pt>
                <c:pt idx="92">
                  <c:v>0.43583924240249167</c:v>
                </c:pt>
                <c:pt idx="93">
                  <c:v>0.45540159917596434</c:v>
                </c:pt>
                <c:pt idx="94">
                  <c:v>0.47496395594943691</c:v>
                </c:pt>
                <c:pt idx="95">
                  <c:v>0.49452631272290959</c:v>
                </c:pt>
                <c:pt idx="96">
                  <c:v>0.51408866949638221</c:v>
                </c:pt>
                <c:pt idx="97">
                  <c:v>0.53365102626985494</c:v>
                </c:pt>
                <c:pt idx="98">
                  <c:v>0.55321338304332757</c:v>
                </c:pt>
                <c:pt idx="99">
                  <c:v>0.57277573981680019</c:v>
                </c:pt>
                <c:pt idx="100">
                  <c:v>0.59233809659027292</c:v>
                </c:pt>
                <c:pt idx="101">
                  <c:v>0.61190045336374554</c:v>
                </c:pt>
                <c:pt idx="102">
                  <c:v>0.63146281013721817</c:v>
                </c:pt>
                <c:pt idx="103">
                  <c:v>0.65102516691069079</c:v>
                </c:pt>
                <c:pt idx="104">
                  <c:v>0.67058752368416341</c:v>
                </c:pt>
                <c:pt idx="105">
                  <c:v>0.69014988045763603</c:v>
                </c:pt>
                <c:pt idx="106">
                  <c:v>0.70971223723110866</c:v>
                </c:pt>
                <c:pt idx="107">
                  <c:v>0.72927459400458128</c:v>
                </c:pt>
                <c:pt idx="108">
                  <c:v>0.7488369507780539</c:v>
                </c:pt>
                <c:pt idx="109">
                  <c:v>0.76839930755152652</c:v>
                </c:pt>
                <c:pt idx="110">
                  <c:v>0.78796166432499926</c:v>
                </c:pt>
                <c:pt idx="111">
                  <c:v>0.80752402109847188</c:v>
                </c:pt>
                <c:pt idx="112">
                  <c:v>0.82708637787194439</c:v>
                </c:pt>
                <c:pt idx="113">
                  <c:v>0.84664873464541712</c:v>
                </c:pt>
                <c:pt idx="114">
                  <c:v>0.86621109141888986</c:v>
                </c:pt>
                <c:pt idx="115">
                  <c:v>0.88577344819236237</c:v>
                </c:pt>
                <c:pt idx="116">
                  <c:v>0.90533580496583499</c:v>
                </c:pt>
                <c:pt idx="117">
                  <c:v>0.92489816173930761</c:v>
                </c:pt>
                <c:pt idx="118">
                  <c:v>0.94446051851278034</c:v>
                </c:pt>
                <c:pt idx="119">
                  <c:v>0.96402287528625297</c:v>
                </c:pt>
                <c:pt idx="120">
                  <c:v>0.98358523205972559</c:v>
                </c:pt>
                <c:pt idx="121">
                  <c:v>1.0031475888331982</c:v>
                </c:pt>
                <c:pt idx="122">
                  <c:v>1.0227099456066708</c:v>
                </c:pt>
                <c:pt idx="123">
                  <c:v>1.0422723023801435</c:v>
                </c:pt>
                <c:pt idx="124">
                  <c:v>1.0618346591536163</c:v>
                </c:pt>
                <c:pt idx="125">
                  <c:v>1.0813970159270887</c:v>
                </c:pt>
                <c:pt idx="126">
                  <c:v>1.1009593727005615</c:v>
                </c:pt>
                <c:pt idx="127">
                  <c:v>1.1205217294740342</c:v>
                </c:pt>
                <c:pt idx="128">
                  <c:v>1.1400840862475068</c:v>
                </c:pt>
                <c:pt idx="129">
                  <c:v>1.1596464430209794</c:v>
                </c:pt>
                <c:pt idx="130">
                  <c:v>1.1792087997944523</c:v>
                </c:pt>
                <c:pt idx="131">
                  <c:v>1.1987711565679247</c:v>
                </c:pt>
                <c:pt idx="132">
                  <c:v>1.2183335133413973</c:v>
                </c:pt>
                <c:pt idx="133">
                  <c:v>1.2378958701148701</c:v>
                </c:pt>
                <c:pt idx="134">
                  <c:v>1.2574582268883427</c:v>
                </c:pt>
                <c:pt idx="135">
                  <c:v>1.2770205836618154</c:v>
                </c:pt>
                <c:pt idx="136">
                  <c:v>1.296582940435288</c:v>
                </c:pt>
                <c:pt idx="137">
                  <c:v>1.3161452972087606</c:v>
                </c:pt>
                <c:pt idx="138">
                  <c:v>1.3357076539822335</c:v>
                </c:pt>
                <c:pt idx="139">
                  <c:v>1.3552700107557059</c:v>
                </c:pt>
                <c:pt idx="140">
                  <c:v>1.3748323675291785</c:v>
                </c:pt>
                <c:pt idx="141">
                  <c:v>1.1607135727492768</c:v>
                </c:pt>
                <c:pt idx="142">
                  <c:v>0.94659477796932623</c:v>
                </c:pt>
                <c:pt idx="143">
                  <c:v>0.7324759831893759</c:v>
                </c:pt>
                <c:pt idx="144">
                  <c:v>0.51835718840942535</c:v>
                </c:pt>
                <c:pt idx="145">
                  <c:v>0.3042383936294748</c:v>
                </c:pt>
                <c:pt idx="146">
                  <c:v>9.0119598849524252E-2</c:v>
                </c:pt>
                <c:pt idx="147">
                  <c:v>-0.1239991959304263</c:v>
                </c:pt>
                <c:pt idx="148">
                  <c:v>-0.33811799071037668</c:v>
                </c:pt>
                <c:pt idx="149">
                  <c:v>-0.55223678549032729</c:v>
                </c:pt>
                <c:pt idx="150">
                  <c:v>-0.76635558027027784</c:v>
                </c:pt>
                <c:pt idx="151">
                  <c:v>-0.55546150238721714</c:v>
                </c:pt>
                <c:pt idx="152">
                  <c:v>-0.34456742450407246</c:v>
                </c:pt>
                <c:pt idx="153">
                  <c:v>-0.13367334662092789</c:v>
                </c:pt>
                <c:pt idx="154">
                  <c:v>7.7220731262216846E-2</c:v>
                </c:pt>
                <c:pt idx="155">
                  <c:v>0.28811480914536147</c:v>
                </c:pt>
                <c:pt idx="156">
                  <c:v>0.49900888702850615</c:v>
                </c:pt>
                <c:pt idx="157">
                  <c:v>0.70990296491165072</c:v>
                </c:pt>
                <c:pt idx="158">
                  <c:v>0.92079704279479546</c:v>
                </c:pt>
                <c:pt idx="159">
                  <c:v>1.1316911206779401</c:v>
                </c:pt>
                <c:pt idx="160">
                  <c:v>1.3425851985610846</c:v>
                </c:pt>
                <c:pt idx="161">
                  <c:v>1.2103119500307233</c:v>
                </c:pt>
                <c:pt idx="162">
                  <c:v>1.0780387015002828</c:v>
                </c:pt>
                <c:pt idx="163">
                  <c:v>0.94576545296984227</c:v>
                </c:pt>
                <c:pt idx="164">
                  <c:v>0.81349220443940162</c:v>
                </c:pt>
                <c:pt idx="165">
                  <c:v>0.68121895590896109</c:v>
                </c:pt>
                <c:pt idx="166">
                  <c:v>0.54894570737852033</c:v>
                </c:pt>
                <c:pt idx="167">
                  <c:v>0.4166724588480798</c:v>
                </c:pt>
                <c:pt idx="168">
                  <c:v>0.28439921031763921</c:v>
                </c:pt>
                <c:pt idx="169">
                  <c:v>0.15212596178719862</c:v>
                </c:pt>
                <c:pt idx="170">
                  <c:v>1.9852713256722776E-2</c:v>
                </c:pt>
                <c:pt idx="171">
                  <c:v>1.9852713256722776E-2</c:v>
                </c:pt>
                <c:pt idx="172">
                  <c:v>1.9852713256722776E-2</c:v>
                </c:pt>
                <c:pt idx="173">
                  <c:v>1.9852713256722776E-2</c:v>
                </c:pt>
                <c:pt idx="174">
                  <c:v>1.9852713256722776E-2</c:v>
                </c:pt>
                <c:pt idx="175">
                  <c:v>1.9852713256722776E-2</c:v>
                </c:pt>
                <c:pt idx="176">
                  <c:v>1.9852713256722776E-2</c:v>
                </c:pt>
                <c:pt idx="177">
                  <c:v>1.9852713256722776E-2</c:v>
                </c:pt>
                <c:pt idx="178">
                  <c:v>1.9852713256722776E-2</c:v>
                </c:pt>
                <c:pt idx="179">
                  <c:v>1.9852713256722776E-2</c:v>
                </c:pt>
                <c:pt idx="180">
                  <c:v>1.9852713256722776E-2</c:v>
                </c:pt>
                <c:pt idx="181">
                  <c:v>1.9852713256722776E-2</c:v>
                </c:pt>
                <c:pt idx="182">
                  <c:v>1.9852713256722776E-2</c:v>
                </c:pt>
                <c:pt idx="183">
                  <c:v>1.9852713256722776E-2</c:v>
                </c:pt>
                <c:pt idx="184">
                  <c:v>1.9852713256722776E-2</c:v>
                </c:pt>
                <c:pt idx="185">
                  <c:v>1.9852713256722776E-2</c:v>
                </c:pt>
                <c:pt idx="186">
                  <c:v>1.9852713256722776E-2</c:v>
                </c:pt>
                <c:pt idx="187">
                  <c:v>1.9852713256722776E-2</c:v>
                </c:pt>
                <c:pt idx="188">
                  <c:v>1.9852713256722776E-2</c:v>
                </c:pt>
                <c:pt idx="189">
                  <c:v>1.9852713256722776E-2</c:v>
                </c:pt>
                <c:pt idx="190">
                  <c:v>1.9852713256722776E-2</c:v>
                </c:pt>
                <c:pt idx="191">
                  <c:v>1.9852713256722776E-2</c:v>
                </c:pt>
                <c:pt idx="192">
                  <c:v>1.9852713256722776E-2</c:v>
                </c:pt>
                <c:pt idx="193">
                  <c:v>1.9852713256722776E-2</c:v>
                </c:pt>
                <c:pt idx="194">
                  <c:v>1.9852713256722776E-2</c:v>
                </c:pt>
                <c:pt idx="195">
                  <c:v>1.9852713256722776E-2</c:v>
                </c:pt>
                <c:pt idx="196">
                  <c:v>1.9852713256722776E-2</c:v>
                </c:pt>
                <c:pt idx="197">
                  <c:v>1.9852713256722776E-2</c:v>
                </c:pt>
                <c:pt idx="198">
                  <c:v>1.9852713256722776E-2</c:v>
                </c:pt>
                <c:pt idx="199">
                  <c:v>1.9852713256722776E-2</c:v>
                </c:pt>
                <c:pt idx="200">
                  <c:v>1.9852713256722776E-2</c:v>
                </c:pt>
                <c:pt idx="201">
                  <c:v>1.9852713256722776E-2</c:v>
                </c:pt>
                <c:pt idx="202">
                  <c:v>1.9852713256722776E-2</c:v>
                </c:pt>
                <c:pt idx="203">
                  <c:v>1.9852713256722776E-2</c:v>
                </c:pt>
                <c:pt idx="204">
                  <c:v>1.9852713256722776E-2</c:v>
                </c:pt>
                <c:pt idx="205">
                  <c:v>1.9852713256722776E-2</c:v>
                </c:pt>
                <c:pt idx="206">
                  <c:v>1.9852713256722776E-2</c:v>
                </c:pt>
                <c:pt idx="207">
                  <c:v>1.9852713256722776E-2</c:v>
                </c:pt>
                <c:pt idx="208">
                  <c:v>-1.690452959566124</c:v>
                </c:pt>
                <c:pt idx="209">
                  <c:v>-1.690452959566124</c:v>
                </c:pt>
                <c:pt idx="210">
                  <c:v>-1.690452959566124</c:v>
                </c:pt>
                <c:pt idx="211">
                  <c:v>-1.690452959566124</c:v>
                </c:pt>
                <c:pt idx="212">
                  <c:v>-1.690452959566124</c:v>
                </c:pt>
                <c:pt idx="213">
                  <c:v>-1.690452959566124</c:v>
                </c:pt>
                <c:pt idx="214">
                  <c:v>-1.690452959566124</c:v>
                </c:pt>
                <c:pt idx="215">
                  <c:v>-1.690452959566124</c:v>
                </c:pt>
                <c:pt idx="216">
                  <c:v>-1.690452959566124</c:v>
                </c:pt>
                <c:pt idx="217">
                  <c:v>-1.690452959566124</c:v>
                </c:pt>
                <c:pt idx="218">
                  <c:v>-1.690452959566124</c:v>
                </c:pt>
                <c:pt idx="219">
                  <c:v>-1.690452959566124</c:v>
                </c:pt>
                <c:pt idx="220">
                  <c:v>-1.690452959566124</c:v>
                </c:pt>
              </c:numCache>
            </c:numRef>
          </c:yVal>
          <c:smooth val="0"/>
          <c:extLst>
            <c:ext xmlns:c16="http://schemas.microsoft.com/office/drawing/2014/chart" uri="{C3380CC4-5D6E-409C-BE32-E72D297353CC}">
              <c16:uniqueId val="{00000002-B8A3-41BF-B430-1FF0726DC2BB}"/>
            </c:ext>
          </c:extLst>
        </c:ser>
        <c:ser>
          <c:idx val="3"/>
          <c:order val="3"/>
          <c:tx>
            <c:strRef>
              <c:f>ArtificialTreatments!$AA$20</c:f>
              <c:strCache>
                <c:ptCount val="1"/>
                <c:pt idx="0">
                  <c:v>Score4</c:v>
                </c:pt>
              </c:strCache>
            </c:strRef>
          </c:tx>
          <c:spPr>
            <a:ln w="19050" cap="rnd">
              <a:solidFill>
                <a:schemeClr val="accent4"/>
              </a:solidFill>
              <a:round/>
            </a:ln>
            <a:effectLst/>
          </c:spPr>
          <c:marker>
            <c:symbol val="none"/>
          </c:marker>
          <c:xVal>
            <c:numRef>
              <c:f>ArtificialTreatments!$B$21:$B$241</c:f>
              <c:numCache>
                <c:formatCode>General</c:formatCode>
                <c:ptCount val="221"/>
                <c:pt idx="0">
                  <c:v>-11</c:v>
                </c:pt>
                <c:pt idx="1">
                  <c:v>-10.9</c:v>
                </c:pt>
                <c:pt idx="2">
                  <c:v>-10.8</c:v>
                </c:pt>
                <c:pt idx="3">
                  <c:v>-10.700000000000001</c:v>
                </c:pt>
                <c:pt idx="4">
                  <c:v>-10.600000000000001</c:v>
                </c:pt>
                <c:pt idx="5">
                  <c:v>-10.500000000000002</c:v>
                </c:pt>
                <c:pt idx="6">
                  <c:v>-10.400000000000002</c:v>
                </c:pt>
                <c:pt idx="7">
                  <c:v>-10.300000000000002</c:v>
                </c:pt>
                <c:pt idx="8">
                  <c:v>-10.200000000000003</c:v>
                </c:pt>
                <c:pt idx="9">
                  <c:v>-10.100000000000003</c:v>
                </c:pt>
                <c:pt idx="10">
                  <c:v>-10.000000000000004</c:v>
                </c:pt>
                <c:pt idx="11">
                  <c:v>-9.9000000000000039</c:v>
                </c:pt>
                <c:pt idx="12">
                  <c:v>-9.8000000000000043</c:v>
                </c:pt>
                <c:pt idx="13">
                  <c:v>-9.7000000000000046</c:v>
                </c:pt>
                <c:pt idx="14">
                  <c:v>-9.600000000000005</c:v>
                </c:pt>
                <c:pt idx="15">
                  <c:v>-9.5000000000000053</c:v>
                </c:pt>
                <c:pt idx="16">
                  <c:v>-9.4000000000000057</c:v>
                </c:pt>
                <c:pt idx="17">
                  <c:v>-9.300000000000006</c:v>
                </c:pt>
                <c:pt idx="18">
                  <c:v>-9.2000000000000064</c:v>
                </c:pt>
                <c:pt idx="19">
                  <c:v>-9.1000000000000068</c:v>
                </c:pt>
                <c:pt idx="20">
                  <c:v>-9.0000000000000071</c:v>
                </c:pt>
                <c:pt idx="21">
                  <c:v>-8.9000000000000075</c:v>
                </c:pt>
                <c:pt idx="22">
                  <c:v>-8.8000000000000078</c:v>
                </c:pt>
                <c:pt idx="23">
                  <c:v>-8.7000000000000082</c:v>
                </c:pt>
                <c:pt idx="24">
                  <c:v>-8.6000000000000085</c:v>
                </c:pt>
                <c:pt idx="25">
                  <c:v>-8.5000000000000089</c:v>
                </c:pt>
                <c:pt idx="26">
                  <c:v>-8.4000000000000092</c:v>
                </c:pt>
                <c:pt idx="27">
                  <c:v>-8.3000000000000096</c:v>
                </c:pt>
                <c:pt idx="28">
                  <c:v>-8.2000000000000099</c:v>
                </c:pt>
                <c:pt idx="29">
                  <c:v>-8.1000000000000103</c:v>
                </c:pt>
                <c:pt idx="30">
                  <c:v>-8.0000000000000107</c:v>
                </c:pt>
                <c:pt idx="31">
                  <c:v>-7.900000000000011</c:v>
                </c:pt>
                <c:pt idx="32">
                  <c:v>-7.8000000000000114</c:v>
                </c:pt>
                <c:pt idx="33">
                  <c:v>-7.7000000000000117</c:v>
                </c:pt>
                <c:pt idx="34">
                  <c:v>-7.6000000000000121</c:v>
                </c:pt>
                <c:pt idx="35">
                  <c:v>-7.5000000000000124</c:v>
                </c:pt>
                <c:pt idx="36">
                  <c:v>-7.4000000000000128</c:v>
                </c:pt>
                <c:pt idx="37">
                  <c:v>-7.3000000000000131</c:v>
                </c:pt>
                <c:pt idx="38">
                  <c:v>-7.2000000000000135</c:v>
                </c:pt>
                <c:pt idx="39">
                  <c:v>-7.1000000000000139</c:v>
                </c:pt>
                <c:pt idx="40">
                  <c:v>-7.0000000000000142</c:v>
                </c:pt>
                <c:pt idx="41">
                  <c:v>-6.9000000000000146</c:v>
                </c:pt>
                <c:pt idx="42">
                  <c:v>-6.8000000000000149</c:v>
                </c:pt>
                <c:pt idx="43">
                  <c:v>-6.7000000000000153</c:v>
                </c:pt>
                <c:pt idx="44">
                  <c:v>-6.6000000000000156</c:v>
                </c:pt>
                <c:pt idx="45">
                  <c:v>-6.500000000000016</c:v>
                </c:pt>
                <c:pt idx="46">
                  <c:v>-6.4000000000000163</c:v>
                </c:pt>
                <c:pt idx="47">
                  <c:v>-6.3000000000000167</c:v>
                </c:pt>
                <c:pt idx="48">
                  <c:v>-6.2000000000000171</c:v>
                </c:pt>
                <c:pt idx="49">
                  <c:v>-6.1000000000000174</c:v>
                </c:pt>
                <c:pt idx="50">
                  <c:v>-6.0000000000000178</c:v>
                </c:pt>
                <c:pt idx="51">
                  <c:v>-5.9000000000000181</c:v>
                </c:pt>
                <c:pt idx="52">
                  <c:v>-5.8000000000000185</c:v>
                </c:pt>
                <c:pt idx="53">
                  <c:v>-5.7000000000000188</c:v>
                </c:pt>
                <c:pt idx="54">
                  <c:v>-5.6000000000000192</c:v>
                </c:pt>
                <c:pt idx="55">
                  <c:v>-5.5000000000000195</c:v>
                </c:pt>
                <c:pt idx="56">
                  <c:v>-5.4000000000000199</c:v>
                </c:pt>
                <c:pt idx="57">
                  <c:v>-5.3000000000000203</c:v>
                </c:pt>
                <c:pt idx="58">
                  <c:v>-5.2000000000000206</c:v>
                </c:pt>
                <c:pt idx="59">
                  <c:v>-5.100000000000021</c:v>
                </c:pt>
                <c:pt idx="60">
                  <c:v>-5.0000000000000213</c:v>
                </c:pt>
                <c:pt idx="61">
                  <c:v>-4.9000000000000217</c:v>
                </c:pt>
                <c:pt idx="62">
                  <c:v>-4.800000000000022</c:v>
                </c:pt>
                <c:pt idx="63">
                  <c:v>-4.7000000000000224</c:v>
                </c:pt>
                <c:pt idx="64">
                  <c:v>-4.6000000000000227</c:v>
                </c:pt>
                <c:pt idx="65">
                  <c:v>-4.5000000000000231</c:v>
                </c:pt>
                <c:pt idx="66">
                  <c:v>-4.4000000000000234</c:v>
                </c:pt>
                <c:pt idx="67">
                  <c:v>-4.3000000000000238</c:v>
                </c:pt>
                <c:pt idx="68">
                  <c:v>-4.2000000000000242</c:v>
                </c:pt>
                <c:pt idx="69">
                  <c:v>-4.1000000000000245</c:v>
                </c:pt>
                <c:pt idx="70">
                  <c:v>-4.0000000000000249</c:v>
                </c:pt>
                <c:pt idx="71">
                  <c:v>-3.9000000000000248</c:v>
                </c:pt>
                <c:pt idx="72">
                  <c:v>-3.8000000000000247</c:v>
                </c:pt>
                <c:pt idx="73">
                  <c:v>-3.7000000000000246</c:v>
                </c:pt>
                <c:pt idx="74">
                  <c:v>-3.6000000000000245</c:v>
                </c:pt>
                <c:pt idx="75">
                  <c:v>-3.5000000000000244</c:v>
                </c:pt>
                <c:pt idx="76">
                  <c:v>-3.4000000000000243</c:v>
                </c:pt>
                <c:pt idx="77">
                  <c:v>-3.3000000000000242</c:v>
                </c:pt>
                <c:pt idx="78">
                  <c:v>-3.2000000000000242</c:v>
                </c:pt>
                <c:pt idx="79">
                  <c:v>-3.1000000000000241</c:v>
                </c:pt>
                <c:pt idx="80">
                  <c:v>-3.000000000000024</c:v>
                </c:pt>
                <c:pt idx="81">
                  <c:v>-2.9000000000000239</c:v>
                </c:pt>
                <c:pt idx="82">
                  <c:v>-2.8000000000000238</c:v>
                </c:pt>
                <c:pt idx="83">
                  <c:v>-2.7000000000000237</c:v>
                </c:pt>
                <c:pt idx="84">
                  <c:v>-2.6000000000000236</c:v>
                </c:pt>
                <c:pt idx="85">
                  <c:v>-2.5000000000000235</c:v>
                </c:pt>
                <c:pt idx="86">
                  <c:v>-2.4000000000000234</c:v>
                </c:pt>
                <c:pt idx="87">
                  <c:v>-2.3000000000000234</c:v>
                </c:pt>
                <c:pt idx="88">
                  <c:v>-2.2000000000000233</c:v>
                </c:pt>
                <c:pt idx="89">
                  <c:v>-2.1000000000000232</c:v>
                </c:pt>
                <c:pt idx="90">
                  <c:v>-2.0000000000000231</c:v>
                </c:pt>
                <c:pt idx="91">
                  <c:v>-1.900000000000023</c:v>
                </c:pt>
                <c:pt idx="92">
                  <c:v>-1.8000000000000229</c:v>
                </c:pt>
                <c:pt idx="93">
                  <c:v>-1.7000000000000228</c:v>
                </c:pt>
                <c:pt idx="94">
                  <c:v>-1.6000000000000227</c:v>
                </c:pt>
                <c:pt idx="95">
                  <c:v>-1.5000000000000226</c:v>
                </c:pt>
                <c:pt idx="96">
                  <c:v>-1.4000000000000226</c:v>
                </c:pt>
                <c:pt idx="97">
                  <c:v>-1.3000000000000225</c:v>
                </c:pt>
                <c:pt idx="98">
                  <c:v>-1.2000000000000224</c:v>
                </c:pt>
                <c:pt idx="99">
                  <c:v>-1.1000000000000223</c:v>
                </c:pt>
                <c:pt idx="100">
                  <c:v>-1.0000000000000222</c:v>
                </c:pt>
                <c:pt idx="101">
                  <c:v>-0.90000000000002223</c:v>
                </c:pt>
                <c:pt idx="102">
                  <c:v>-0.80000000000002225</c:v>
                </c:pt>
                <c:pt idx="103">
                  <c:v>-0.70000000000002227</c:v>
                </c:pt>
                <c:pt idx="104">
                  <c:v>-0.60000000000002229</c:v>
                </c:pt>
                <c:pt idx="105">
                  <c:v>-0.50000000000002232</c:v>
                </c:pt>
                <c:pt idx="106">
                  <c:v>-0.40000000000002234</c:v>
                </c:pt>
                <c:pt idx="107">
                  <c:v>-0.30000000000002236</c:v>
                </c:pt>
                <c:pt idx="108">
                  <c:v>-0.20000000000002235</c:v>
                </c:pt>
                <c:pt idx="109">
                  <c:v>-0.10000000000002235</c:v>
                </c:pt>
                <c:pt idx="110">
                  <c:v>-2.2343238370581275E-14</c:v>
                </c:pt>
                <c:pt idx="111">
                  <c:v>9.9999999999977662E-2</c:v>
                </c:pt>
                <c:pt idx="112">
                  <c:v>0.19999999999997767</c:v>
                </c:pt>
                <c:pt idx="113">
                  <c:v>0.29999999999997767</c:v>
                </c:pt>
                <c:pt idx="114">
                  <c:v>0.39999999999997771</c:v>
                </c:pt>
                <c:pt idx="115">
                  <c:v>0.49999999999997768</c:v>
                </c:pt>
                <c:pt idx="116">
                  <c:v>0.59999999999997766</c:v>
                </c:pt>
                <c:pt idx="117">
                  <c:v>0.69999999999997764</c:v>
                </c:pt>
                <c:pt idx="118">
                  <c:v>0.79999999999997762</c:v>
                </c:pt>
                <c:pt idx="119">
                  <c:v>0.8999999999999776</c:v>
                </c:pt>
                <c:pt idx="120">
                  <c:v>0.99999999999997757</c:v>
                </c:pt>
                <c:pt idx="121">
                  <c:v>1.0999999999999777</c:v>
                </c:pt>
                <c:pt idx="122">
                  <c:v>1.1999999999999778</c:v>
                </c:pt>
                <c:pt idx="123">
                  <c:v>1.2999999999999778</c:v>
                </c:pt>
                <c:pt idx="124">
                  <c:v>1.3999999999999779</c:v>
                </c:pt>
                <c:pt idx="125">
                  <c:v>1.499999999999978</c:v>
                </c:pt>
                <c:pt idx="126">
                  <c:v>1.5999999999999781</c:v>
                </c:pt>
                <c:pt idx="127">
                  <c:v>1.6999999999999782</c:v>
                </c:pt>
                <c:pt idx="128">
                  <c:v>1.7999999999999783</c:v>
                </c:pt>
                <c:pt idx="129">
                  <c:v>1.8999999999999784</c:v>
                </c:pt>
                <c:pt idx="130">
                  <c:v>1.9999999999999785</c:v>
                </c:pt>
                <c:pt idx="131">
                  <c:v>2.0999999999999783</c:v>
                </c:pt>
                <c:pt idx="132">
                  <c:v>2.1999999999999784</c:v>
                </c:pt>
                <c:pt idx="133">
                  <c:v>2.2999999999999785</c:v>
                </c:pt>
                <c:pt idx="134">
                  <c:v>2.3999999999999786</c:v>
                </c:pt>
                <c:pt idx="135">
                  <c:v>2.4999999999999787</c:v>
                </c:pt>
                <c:pt idx="136">
                  <c:v>2.5999999999999788</c:v>
                </c:pt>
                <c:pt idx="137">
                  <c:v>2.6999999999999789</c:v>
                </c:pt>
                <c:pt idx="138">
                  <c:v>2.799999999999979</c:v>
                </c:pt>
                <c:pt idx="139">
                  <c:v>2.899999999999979</c:v>
                </c:pt>
                <c:pt idx="140">
                  <c:v>2.9999999999999791</c:v>
                </c:pt>
                <c:pt idx="141">
                  <c:v>3.0999999999999792</c:v>
                </c:pt>
                <c:pt idx="142">
                  <c:v>3.1999999999999793</c:v>
                </c:pt>
                <c:pt idx="143">
                  <c:v>3.2999999999999794</c:v>
                </c:pt>
                <c:pt idx="144">
                  <c:v>3.3999999999999795</c:v>
                </c:pt>
                <c:pt idx="145">
                  <c:v>3.4999999999999796</c:v>
                </c:pt>
                <c:pt idx="146">
                  <c:v>3.5999999999999797</c:v>
                </c:pt>
                <c:pt idx="147">
                  <c:v>3.6999999999999797</c:v>
                </c:pt>
                <c:pt idx="148">
                  <c:v>3.7999999999999798</c:v>
                </c:pt>
                <c:pt idx="149">
                  <c:v>3.8999999999999799</c:v>
                </c:pt>
                <c:pt idx="150">
                  <c:v>3.99999999999998</c:v>
                </c:pt>
                <c:pt idx="151">
                  <c:v>4.0999999999999801</c:v>
                </c:pt>
                <c:pt idx="152">
                  <c:v>4.1999999999999797</c:v>
                </c:pt>
                <c:pt idx="153">
                  <c:v>4.2999999999999794</c:v>
                </c:pt>
                <c:pt idx="154">
                  <c:v>4.399999999999979</c:v>
                </c:pt>
                <c:pt idx="155">
                  <c:v>4.4999999999999787</c:v>
                </c:pt>
                <c:pt idx="156">
                  <c:v>4.5999999999999783</c:v>
                </c:pt>
                <c:pt idx="157">
                  <c:v>4.699999999999978</c:v>
                </c:pt>
                <c:pt idx="158">
                  <c:v>4.7999999999999776</c:v>
                </c:pt>
                <c:pt idx="159">
                  <c:v>4.8999999999999773</c:v>
                </c:pt>
                <c:pt idx="160">
                  <c:v>4.9999999999999769</c:v>
                </c:pt>
                <c:pt idx="161">
                  <c:v>5.0999999999999766</c:v>
                </c:pt>
                <c:pt idx="162">
                  <c:v>5.1999999999999762</c:v>
                </c:pt>
                <c:pt idx="163">
                  <c:v>5.2999999999999758</c:v>
                </c:pt>
                <c:pt idx="164">
                  <c:v>5.3999999999999755</c:v>
                </c:pt>
                <c:pt idx="165">
                  <c:v>5.4999999999999751</c:v>
                </c:pt>
                <c:pt idx="166">
                  <c:v>5.5999999999999748</c:v>
                </c:pt>
                <c:pt idx="167">
                  <c:v>5.6999999999999744</c:v>
                </c:pt>
                <c:pt idx="168">
                  <c:v>5.7999999999999741</c:v>
                </c:pt>
                <c:pt idx="169">
                  <c:v>5.8999999999999737</c:v>
                </c:pt>
                <c:pt idx="170">
                  <c:v>5.9999999999999734</c:v>
                </c:pt>
                <c:pt idx="171">
                  <c:v>6.099999999999973</c:v>
                </c:pt>
                <c:pt idx="172">
                  <c:v>6.1999999999999726</c:v>
                </c:pt>
                <c:pt idx="173">
                  <c:v>6.2999999999999723</c:v>
                </c:pt>
                <c:pt idx="174">
                  <c:v>6.3999999999999719</c:v>
                </c:pt>
                <c:pt idx="175">
                  <c:v>6.4999999999999716</c:v>
                </c:pt>
                <c:pt idx="176">
                  <c:v>6.5999999999999712</c:v>
                </c:pt>
                <c:pt idx="177">
                  <c:v>6.6999999999999709</c:v>
                </c:pt>
                <c:pt idx="178">
                  <c:v>6.7999999999999705</c:v>
                </c:pt>
                <c:pt idx="179">
                  <c:v>6.8999999999999702</c:v>
                </c:pt>
                <c:pt idx="180">
                  <c:v>6.9999999999999698</c:v>
                </c:pt>
                <c:pt idx="181">
                  <c:v>7.0999999999999694</c:v>
                </c:pt>
                <c:pt idx="182">
                  <c:v>7.1999999999999691</c:v>
                </c:pt>
                <c:pt idx="183">
                  <c:v>7.2999999999999687</c:v>
                </c:pt>
                <c:pt idx="184">
                  <c:v>7.3999999999999684</c:v>
                </c:pt>
                <c:pt idx="185">
                  <c:v>7.499999999999968</c:v>
                </c:pt>
                <c:pt idx="186">
                  <c:v>7.5999999999999677</c:v>
                </c:pt>
                <c:pt idx="187">
                  <c:v>7.6999999999999673</c:v>
                </c:pt>
                <c:pt idx="188">
                  <c:v>7.799999999999967</c:v>
                </c:pt>
                <c:pt idx="189">
                  <c:v>7.8999999999999666</c:v>
                </c:pt>
                <c:pt idx="190">
                  <c:v>7.9999999999999662</c:v>
                </c:pt>
                <c:pt idx="191">
                  <c:v>8.0999999999999659</c:v>
                </c:pt>
                <c:pt idx="192">
                  <c:v>8.1999999999999655</c:v>
                </c:pt>
                <c:pt idx="193">
                  <c:v>8.2999999999999652</c:v>
                </c:pt>
                <c:pt idx="194">
                  <c:v>8.3999999999999648</c:v>
                </c:pt>
                <c:pt idx="195">
                  <c:v>8.4999999999999645</c:v>
                </c:pt>
                <c:pt idx="196">
                  <c:v>8.5999999999999641</c:v>
                </c:pt>
                <c:pt idx="197">
                  <c:v>8.6999999999999638</c:v>
                </c:pt>
                <c:pt idx="198">
                  <c:v>8.7999999999999634</c:v>
                </c:pt>
                <c:pt idx="199">
                  <c:v>8.8999999999999631</c:v>
                </c:pt>
                <c:pt idx="200">
                  <c:v>8.9999999999999627</c:v>
                </c:pt>
                <c:pt idx="201">
                  <c:v>9.0999999999999623</c:v>
                </c:pt>
                <c:pt idx="202">
                  <c:v>9.199999999999962</c:v>
                </c:pt>
                <c:pt idx="203">
                  <c:v>9.2999999999999616</c:v>
                </c:pt>
                <c:pt idx="204">
                  <c:v>9.3999999999999613</c:v>
                </c:pt>
                <c:pt idx="205">
                  <c:v>9.4999999999999609</c:v>
                </c:pt>
                <c:pt idx="206">
                  <c:v>9.5999999999999606</c:v>
                </c:pt>
                <c:pt idx="207">
                  <c:v>9.6999999999999602</c:v>
                </c:pt>
                <c:pt idx="208">
                  <c:v>9.7999999999999599</c:v>
                </c:pt>
                <c:pt idx="209">
                  <c:v>9.8999999999999595</c:v>
                </c:pt>
                <c:pt idx="210">
                  <c:v>9.9999999999999591</c:v>
                </c:pt>
                <c:pt idx="211">
                  <c:v>10.099999999999959</c:v>
                </c:pt>
                <c:pt idx="212">
                  <c:v>10.199999999999958</c:v>
                </c:pt>
                <c:pt idx="213">
                  <c:v>10.299999999999958</c:v>
                </c:pt>
                <c:pt idx="214">
                  <c:v>10.399999999999958</c:v>
                </c:pt>
                <c:pt idx="215">
                  <c:v>10.499999999999957</c:v>
                </c:pt>
                <c:pt idx="216">
                  <c:v>10.599999999999957</c:v>
                </c:pt>
                <c:pt idx="217">
                  <c:v>10.699999999999957</c:v>
                </c:pt>
                <c:pt idx="218">
                  <c:v>10.799999999999956</c:v>
                </c:pt>
                <c:pt idx="219">
                  <c:v>10.899999999999956</c:v>
                </c:pt>
                <c:pt idx="220">
                  <c:v>10.999999999999956</c:v>
                </c:pt>
              </c:numCache>
            </c:numRef>
          </c:xVal>
          <c:yVal>
            <c:numRef>
              <c:f>ArtificialTreatments!$AA$21:$AA$241</c:f>
              <c:numCache>
                <c:formatCode>General</c:formatCode>
                <c:ptCount val="221"/>
                <c:pt idx="0">
                  <c:v>1.8615905052425772</c:v>
                </c:pt>
                <c:pt idx="1">
                  <c:v>1.8615905052425772</c:v>
                </c:pt>
                <c:pt idx="2">
                  <c:v>1.8615905052425772</c:v>
                </c:pt>
                <c:pt idx="3">
                  <c:v>1.8615905052425772</c:v>
                </c:pt>
                <c:pt idx="4">
                  <c:v>1.8615905052425772</c:v>
                </c:pt>
                <c:pt idx="5">
                  <c:v>1.8615905052425772</c:v>
                </c:pt>
                <c:pt idx="6">
                  <c:v>1.8615905052425772</c:v>
                </c:pt>
                <c:pt idx="7">
                  <c:v>1.8615905052425772</c:v>
                </c:pt>
                <c:pt idx="8">
                  <c:v>1.8615905052425772</c:v>
                </c:pt>
                <c:pt idx="9">
                  <c:v>1.8615905052425772</c:v>
                </c:pt>
                <c:pt idx="10">
                  <c:v>1.8615905052425772</c:v>
                </c:pt>
                <c:pt idx="11">
                  <c:v>1.8615905052425772</c:v>
                </c:pt>
                <c:pt idx="12">
                  <c:v>1.8615905052425772</c:v>
                </c:pt>
                <c:pt idx="13">
                  <c:v>1.8615905052425772</c:v>
                </c:pt>
                <c:pt idx="14">
                  <c:v>1.8615905052425772</c:v>
                </c:pt>
                <c:pt idx="15">
                  <c:v>1.8615905052425772</c:v>
                </c:pt>
                <c:pt idx="16">
                  <c:v>1.8615905052425772</c:v>
                </c:pt>
                <c:pt idx="17">
                  <c:v>1.8615905052425772</c:v>
                </c:pt>
                <c:pt idx="18">
                  <c:v>1.8615905052425772</c:v>
                </c:pt>
                <c:pt idx="19">
                  <c:v>1.8615905052425772</c:v>
                </c:pt>
                <c:pt idx="20">
                  <c:v>1.8615905052425772</c:v>
                </c:pt>
                <c:pt idx="21">
                  <c:v>1.8352066142551064</c:v>
                </c:pt>
                <c:pt idx="22">
                  <c:v>1.8088227232676339</c:v>
                </c:pt>
                <c:pt idx="23">
                  <c:v>1.7824388322801616</c:v>
                </c:pt>
                <c:pt idx="24">
                  <c:v>1.7560549412926889</c:v>
                </c:pt>
                <c:pt idx="25">
                  <c:v>1.7296710503052164</c:v>
                </c:pt>
                <c:pt idx="26">
                  <c:v>1.7032871593177439</c:v>
                </c:pt>
                <c:pt idx="27">
                  <c:v>1.6769032683302711</c:v>
                </c:pt>
                <c:pt idx="28">
                  <c:v>1.6505193773427986</c:v>
                </c:pt>
                <c:pt idx="29">
                  <c:v>1.6241354863553261</c:v>
                </c:pt>
                <c:pt idx="30">
                  <c:v>1.5977515953678534</c:v>
                </c:pt>
                <c:pt idx="31">
                  <c:v>1.5713677043803809</c:v>
                </c:pt>
                <c:pt idx="32">
                  <c:v>1.5449838133929084</c:v>
                </c:pt>
                <c:pt idx="33">
                  <c:v>1.5185999224054356</c:v>
                </c:pt>
                <c:pt idx="34">
                  <c:v>1.4922160314179633</c:v>
                </c:pt>
                <c:pt idx="35">
                  <c:v>1.4658321404304908</c:v>
                </c:pt>
                <c:pt idx="36">
                  <c:v>1.4394482494430181</c:v>
                </c:pt>
                <c:pt idx="37">
                  <c:v>1.4130643584555453</c:v>
                </c:pt>
                <c:pt idx="38">
                  <c:v>1.3866804674680728</c:v>
                </c:pt>
                <c:pt idx="39">
                  <c:v>1.3602965764806003</c:v>
                </c:pt>
                <c:pt idx="40">
                  <c:v>1.3339126854931276</c:v>
                </c:pt>
                <c:pt idx="41">
                  <c:v>1.3075287945056551</c:v>
                </c:pt>
                <c:pt idx="42">
                  <c:v>1.2811449035181826</c:v>
                </c:pt>
                <c:pt idx="43">
                  <c:v>1.25476101253071</c:v>
                </c:pt>
                <c:pt idx="44">
                  <c:v>1.2283771215432375</c:v>
                </c:pt>
                <c:pt idx="45">
                  <c:v>1.201993230555765</c:v>
                </c:pt>
                <c:pt idx="46">
                  <c:v>1.1756093395682925</c:v>
                </c:pt>
                <c:pt idx="47">
                  <c:v>1.1492254485808198</c:v>
                </c:pt>
                <c:pt idx="48">
                  <c:v>1.1228415575933473</c:v>
                </c:pt>
                <c:pt idx="49">
                  <c:v>1.0964576666058747</c:v>
                </c:pt>
                <c:pt idx="50">
                  <c:v>1.070073775618402</c:v>
                </c:pt>
                <c:pt idx="51">
                  <c:v>1.0436898846309297</c:v>
                </c:pt>
                <c:pt idx="52">
                  <c:v>1.0173059936434572</c:v>
                </c:pt>
                <c:pt idx="53">
                  <c:v>0.99092210265598468</c:v>
                </c:pt>
                <c:pt idx="54">
                  <c:v>0.96453821166851206</c:v>
                </c:pt>
                <c:pt idx="55">
                  <c:v>0.93815432068103943</c:v>
                </c:pt>
                <c:pt idx="56">
                  <c:v>-1.5661622548268799</c:v>
                </c:pt>
                <c:pt idx="57">
                  <c:v>0.88538653870609441</c:v>
                </c:pt>
                <c:pt idx="58">
                  <c:v>0.85900264771862189</c:v>
                </c:pt>
                <c:pt idx="59">
                  <c:v>0.83261875673114927</c:v>
                </c:pt>
                <c:pt idx="60">
                  <c:v>0.80623486574367664</c:v>
                </c:pt>
                <c:pt idx="61">
                  <c:v>0.77985097475620413</c:v>
                </c:pt>
                <c:pt idx="62">
                  <c:v>0.75346708376873162</c:v>
                </c:pt>
                <c:pt idx="63">
                  <c:v>0.7270831927812591</c:v>
                </c:pt>
                <c:pt idx="64">
                  <c:v>0.70069930179378648</c:v>
                </c:pt>
                <c:pt idx="65">
                  <c:v>0.67431541080631385</c:v>
                </c:pt>
                <c:pt idx="66">
                  <c:v>0.64793151981884134</c:v>
                </c:pt>
                <c:pt idx="67">
                  <c:v>0.62154762883136883</c:v>
                </c:pt>
                <c:pt idx="68">
                  <c:v>0.5951637378438962</c:v>
                </c:pt>
                <c:pt idx="69">
                  <c:v>0.56877984685642369</c:v>
                </c:pt>
                <c:pt idx="70">
                  <c:v>0.54239595586895106</c:v>
                </c:pt>
                <c:pt idx="71">
                  <c:v>0.51601206488147855</c:v>
                </c:pt>
                <c:pt idx="72">
                  <c:v>0.48962817389400559</c:v>
                </c:pt>
                <c:pt idx="73">
                  <c:v>0.46324428290653286</c:v>
                </c:pt>
                <c:pt idx="74">
                  <c:v>0.43686039191906034</c:v>
                </c:pt>
                <c:pt idx="75">
                  <c:v>0.41047650093158777</c:v>
                </c:pt>
                <c:pt idx="76">
                  <c:v>0.38409260994411504</c:v>
                </c:pt>
                <c:pt idx="77">
                  <c:v>0.35770871895664214</c:v>
                </c:pt>
                <c:pt idx="78">
                  <c:v>0.33132482796916957</c:v>
                </c:pt>
                <c:pt idx="79">
                  <c:v>0.304940936981697</c:v>
                </c:pt>
                <c:pt idx="80">
                  <c:v>0.27855704599422426</c:v>
                </c:pt>
                <c:pt idx="81">
                  <c:v>0.26794187868631042</c:v>
                </c:pt>
                <c:pt idx="82">
                  <c:v>0.25732671137840035</c:v>
                </c:pt>
                <c:pt idx="83">
                  <c:v>0.24671154407049026</c:v>
                </c:pt>
                <c:pt idx="84">
                  <c:v>0.23609637676258013</c:v>
                </c:pt>
                <c:pt idx="85">
                  <c:v>0.22548120945467012</c:v>
                </c:pt>
                <c:pt idx="86">
                  <c:v>0.21486604214675997</c:v>
                </c:pt>
                <c:pt idx="87">
                  <c:v>0.20425087483884991</c:v>
                </c:pt>
                <c:pt idx="88">
                  <c:v>0.19363570753093984</c:v>
                </c:pt>
                <c:pt idx="89">
                  <c:v>0.18302054022302977</c:v>
                </c:pt>
                <c:pt idx="90">
                  <c:v>0.17240537291511965</c:v>
                </c:pt>
                <c:pt idx="91">
                  <c:v>0.16179020560720958</c:v>
                </c:pt>
                <c:pt idx="92">
                  <c:v>0.15117503829929951</c:v>
                </c:pt>
                <c:pt idx="93">
                  <c:v>0.14055987099138942</c:v>
                </c:pt>
                <c:pt idx="94">
                  <c:v>0.12994470368347938</c:v>
                </c:pt>
                <c:pt idx="95">
                  <c:v>0.11932953637556927</c:v>
                </c:pt>
                <c:pt idx="96">
                  <c:v>0.10871436906765922</c:v>
                </c:pt>
                <c:pt idx="97">
                  <c:v>9.8099201759749094E-2</c:v>
                </c:pt>
                <c:pt idx="98">
                  <c:v>8.7484034451839027E-2</c:v>
                </c:pt>
                <c:pt idx="99">
                  <c:v>7.6868867143928959E-2</c:v>
                </c:pt>
                <c:pt idx="100">
                  <c:v>6.6253699836018851E-2</c:v>
                </c:pt>
                <c:pt idx="101">
                  <c:v>5.5638532528108797E-2</c:v>
                </c:pt>
                <c:pt idx="102">
                  <c:v>4.5023365220198758E-2</c:v>
                </c:pt>
                <c:pt idx="103">
                  <c:v>3.4408197912288691E-2</c:v>
                </c:pt>
                <c:pt idx="104">
                  <c:v>2.3793030604378568E-2</c:v>
                </c:pt>
                <c:pt idx="105">
                  <c:v>1.3177863296468528E-2</c:v>
                </c:pt>
                <c:pt idx="106">
                  <c:v>2.5626959885584888E-3</c:v>
                </c:pt>
                <c:pt idx="107">
                  <c:v>-8.0524713193515507E-3</c:v>
                </c:pt>
                <c:pt idx="108">
                  <c:v>-1.8667638627261701E-2</c:v>
                </c:pt>
                <c:pt idx="109">
                  <c:v>-2.9282805935171768E-2</c:v>
                </c:pt>
                <c:pt idx="110">
                  <c:v>-3.9897973243081808E-2</c:v>
                </c:pt>
                <c:pt idx="111">
                  <c:v>-5.0513140550991903E-2</c:v>
                </c:pt>
                <c:pt idx="112">
                  <c:v>-6.1128307858901915E-2</c:v>
                </c:pt>
                <c:pt idx="113">
                  <c:v>-7.1743475166812037E-2</c:v>
                </c:pt>
                <c:pt idx="114">
                  <c:v>-8.2358642474722146E-2</c:v>
                </c:pt>
                <c:pt idx="115">
                  <c:v>-9.2973809782632172E-2</c:v>
                </c:pt>
                <c:pt idx="116">
                  <c:v>-0.1035889770905422</c:v>
                </c:pt>
                <c:pt idx="117">
                  <c:v>-0.11420414439845232</c:v>
                </c:pt>
                <c:pt idx="118">
                  <c:v>-0.1248193117063624</c:v>
                </c:pt>
                <c:pt idx="119">
                  <c:v>-0.13543447901427247</c:v>
                </c:pt>
                <c:pt idx="120">
                  <c:v>-0.14604964632218254</c:v>
                </c:pt>
                <c:pt idx="121">
                  <c:v>-0.15666481363009255</c:v>
                </c:pt>
                <c:pt idx="122">
                  <c:v>-0.16727998093800267</c:v>
                </c:pt>
                <c:pt idx="123">
                  <c:v>-0.17789514824591274</c:v>
                </c:pt>
                <c:pt idx="124">
                  <c:v>-0.18851031555382292</c:v>
                </c:pt>
                <c:pt idx="125">
                  <c:v>-0.1991254828617329</c:v>
                </c:pt>
                <c:pt idx="126">
                  <c:v>-0.20974065016964305</c:v>
                </c:pt>
                <c:pt idx="127">
                  <c:v>-0.22035581747755306</c:v>
                </c:pt>
                <c:pt idx="128">
                  <c:v>-0.23097098478546318</c:v>
                </c:pt>
                <c:pt idx="129">
                  <c:v>-0.2415861520933732</c:v>
                </c:pt>
                <c:pt idx="130">
                  <c:v>-0.25220131940128337</c:v>
                </c:pt>
                <c:pt idx="131">
                  <c:v>-0.26281648670919344</c:v>
                </c:pt>
                <c:pt idx="132">
                  <c:v>-0.27343165401710345</c:v>
                </c:pt>
                <c:pt idx="133">
                  <c:v>-0.28404682132501358</c:v>
                </c:pt>
                <c:pt idx="134">
                  <c:v>-0.29466198863292364</c:v>
                </c:pt>
                <c:pt idx="135">
                  <c:v>-0.30527715594083371</c:v>
                </c:pt>
                <c:pt idx="136">
                  <c:v>-0.31589232324874367</c:v>
                </c:pt>
                <c:pt idx="137">
                  <c:v>-0.32650749055665385</c:v>
                </c:pt>
                <c:pt idx="138">
                  <c:v>-0.33712265786456402</c:v>
                </c:pt>
                <c:pt idx="139">
                  <c:v>-0.34773782517247398</c:v>
                </c:pt>
                <c:pt idx="140">
                  <c:v>-0.35835299248038405</c:v>
                </c:pt>
                <c:pt idx="141">
                  <c:v>-0.19620202699947253</c:v>
                </c:pt>
                <c:pt idx="142">
                  <c:v>-3.4051061518524939E-2</c:v>
                </c:pt>
                <c:pt idx="143">
                  <c:v>0.12809990396242271</c:v>
                </c:pt>
                <c:pt idx="144">
                  <c:v>0.29025086944337031</c:v>
                </c:pt>
                <c:pt idx="145">
                  <c:v>0.45240183492431796</c:v>
                </c:pt>
                <c:pt idx="146">
                  <c:v>0.6145528004052655</c:v>
                </c:pt>
                <c:pt idx="147">
                  <c:v>0.77670376588621315</c:v>
                </c:pt>
                <c:pt idx="148">
                  <c:v>0.9388547313671608</c:v>
                </c:pt>
                <c:pt idx="149">
                  <c:v>1.1010056968481086</c:v>
                </c:pt>
                <c:pt idx="150">
                  <c:v>1.263156662329056</c:v>
                </c:pt>
                <c:pt idx="151">
                  <c:v>1.2861307772487633</c:v>
                </c:pt>
                <c:pt idx="152">
                  <c:v>1.3091048921684427</c:v>
                </c:pt>
                <c:pt idx="153">
                  <c:v>1.3320790070881221</c:v>
                </c:pt>
                <c:pt idx="154">
                  <c:v>1.3550531220078015</c:v>
                </c:pt>
                <c:pt idx="155">
                  <c:v>1.3780272369274809</c:v>
                </c:pt>
                <c:pt idx="156">
                  <c:v>1.4010013518471602</c:v>
                </c:pt>
                <c:pt idx="157">
                  <c:v>1.4239754667668396</c:v>
                </c:pt>
                <c:pt idx="158">
                  <c:v>1.446949581686519</c:v>
                </c:pt>
                <c:pt idx="159">
                  <c:v>1.4699236966061986</c:v>
                </c:pt>
                <c:pt idx="160">
                  <c:v>1.4928978115258777</c:v>
                </c:pt>
                <c:pt idx="161">
                  <c:v>1.4393375843865233</c:v>
                </c:pt>
                <c:pt idx="162">
                  <c:v>1.385777357247151</c:v>
                </c:pt>
                <c:pt idx="163">
                  <c:v>1.3322171301077788</c:v>
                </c:pt>
                <c:pt idx="164">
                  <c:v>1.2786569029684063</c:v>
                </c:pt>
                <c:pt idx="165">
                  <c:v>1.225096675829034</c:v>
                </c:pt>
                <c:pt idx="166">
                  <c:v>1.1715364486896618</c:v>
                </c:pt>
                <c:pt idx="167">
                  <c:v>1.1179762215502895</c:v>
                </c:pt>
                <c:pt idx="168">
                  <c:v>1.0644159944109171</c:v>
                </c:pt>
                <c:pt idx="169">
                  <c:v>1.0108557672715448</c:v>
                </c:pt>
                <c:pt idx="170">
                  <c:v>0.95729554013215834</c:v>
                </c:pt>
                <c:pt idx="171">
                  <c:v>0.95729554013215834</c:v>
                </c:pt>
                <c:pt idx="172">
                  <c:v>0.95729554013215834</c:v>
                </c:pt>
                <c:pt idx="173">
                  <c:v>0.95729554013215834</c:v>
                </c:pt>
                <c:pt idx="174">
                  <c:v>0.95729554013215834</c:v>
                </c:pt>
                <c:pt idx="175">
                  <c:v>0.95729554013215834</c:v>
                </c:pt>
                <c:pt idx="176">
                  <c:v>0.95729554013215834</c:v>
                </c:pt>
                <c:pt idx="177">
                  <c:v>0.95729554013215834</c:v>
                </c:pt>
                <c:pt idx="178">
                  <c:v>0.95729554013215834</c:v>
                </c:pt>
                <c:pt idx="179">
                  <c:v>0.95729554013215834</c:v>
                </c:pt>
                <c:pt idx="180">
                  <c:v>0.95729554013215834</c:v>
                </c:pt>
                <c:pt idx="181">
                  <c:v>0.95729554013215834</c:v>
                </c:pt>
                <c:pt idx="182">
                  <c:v>0.95729554013215834</c:v>
                </c:pt>
                <c:pt idx="183">
                  <c:v>0.95729554013215834</c:v>
                </c:pt>
                <c:pt idx="184">
                  <c:v>0.95729554013215834</c:v>
                </c:pt>
                <c:pt idx="185">
                  <c:v>0.95729554013215834</c:v>
                </c:pt>
                <c:pt idx="186">
                  <c:v>0.95729554013215834</c:v>
                </c:pt>
                <c:pt idx="187">
                  <c:v>0.95729554013215834</c:v>
                </c:pt>
                <c:pt idx="188">
                  <c:v>0.95729554013215834</c:v>
                </c:pt>
                <c:pt idx="189">
                  <c:v>0.95729554013215834</c:v>
                </c:pt>
                <c:pt idx="190">
                  <c:v>0.95729554013215834</c:v>
                </c:pt>
                <c:pt idx="191">
                  <c:v>0.95729554013215834</c:v>
                </c:pt>
                <c:pt idx="192">
                  <c:v>0.95729554013215834</c:v>
                </c:pt>
                <c:pt idx="193">
                  <c:v>0.95729554013215834</c:v>
                </c:pt>
                <c:pt idx="194">
                  <c:v>0.95729554013215834</c:v>
                </c:pt>
                <c:pt idx="195">
                  <c:v>0.95729554013215834</c:v>
                </c:pt>
                <c:pt idx="196">
                  <c:v>0.95729554013215834</c:v>
                </c:pt>
                <c:pt idx="197">
                  <c:v>0.95729554013215834</c:v>
                </c:pt>
                <c:pt idx="198">
                  <c:v>0.95729554013215834</c:v>
                </c:pt>
                <c:pt idx="199">
                  <c:v>0.95729554013215834</c:v>
                </c:pt>
                <c:pt idx="200">
                  <c:v>0.95729554013215834</c:v>
                </c:pt>
                <c:pt idx="201">
                  <c:v>0.95729554013215834</c:v>
                </c:pt>
                <c:pt idx="202">
                  <c:v>0.95729554013215834</c:v>
                </c:pt>
                <c:pt idx="203">
                  <c:v>0.95729554013215834</c:v>
                </c:pt>
                <c:pt idx="204">
                  <c:v>0.95729554013215834</c:v>
                </c:pt>
                <c:pt idx="205">
                  <c:v>0.95729554013215834</c:v>
                </c:pt>
                <c:pt idx="206">
                  <c:v>0.95729554013215834</c:v>
                </c:pt>
                <c:pt idx="207">
                  <c:v>0.95729554013215834</c:v>
                </c:pt>
                <c:pt idx="208">
                  <c:v>-1.5661622548268799</c:v>
                </c:pt>
                <c:pt idx="209">
                  <c:v>-1.5661622548268799</c:v>
                </c:pt>
                <c:pt idx="210">
                  <c:v>-1.5661622548268799</c:v>
                </c:pt>
                <c:pt idx="211">
                  <c:v>-1.5661622548268799</c:v>
                </c:pt>
                <c:pt idx="212">
                  <c:v>-1.5661622548268799</c:v>
                </c:pt>
                <c:pt idx="213">
                  <c:v>-1.5661622548268799</c:v>
                </c:pt>
                <c:pt idx="214">
                  <c:v>-1.5661622548268799</c:v>
                </c:pt>
                <c:pt idx="215">
                  <c:v>-1.5661622548268799</c:v>
                </c:pt>
                <c:pt idx="216">
                  <c:v>-1.5661622548268799</c:v>
                </c:pt>
                <c:pt idx="217">
                  <c:v>-1.5661622548268799</c:v>
                </c:pt>
                <c:pt idx="218">
                  <c:v>-1.5661622548268799</c:v>
                </c:pt>
                <c:pt idx="219">
                  <c:v>-1.5661622548268799</c:v>
                </c:pt>
                <c:pt idx="220">
                  <c:v>-1.5661622548268799</c:v>
                </c:pt>
              </c:numCache>
            </c:numRef>
          </c:yVal>
          <c:smooth val="0"/>
          <c:extLst>
            <c:ext xmlns:c16="http://schemas.microsoft.com/office/drawing/2014/chart" uri="{C3380CC4-5D6E-409C-BE32-E72D297353CC}">
              <c16:uniqueId val="{00000003-B8A3-41BF-B430-1FF0726DC2BB}"/>
            </c:ext>
          </c:extLst>
        </c:ser>
        <c:ser>
          <c:idx val="4"/>
          <c:order val="4"/>
          <c:tx>
            <c:strRef>
              <c:f>ArtificialTreatments!$AB$20</c:f>
              <c:strCache>
                <c:ptCount val="1"/>
                <c:pt idx="0">
                  <c:v>Score5</c:v>
                </c:pt>
              </c:strCache>
            </c:strRef>
          </c:tx>
          <c:spPr>
            <a:ln w="19050" cap="rnd">
              <a:solidFill>
                <a:schemeClr val="accent5"/>
              </a:solidFill>
              <a:round/>
            </a:ln>
            <a:effectLst/>
          </c:spPr>
          <c:marker>
            <c:symbol val="none"/>
          </c:marker>
          <c:xVal>
            <c:numRef>
              <c:f>ArtificialTreatments!$B$21:$B$241</c:f>
              <c:numCache>
                <c:formatCode>General</c:formatCode>
                <c:ptCount val="221"/>
                <c:pt idx="0">
                  <c:v>-11</c:v>
                </c:pt>
                <c:pt idx="1">
                  <c:v>-10.9</c:v>
                </c:pt>
                <c:pt idx="2">
                  <c:v>-10.8</c:v>
                </c:pt>
                <c:pt idx="3">
                  <c:v>-10.700000000000001</c:v>
                </c:pt>
                <c:pt idx="4">
                  <c:v>-10.600000000000001</c:v>
                </c:pt>
                <c:pt idx="5">
                  <c:v>-10.500000000000002</c:v>
                </c:pt>
                <c:pt idx="6">
                  <c:v>-10.400000000000002</c:v>
                </c:pt>
                <c:pt idx="7">
                  <c:v>-10.300000000000002</c:v>
                </c:pt>
                <c:pt idx="8">
                  <c:v>-10.200000000000003</c:v>
                </c:pt>
                <c:pt idx="9">
                  <c:v>-10.100000000000003</c:v>
                </c:pt>
                <c:pt idx="10">
                  <c:v>-10.000000000000004</c:v>
                </c:pt>
                <c:pt idx="11">
                  <c:v>-9.9000000000000039</c:v>
                </c:pt>
                <c:pt idx="12">
                  <c:v>-9.8000000000000043</c:v>
                </c:pt>
                <c:pt idx="13">
                  <c:v>-9.7000000000000046</c:v>
                </c:pt>
                <c:pt idx="14">
                  <c:v>-9.600000000000005</c:v>
                </c:pt>
                <c:pt idx="15">
                  <c:v>-9.5000000000000053</c:v>
                </c:pt>
                <c:pt idx="16">
                  <c:v>-9.4000000000000057</c:v>
                </c:pt>
                <c:pt idx="17">
                  <c:v>-9.300000000000006</c:v>
                </c:pt>
                <c:pt idx="18">
                  <c:v>-9.2000000000000064</c:v>
                </c:pt>
                <c:pt idx="19">
                  <c:v>-9.1000000000000068</c:v>
                </c:pt>
                <c:pt idx="20">
                  <c:v>-9.0000000000000071</c:v>
                </c:pt>
                <c:pt idx="21">
                  <c:v>-8.9000000000000075</c:v>
                </c:pt>
                <c:pt idx="22">
                  <c:v>-8.8000000000000078</c:v>
                </c:pt>
                <c:pt idx="23">
                  <c:v>-8.7000000000000082</c:v>
                </c:pt>
                <c:pt idx="24">
                  <c:v>-8.6000000000000085</c:v>
                </c:pt>
                <c:pt idx="25">
                  <c:v>-8.5000000000000089</c:v>
                </c:pt>
                <c:pt idx="26">
                  <c:v>-8.4000000000000092</c:v>
                </c:pt>
                <c:pt idx="27">
                  <c:v>-8.3000000000000096</c:v>
                </c:pt>
                <c:pt idx="28">
                  <c:v>-8.2000000000000099</c:v>
                </c:pt>
                <c:pt idx="29">
                  <c:v>-8.1000000000000103</c:v>
                </c:pt>
                <c:pt idx="30">
                  <c:v>-8.0000000000000107</c:v>
                </c:pt>
                <c:pt idx="31">
                  <c:v>-7.900000000000011</c:v>
                </c:pt>
                <c:pt idx="32">
                  <c:v>-7.8000000000000114</c:v>
                </c:pt>
                <c:pt idx="33">
                  <c:v>-7.7000000000000117</c:v>
                </c:pt>
                <c:pt idx="34">
                  <c:v>-7.6000000000000121</c:v>
                </c:pt>
                <c:pt idx="35">
                  <c:v>-7.5000000000000124</c:v>
                </c:pt>
                <c:pt idx="36">
                  <c:v>-7.4000000000000128</c:v>
                </c:pt>
                <c:pt idx="37">
                  <c:v>-7.3000000000000131</c:v>
                </c:pt>
                <c:pt idx="38">
                  <c:v>-7.2000000000000135</c:v>
                </c:pt>
                <c:pt idx="39">
                  <c:v>-7.1000000000000139</c:v>
                </c:pt>
                <c:pt idx="40">
                  <c:v>-7.0000000000000142</c:v>
                </c:pt>
                <c:pt idx="41">
                  <c:v>-6.9000000000000146</c:v>
                </c:pt>
                <c:pt idx="42">
                  <c:v>-6.8000000000000149</c:v>
                </c:pt>
                <c:pt idx="43">
                  <c:v>-6.7000000000000153</c:v>
                </c:pt>
                <c:pt idx="44">
                  <c:v>-6.6000000000000156</c:v>
                </c:pt>
                <c:pt idx="45">
                  <c:v>-6.500000000000016</c:v>
                </c:pt>
                <c:pt idx="46">
                  <c:v>-6.4000000000000163</c:v>
                </c:pt>
                <c:pt idx="47">
                  <c:v>-6.3000000000000167</c:v>
                </c:pt>
                <c:pt idx="48">
                  <c:v>-6.2000000000000171</c:v>
                </c:pt>
                <c:pt idx="49">
                  <c:v>-6.1000000000000174</c:v>
                </c:pt>
                <c:pt idx="50">
                  <c:v>-6.0000000000000178</c:v>
                </c:pt>
                <c:pt idx="51">
                  <c:v>-5.9000000000000181</c:v>
                </c:pt>
                <c:pt idx="52">
                  <c:v>-5.8000000000000185</c:v>
                </c:pt>
                <c:pt idx="53">
                  <c:v>-5.7000000000000188</c:v>
                </c:pt>
                <c:pt idx="54">
                  <c:v>-5.6000000000000192</c:v>
                </c:pt>
                <c:pt idx="55">
                  <c:v>-5.5000000000000195</c:v>
                </c:pt>
                <c:pt idx="56">
                  <c:v>-5.4000000000000199</c:v>
                </c:pt>
                <c:pt idx="57">
                  <c:v>-5.3000000000000203</c:v>
                </c:pt>
                <c:pt idx="58">
                  <c:v>-5.2000000000000206</c:v>
                </c:pt>
                <c:pt idx="59">
                  <c:v>-5.100000000000021</c:v>
                </c:pt>
                <c:pt idx="60">
                  <c:v>-5.0000000000000213</c:v>
                </c:pt>
                <c:pt idx="61">
                  <c:v>-4.9000000000000217</c:v>
                </c:pt>
                <c:pt idx="62">
                  <c:v>-4.800000000000022</c:v>
                </c:pt>
                <c:pt idx="63">
                  <c:v>-4.7000000000000224</c:v>
                </c:pt>
                <c:pt idx="64">
                  <c:v>-4.6000000000000227</c:v>
                </c:pt>
                <c:pt idx="65">
                  <c:v>-4.5000000000000231</c:v>
                </c:pt>
                <c:pt idx="66">
                  <c:v>-4.4000000000000234</c:v>
                </c:pt>
                <c:pt idx="67">
                  <c:v>-4.3000000000000238</c:v>
                </c:pt>
                <c:pt idx="68">
                  <c:v>-4.2000000000000242</c:v>
                </c:pt>
                <c:pt idx="69">
                  <c:v>-4.1000000000000245</c:v>
                </c:pt>
                <c:pt idx="70">
                  <c:v>-4.0000000000000249</c:v>
                </c:pt>
                <c:pt idx="71">
                  <c:v>-3.9000000000000248</c:v>
                </c:pt>
                <c:pt idx="72">
                  <c:v>-3.8000000000000247</c:v>
                </c:pt>
                <c:pt idx="73">
                  <c:v>-3.7000000000000246</c:v>
                </c:pt>
                <c:pt idx="74">
                  <c:v>-3.6000000000000245</c:v>
                </c:pt>
                <c:pt idx="75">
                  <c:v>-3.5000000000000244</c:v>
                </c:pt>
                <c:pt idx="76">
                  <c:v>-3.4000000000000243</c:v>
                </c:pt>
                <c:pt idx="77">
                  <c:v>-3.3000000000000242</c:v>
                </c:pt>
                <c:pt idx="78">
                  <c:v>-3.2000000000000242</c:v>
                </c:pt>
                <c:pt idx="79">
                  <c:v>-3.1000000000000241</c:v>
                </c:pt>
                <c:pt idx="80">
                  <c:v>-3.000000000000024</c:v>
                </c:pt>
                <c:pt idx="81">
                  <c:v>-2.9000000000000239</c:v>
                </c:pt>
                <c:pt idx="82">
                  <c:v>-2.8000000000000238</c:v>
                </c:pt>
                <c:pt idx="83">
                  <c:v>-2.7000000000000237</c:v>
                </c:pt>
                <c:pt idx="84">
                  <c:v>-2.6000000000000236</c:v>
                </c:pt>
                <c:pt idx="85">
                  <c:v>-2.5000000000000235</c:v>
                </c:pt>
                <c:pt idx="86">
                  <c:v>-2.4000000000000234</c:v>
                </c:pt>
                <c:pt idx="87">
                  <c:v>-2.3000000000000234</c:v>
                </c:pt>
                <c:pt idx="88">
                  <c:v>-2.2000000000000233</c:v>
                </c:pt>
                <c:pt idx="89">
                  <c:v>-2.1000000000000232</c:v>
                </c:pt>
                <c:pt idx="90">
                  <c:v>-2.0000000000000231</c:v>
                </c:pt>
                <c:pt idx="91">
                  <c:v>-1.900000000000023</c:v>
                </c:pt>
                <c:pt idx="92">
                  <c:v>-1.8000000000000229</c:v>
                </c:pt>
                <c:pt idx="93">
                  <c:v>-1.7000000000000228</c:v>
                </c:pt>
                <c:pt idx="94">
                  <c:v>-1.6000000000000227</c:v>
                </c:pt>
                <c:pt idx="95">
                  <c:v>-1.5000000000000226</c:v>
                </c:pt>
                <c:pt idx="96">
                  <c:v>-1.4000000000000226</c:v>
                </c:pt>
                <c:pt idx="97">
                  <c:v>-1.3000000000000225</c:v>
                </c:pt>
                <c:pt idx="98">
                  <c:v>-1.2000000000000224</c:v>
                </c:pt>
                <c:pt idx="99">
                  <c:v>-1.1000000000000223</c:v>
                </c:pt>
                <c:pt idx="100">
                  <c:v>-1.0000000000000222</c:v>
                </c:pt>
                <c:pt idx="101">
                  <c:v>-0.90000000000002223</c:v>
                </c:pt>
                <c:pt idx="102">
                  <c:v>-0.80000000000002225</c:v>
                </c:pt>
                <c:pt idx="103">
                  <c:v>-0.70000000000002227</c:v>
                </c:pt>
                <c:pt idx="104">
                  <c:v>-0.60000000000002229</c:v>
                </c:pt>
                <c:pt idx="105">
                  <c:v>-0.50000000000002232</c:v>
                </c:pt>
                <c:pt idx="106">
                  <c:v>-0.40000000000002234</c:v>
                </c:pt>
                <c:pt idx="107">
                  <c:v>-0.30000000000002236</c:v>
                </c:pt>
                <c:pt idx="108">
                  <c:v>-0.20000000000002235</c:v>
                </c:pt>
                <c:pt idx="109">
                  <c:v>-0.10000000000002235</c:v>
                </c:pt>
                <c:pt idx="110">
                  <c:v>-2.2343238370581275E-14</c:v>
                </c:pt>
                <c:pt idx="111">
                  <c:v>9.9999999999977662E-2</c:v>
                </c:pt>
                <c:pt idx="112">
                  <c:v>0.19999999999997767</c:v>
                </c:pt>
                <c:pt idx="113">
                  <c:v>0.29999999999997767</c:v>
                </c:pt>
                <c:pt idx="114">
                  <c:v>0.39999999999997771</c:v>
                </c:pt>
                <c:pt idx="115">
                  <c:v>0.49999999999997768</c:v>
                </c:pt>
                <c:pt idx="116">
                  <c:v>0.59999999999997766</c:v>
                </c:pt>
                <c:pt idx="117">
                  <c:v>0.69999999999997764</c:v>
                </c:pt>
                <c:pt idx="118">
                  <c:v>0.79999999999997762</c:v>
                </c:pt>
                <c:pt idx="119">
                  <c:v>0.8999999999999776</c:v>
                </c:pt>
                <c:pt idx="120">
                  <c:v>0.99999999999997757</c:v>
                </c:pt>
                <c:pt idx="121">
                  <c:v>1.0999999999999777</c:v>
                </c:pt>
                <c:pt idx="122">
                  <c:v>1.1999999999999778</c:v>
                </c:pt>
                <c:pt idx="123">
                  <c:v>1.2999999999999778</c:v>
                </c:pt>
                <c:pt idx="124">
                  <c:v>1.3999999999999779</c:v>
                </c:pt>
                <c:pt idx="125">
                  <c:v>1.499999999999978</c:v>
                </c:pt>
                <c:pt idx="126">
                  <c:v>1.5999999999999781</c:v>
                </c:pt>
                <c:pt idx="127">
                  <c:v>1.6999999999999782</c:v>
                </c:pt>
                <c:pt idx="128">
                  <c:v>1.7999999999999783</c:v>
                </c:pt>
                <c:pt idx="129">
                  <c:v>1.8999999999999784</c:v>
                </c:pt>
                <c:pt idx="130">
                  <c:v>1.9999999999999785</c:v>
                </c:pt>
                <c:pt idx="131">
                  <c:v>2.0999999999999783</c:v>
                </c:pt>
                <c:pt idx="132">
                  <c:v>2.1999999999999784</c:v>
                </c:pt>
                <c:pt idx="133">
                  <c:v>2.2999999999999785</c:v>
                </c:pt>
                <c:pt idx="134">
                  <c:v>2.3999999999999786</c:v>
                </c:pt>
                <c:pt idx="135">
                  <c:v>2.4999999999999787</c:v>
                </c:pt>
                <c:pt idx="136">
                  <c:v>2.5999999999999788</c:v>
                </c:pt>
                <c:pt idx="137">
                  <c:v>2.6999999999999789</c:v>
                </c:pt>
                <c:pt idx="138">
                  <c:v>2.799999999999979</c:v>
                </c:pt>
                <c:pt idx="139">
                  <c:v>2.899999999999979</c:v>
                </c:pt>
                <c:pt idx="140">
                  <c:v>2.9999999999999791</c:v>
                </c:pt>
                <c:pt idx="141">
                  <c:v>3.0999999999999792</c:v>
                </c:pt>
                <c:pt idx="142">
                  <c:v>3.1999999999999793</c:v>
                </c:pt>
                <c:pt idx="143">
                  <c:v>3.2999999999999794</c:v>
                </c:pt>
                <c:pt idx="144">
                  <c:v>3.3999999999999795</c:v>
                </c:pt>
                <c:pt idx="145">
                  <c:v>3.4999999999999796</c:v>
                </c:pt>
                <c:pt idx="146">
                  <c:v>3.5999999999999797</c:v>
                </c:pt>
                <c:pt idx="147">
                  <c:v>3.6999999999999797</c:v>
                </c:pt>
                <c:pt idx="148">
                  <c:v>3.7999999999999798</c:v>
                </c:pt>
                <c:pt idx="149">
                  <c:v>3.8999999999999799</c:v>
                </c:pt>
                <c:pt idx="150">
                  <c:v>3.99999999999998</c:v>
                </c:pt>
                <c:pt idx="151">
                  <c:v>4.0999999999999801</c:v>
                </c:pt>
                <c:pt idx="152">
                  <c:v>4.1999999999999797</c:v>
                </c:pt>
                <c:pt idx="153">
                  <c:v>4.2999999999999794</c:v>
                </c:pt>
                <c:pt idx="154">
                  <c:v>4.399999999999979</c:v>
                </c:pt>
                <c:pt idx="155">
                  <c:v>4.4999999999999787</c:v>
                </c:pt>
                <c:pt idx="156">
                  <c:v>4.5999999999999783</c:v>
                </c:pt>
                <c:pt idx="157">
                  <c:v>4.699999999999978</c:v>
                </c:pt>
                <c:pt idx="158">
                  <c:v>4.7999999999999776</c:v>
                </c:pt>
                <c:pt idx="159">
                  <c:v>4.8999999999999773</c:v>
                </c:pt>
                <c:pt idx="160">
                  <c:v>4.9999999999999769</c:v>
                </c:pt>
                <c:pt idx="161">
                  <c:v>5.0999999999999766</c:v>
                </c:pt>
                <c:pt idx="162">
                  <c:v>5.1999999999999762</c:v>
                </c:pt>
                <c:pt idx="163">
                  <c:v>5.2999999999999758</c:v>
                </c:pt>
                <c:pt idx="164">
                  <c:v>5.3999999999999755</c:v>
                </c:pt>
                <c:pt idx="165">
                  <c:v>5.4999999999999751</c:v>
                </c:pt>
                <c:pt idx="166">
                  <c:v>5.5999999999999748</c:v>
                </c:pt>
                <c:pt idx="167">
                  <c:v>5.6999999999999744</c:v>
                </c:pt>
                <c:pt idx="168">
                  <c:v>5.7999999999999741</c:v>
                </c:pt>
                <c:pt idx="169">
                  <c:v>5.8999999999999737</c:v>
                </c:pt>
                <c:pt idx="170">
                  <c:v>5.9999999999999734</c:v>
                </c:pt>
                <c:pt idx="171">
                  <c:v>6.099999999999973</c:v>
                </c:pt>
                <c:pt idx="172">
                  <c:v>6.1999999999999726</c:v>
                </c:pt>
                <c:pt idx="173">
                  <c:v>6.2999999999999723</c:v>
                </c:pt>
                <c:pt idx="174">
                  <c:v>6.3999999999999719</c:v>
                </c:pt>
                <c:pt idx="175">
                  <c:v>6.4999999999999716</c:v>
                </c:pt>
                <c:pt idx="176">
                  <c:v>6.5999999999999712</c:v>
                </c:pt>
                <c:pt idx="177">
                  <c:v>6.6999999999999709</c:v>
                </c:pt>
                <c:pt idx="178">
                  <c:v>6.7999999999999705</c:v>
                </c:pt>
                <c:pt idx="179">
                  <c:v>6.8999999999999702</c:v>
                </c:pt>
                <c:pt idx="180">
                  <c:v>6.9999999999999698</c:v>
                </c:pt>
                <c:pt idx="181">
                  <c:v>7.0999999999999694</c:v>
                </c:pt>
                <c:pt idx="182">
                  <c:v>7.1999999999999691</c:v>
                </c:pt>
                <c:pt idx="183">
                  <c:v>7.2999999999999687</c:v>
                </c:pt>
                <c:pt idx="184">
                  <c:v>7.3999999999999684</c:v>
                </c:pt>
                <c:pt idx="185">
                  <c:v>7.499999999999968</c:v>
                </c:pt>
                <c:pt idx="186">
                  <c:v>7.5999999999999677</c:v>
                </c:pt>
                <c:pt idx="187">
                  <c:v>7.6999999999999673</c:v>
                </c:pt>
                <c:pt idx="188">
                  <c:v>7.799999999999967</c:v>
                </c:pt>
                <c:pt idx="189">
                  <c:v>7.8999999999999666</c:v>
                </c:pt>
                <c:pt idx="190">
                  <c:v>7.9999999999999662</c:v>
                </c:pt>
                <c:pt idx="191">
                  <c:v>8.0999999999999659</c:v>
                </c:pt>
                <c:pt idx="192">
                  <c:v>8.1999999999999655</c:v>
                </c:pt>
                <c:pt idx="193">
                  <c:v>8.2999999999999652</c:v>
                </c:pt>
                <c:pt idx="194">
                  <c:v>8.3999999999999648</c:v>
                </c:pt>
                <c:pt idx="195">
                  <c:v>8.4999999999999645</c:v>
                </c:pt>
                <c:pt idx="196">
                  <c:v>8.5999999999999641</c:v>
                </c:pt>
                <c:pt idx="197">
                  <c:v>8.6999999999999638</c:v>
                </c:pt>
                <c:pt idx="198">
                  <c:v>8.7999999999999634</c:v>
                </c:pt>
                <c:pt idx="199">
                  <c:v>8.8999999999999631</c:v>
                </c:pt>
                <c:pt idx="200">
                  <c:v>8.9999999999999627</c:v>
                </c:pt>
                <c:pt idx="201">
                  <c:v>9.0999999999999623</c:v>
                </c:pt>
                <c:pt idx="202">
                  <c:v>9.199999999999962</c:v>
                </c:pt>
                <c:pt idx="203">
                  <c:v>9.2999999999999616</c:v>
                </c:pt>
                <c:pt idx="204">
                  <c:v>9.3999999999999613</c:v>
                </c:pt>
                <c:pt idx="205">
                  <c:v>9.4999999999999609</c:v>
                </c:pt>
                <c:pt idx="206">
                  <c:v>9.5999999999999606</c:v>
                </c:pt>
                <c:pt idx="207">
                  <c:v>9.6999999999999602</c:v>
                </c:pt>
                <c:pt idx="208">
                  <c:v>9.7999999999999599</c:v>
                </c:pt>
                <c:pt idx="209">
                  <c:v>9.8999999999999595</c:v>
                </c:pt>
                <c:pt idx="210">
                  <c:v>9.9999999999999591</c:v>
                </c:pt>
                <c:pt idx="211">
                  <c:v>10.099999999999959</c:v>
                </c:pt>
                <c:pt idx="212">
                  <c:v>10.199999999999958</c:v>
                </c:pt>
                <c:pt idx="213">
                  <c:v>10.299999999999958</c:v>
                </c:pt>
                <c:pt idx="214">
                  <c:v>10.399999999999958</c:v>
                </c:pt>
                <c:pt idx="215">
                  <c:v>10.499999999999957</c:v>
                </c:pt>
                <c:pt idx="216">
                  <c:v>10.599999999999957</c:v>
                </c:pt>
                <c:pt idx="217">
                  <c:v>10.699999999999957</c:v>
                </c:pt>
                <c:pt idx="218">
                  <c:v>10.799999999999956</c:v>
                </c:pt>
                <c:pt idx="219">
                  <c:v>10.899999999999956</c:v>
                </c:pt>
                <c:pt idx="220">
                  <c:v>10.999999999999956</c:v>
                </c:pt>
              </c:numCache>
            </c:numRef>
          </c:xVal>
          <c:yVal>
            <c:numRef>
              <c:f>ArtificialTreatments!$AB$21:$AB$241</c:f>
              <c:numCache>
                <c:formatCode>General</c:formatCode>
                <c:ptCount val="221"/>
                <c:pt idx="0">
                  <c:v>0.37600847937448867</c:v>
                </c:pt>
                <c:pt idx="1">
                  <c:v>0.37600847937448867</c:v>
                </c:pt>
                <c:pt idx="2">
                  <c:v>0.37600847937448867</c:v>
                </c:pt>
                <c:pt idx="3">
                  <c:v>0.37600847937448867</c:v>
                </c:pt>
                <c:pt idx="4">
                  <c:v>0.37600847937448867</c:v>
                </c:pt>
                <c:pt idx="5">
                  <c:v>0.37600847937448867</c:v>
                </c:pt>
                <c:pt idx="6">
                  <c:v>0.37600847937448867</c:v>
                </c:pt>
                <c:pt idx="7">
                  <c:v>0.37600847937448867</c:v>
                </c:pt>
                <c:pt idx="8">
                  <c:v>0.37600847937448867</c:v>
                </c:pt>
                <c:pt idx="9">
                  <c:v>0.37600847937448867</c:v>
                </c:pt>
                <c:pt idx="10">
                  <c:v>0.37600847937448867</c:v>
                </c:pt>
                <c:pt idx="11">
                  <c:v>0.37600847937448867</c:v>
                </c:pt>
                <c:pt idx="12">
                  <c:v>0.37600847937448867</c:v>
                </c:pt>
                <c:pt idx="13">
                  <c:v>0.37600847937448867</c:v>
                </c:pt>
                <c:pt idx="14">
                  <c:v>0.37600847937448867</c:v>
                </c:pt>
                <c:pt idx="15">
                  <c:v>0.37600847937448867</c:v>
                </c:pt>
                <c:pt idx="16">
                  <c:v>0.37600847937448867</c:v>
                </c:pt>
                <c:pt idx="17">
                  <c:v>0.37600847937448867</c:v>
                </c:pt>
                <c:pt idx="18">
                  <c:v>0.37600847937448867</c:v>
                </c:pt>
                <c:pt idx="19">
                  <c:v>0.37600847937448867</c:v>
                </c:pt>
                <c:pt idx="20">
                  <c:v>0.37600847937448867</c:v>
                </c:pt>
                <c:pt idx="21">
                  <c:v>0.34260579687354165</c:v>
                </c:pt>
                <c:pt idx="22">
                  <c:v>0.30920311437259229</c:v>
                </c:pt>
                <c:pt idx="23">
                  <c:v>0.27580043187164294</c:v>
                </c:pt>
                <c:pt idx="24">
                  <c:v>0.24239774937069353</c:v>
                </c:pt>
                <c:pt idx="25">
                  <c:v>0.20899506686974414</c:v>
                </c:pt>
                <c:pt idx="26">
                  <c:v>0.17559238436879473</c:v>
                </c:pt>
                <c:pt idx="27">
                  <c:v>0.14218970186784535</c:v>
                </c:pt>
                <c:pt idx="28">
                  <c:v>0.10878701936689597</c:v>
                </c:pt>
                <c:pt idx="29">
                  <c:v>7.5384336865946588E-2</c:v>
                </c:pt>
                <c:pt idx="30">
                  <c:v>4.1981654364997234E-2</c:v>
                </c:pt>
                <c:pt idx="31">
                  <c:v>8.5789718640478796E-3</c:v>
                </c:pt>
                <c:pt idx="32">
                  <c:v>-2.482371063690153E-2</c:v>
                </c:pt>
                <c:pt idx="33">
                  <c:v>-5.822639313785094E-2</c:v>
                </c:pt>
                <c:pt idx="34">
                  <c:v>-9.1629075638800295E-2</c:v>
                </c:pt>
                <c:pt idx="35">
                  <c:v>-0.1250317581397497</c:v>
                </c:pt>
                <c:pt idx="36">
                  <c:v>-0.15843444064069911</c:v>
                </c:pt>
                <c:pt idx="37">
                  <c:v>-0.19183712314164852</c:v>
                </c:pt>
                <c:pt idx="38">
                  <c:v>-0.22523980564259793</c:v>
                </c:pt>
                <c:pt idx="39">
                  <c:v>-0.25864248814354729</c:v>
                </c:pt>
                <c:pt idx="40">
                  <c:v>-0.29204517064449675</c:v>
                </c:pt>
                <c:pt idx="41">
                  <c:v>-0.32544785314544611</c:v>
                </c:pt>
                <c:pt idx="42">
                  <c:v>-0.35885053564639546</c:v>
                </c:pt>
                <c:pt idx="43">
                  <c:v>-0.39225321814734493</c:v>
                </c:pt>
                <c:pt idx="44">
                  <c:v>-0.42565590064829428</c:v>
                </c:pt>
                <c:pt idx="45">
                  <c:v>-0.45905858314924358</c:v>
                </c:pt>
                <c:pt idx="46">
                  <c:v>-0.49246126565019305</c:v>
                </c:pt>
                <c:pt idx="47">
                  <c:v>-0.52586394815114246</c:v>
                </c:pt>
                <c:pt idx="48">
                  <c:v>-0.5592666306520917</c:v>
                </c:pt>
                <c:pt idx="49">
                  <c:v>-0.59266931315304117</c:v>
                </c:pt>
                <c:pt idx="50">
                  <c:v>-0.62607199565399052</c:v>
                </c:pt>
                <c:pt idx="51">
                  <c:v>-0.65947467815493976</c:v>
                </c:pt>
                <c:pt idx="52">
                  <c:v>-0.69287736065588923</c:v>
                </c:pt>
                <c:pt idx="53">
                  <c:v>-0.72628004315683858</c:v>
                </c:pt>
                <c:pt idx="54">
                  <c:v>-0.75968272565778783</c:v>
                </c:pt>
                <c:pt idx="55">
                  <c:v>-0.79308540815873729</c:v>
                </c:pt>
                <c:pt idx="56">
                  <c:v>-0.12137743319983585</c:v>
                </c:pt>
                <c:pt idx="57">
                  <c:v>-0.859890773160636</c:v>
                </c:pt>
                <c:pt idx="58">
                  <c:v>-0.89329345566158536</c:v>
                </c:pt>
                <c:pt idx="59">
                  <c:v>-0.92669613816253493</c:v>
                </c:pt>
                <c:pt idx="60">
                  <c:v>-0.96009882066348429</c:v>
                </c:pt>
                <c:pt idx="61">
                  <c:v>-0.99350150316443364</c:v>
                </c:pt>
                <c:pt idx="62">
                  <c:v>-1.0269041856653831</c:v>
                </c:pt>
                <c:pt idx="63">
                  <c:v>-1.0603068681663324</c:v>
                </c:pt>
                <c:pt idx="64">
                  <c:v>-1.0937095506672816</c:v>
                </c:pt>
                <c:pt idx="65">
                  <c:v>-1.1271122331682313</c:v>
                </c:pt>
                <c:pt idx="66">
                  <c:v>-1.1605149156691805</c:v>
                </c:pt>
                <c:pt idx="67">
                  <c:v>-1.19391759817013</c:v>
                </c:pt>
                <c:pt idx="68">
                  <c:v>-1.2273202806710792</c:v>
                </c:pt>
                <c:pt idx="69">
                  <c:v>-1.2607229631720287</c:v>
                </c:pt>
                <c:pt idx="70">
                  <c:v>-1.2941256456729779</c:v>
                </c:pt>
                <c:pt idx="71">
                  <c:v>-1.3275283281739276</c:v>
                </c:pt>
                <c:pt idx="72">
                  <c:v>-1.3609310106748773</c:v>
                </c:pt>
                <c:pt idx="73">
                  <c:v>-1.3943336931758268</c:v>
                </c:pt>
                <c:pt idx="74">
                  <c:v>-1.4277363756767762</c:v>
                </c:pt>
                <c:pt idx="75">
                  <c:v>-1.4611390581777257</c:v>
                </c:pt>
                <c:pt idx="76">
                  <c:v>-1.4945417406786754</c:v>
                </c:pt>
                <c:pt idx="77">
                  <c:v>-1.5279444231796251</c:v>
                </c:pt>
                <c:pt idx="78">
                  <c:v>-1.5613471056805746</c:v>
                </c:pt>
                <c:pt idx="79">
                  <c:v>-1.594749788181524</c:v>
                </c:pt>
                <c:pt idx="80">
                  <c:v>-1.6281524706824735</c:v>
                </c:pt>
                <c:pt idx="81">
                  <c:v>-1.5695465013334462</c:v>
                </c:pt>
                <c:pt idx="82">
                  <c:v>-1.5109405319843972</c:v>
                </c:pt>
                <c:pt idx="83">
                  <c:v>-1.4523345626353479</c:v>
                </c:pt>
                <c:pt idx="84">
                  <c:v>-1.3937285932862986</c:v>
                </c:pt>
                <c:pt idx="85">
                  <c:v>-1.3351226239372496</c:v>
                </c:pt>
                <c:pt idx="86">
                  <c:v>-1.2765166545882003</c:v>
                </c:pt>
                <c:pt idx="87">
                  <c:v>-1.217910685239151</c:v>
                </c:pt>
                <c:pt idx="88">
                  <c:v>-1.159304715890102</c:v>
                </c:pt>
                <c:pt idx="89">
                  <c:v>-1.1006987465410525</c:v>
                </c:pt>
                <c:pt idx="90">
                  <c:v>-1.0420927771920032</c:v>
                </c:pt>
                <c:pt idx="91">
                  <c:v>-0.98348680784295428</c:v>
                </c:pt>
                <c:pt idx="92">
                  <c:v>-0.9248808384939049</c:v>
                </c:pt>
                <c:pt idx="93">
                  <c:v>-0.86627486914485563</c:v>
                </c:pt>
                <c:pt idx="94">
                  <c:v>-0.80766889979580658</c:v>
                </c:pt>
                <c:pt idx="95">
                  <c:v>-0.74906293044675731</c:v>
                </c:pt>
                <c:pt idx="96">
                  <c:v>-0.69045696109770827</c:v>
                </c:pt>
                <c:pt idx="97">
                  <c:v>-0.63185099174865877</c:v>
                </c:pt>
                <c:pt idx="98">
                  <c:v>-0.57324502239960973</c:v>
                </c:pt>
                <c:pt idx="99">
                  <c:v>-0.51463905305056046</c:v>
                </c:pt>
                <c:pt idx="100">
                  <c:v>-0.45603308370151108</c:v>
                </c:pt>
                <c:pt idx="101">
                  <c:v>-0.39742711435246181</c:v>
                </c:pt>
                <c:pt idx="102">
                  <c:v>-0.33882114500341287</c:v>
                </c:pt>
                <c:pt idx="103">
                  <c:v>-0.28021517565436393</c:v>
                </c:pt>
                <c:pt idx="104">
                  <c:v>-0.22160920630531444</c:v>
                </c:pt>
                <c:pt idx="105">
                  <c:v>-0.16300323695626528</c:v>
                </c:pt>
                <c:pt idx="106">
                  <c:v>-0.10439726760721635</c:v>
                </c:pt>
                <c:pt idx="107">
                  <c:v>-4.5791298258167412E-2</c:v>
                </c:pt>
                <c:pt idx="108">
                  <c:v>1.281467109088219E-2</c:v>
                </c:pt>
                <c:pt idx="109">
                  <c:v>7.1420640439931238E-2</c:v>
                </c:pt>
                <c:pt idx="110">
                  <c:v>0.1300266097889804</c:v>
                </c:pt>
                <c:pt idx="111">
                  <c:v>0.18863257913802967</c:v>
                </c:pt>
                <c:pt idx="112">
                  <c:v>0.2472385484870786</c:v>
                </c:pt>
                <c:pt idx="113">
                  <c:v>0.30584451783612787</c:v>
                </c:pt>
                <c:pt idx="114">
                  <c:v>0.36445048718517714</c:v>
                </c:pt>
                <c:pt idx="115">
                  <c:v>0.42305645653422619</c:v>
                </c:pt>
                <c:pt idx="116">
                  <c:v>0.48166242588327512</c:v>
                </c:pt>
                <c:pt idx="117">
                  <c:v>0.54026839523232451</c:v>
                </c:pt>
                <c:pt idx="118">
                  <c:v>0.59887436458137377</c:v>
                </c:pt>
                <c:pt idx="119">
                  <c:v>0.65748033393042271</c:v>
                </c:pt>
                <c:pt idx="120">
                  <c:v>0.7160863032794722</c:v>
                </c:pt>
                <c:pt idx="121">
                  <c:v>0.77469227262852103</c:v>
                </c:pt>
                <c:pt idx="122">
                  <c:v>0.83329824197757052</c:v>
                </c:pt>
                <c:pt idx="123">
                  <c:v>0.89190421132661935</c:v>
                </c:pt>
                <c:pt idx="124">
                  <c:v>0.95051018067566906</c:v>
                </c:pt>
                <c:pt idx="125">
                  <c:v>1.0091161500247181</c:v>
                </c:pt>
                <c:pt idx="126">
                  <c:v>1.0677221193737674</c:v>
                </c:pt>
                <c:pt idx="127">
                  <c:v>1.1263280887228164</c:v>
                </c:pt>
                <c:pt idx="128">
                  <c:v>1.1849340580718657</c:v>
                </c:pt>
                <c:pt idx="129">
                  <c:v>1.2435400274209147</c:v>
                </c:pt>
                <c:pt idx="130">
                  <c:v>1.3021459967699645</c:v>
                </c:pt>
                <c:pt idx="131">
                  <c:v>1.3607519661190133</c:v>
                </c:pt>
                <c:pt idx="132">
                  <c:v>1.4193579354680623</c:v>
                </c:pt>
                <c:pt idx="133">
                  <c:v>1.4779639048171118</c:v>
                </c:pt>
                <c:pt idx="134">
                  <c:v>1.5365698741661609</c:v>
                </c:pt>
                <c:pt idx="135">
                  <c:v>1.5951758435152101</c:v>
                </c:pt>
                <c:pt idx="136">
                  <c:v>1.653781812864259</c:v>
                </c:pt>
                <c:pt idx="137">
                  <c:v>1.7123877822133089</c:v>
                </c:pt>
                <c:pt idx="138">
                  <c:v>1.7709937515623582</c:v>
                </c:pt>
                <c:pt idx="139">
                  <c:v>1.829599720911407</c:v>
                </c:pt>
                <c:pt idx="140">
                  <c:v>1.888205690260456</c:v>
                </c:pt>
                <c:pt idx="141">
                  <c:v>1.6622966251468347</c:v>
                </c:pt>
                <c:pt idx="142">
                  <c:v>1.4363875600331537</c:v>
                </c:pt>
                <c:pt idx="143">
                  <c:v>1.2104784949194727</c:v>
                </c:pt>
                <c:pt idx="144">
                  <c:v>0.98456942980579176</c:v>
                </c:pt>
                <c:pt idx="145">
                  <c:v>0.75866036469211073</c:v>
                </c:pt>
                <c:pt idx="146">
                  <c:v>0.53275129957842982</c:v>
                </c:pt>
                <c:pt idx="147">
                  <c:v>0.3068422344647489</c:v>
                </c:pt>
                <c:pt idx="148">
                  <c:v>8.0933169351067924E-2</c:v>
                </c:pt>
                <c:pt idx="149">
                  <c:v>-0.14497589576261305</c:v>
                </c:pt>
                <c:pt idx="150">
                  <c:v>-0.37088496087629397</c:v>
                </c:pt>
                <c:pt idx="151">
                  <c:v>-0.42894885152479001</c:v>
                </c:pt>
                <c:pt idx="152">
                  <c:v>-0.4870127421732523</c:v>
                </c:pt>
                <c:pt idx="153">
                  <c:v>-0.54507663282171448</c:v>
                </c:pt>
                <c:pt idx="154">
                  <c:v>-0.60314052347017677</c:v>
                </c:pt>
                <c:pt idx="155">
                  <c:v>-0.66120441411863895</c:v>
                </c:pt>
                <c:pt idx="156">
                  <c:v>-0.71926830476710113</c:v>
                </c:pt>
                <c:pt idx="157">
                  <c:v>-0.77733219541556331</c:v>
                </c:pt>
                <c:pt idx="158">
                  <c:v>-0.8353960860640256</c:v>
                </c:pt>
                <c:pt idx="159">
                  <c:v>-0.89345997671248778</c:v>
                </c:pt>
                <c:pt idx="160">
                  <c:v>-0.95152386736094996</c:v>
                </c:pt>
                <c:pt idx="161">
                  <c:v>-0.67543601418895904</c:v>
                </c:pt>
                <c:pt idx="162">
                  <c:v>-0.39934816101689102</c:v>
                </c:pt>
                <c:pt idx="163">
                  <c:v>-0.12326030784482289</c:v>
                </c:pt>
                <c:pt idx="164">
                  <c:v>0.15282754532724507</c:v>
                </c:pt>
                <c:pt idx="165">
                  <c:v>0.42891539849931326</c:v>
                </c:pt>
                <c:pt idx="166">
                  <c:v>0.70500325167138134</c:v>
                </c:pt>
                <c:pt idx="167">
                  <c:v>0.98109110484344941</c:v>
                </c:pt>
                <c:pt idx="168">
                  <c:v>1.2571789580155173</c:v>
                </c:pt>
                <c:pt idx="169">
                  <c:v>1.5332668111875856</c:v>
                </c:pt>
                <c:pt idx="170">
                  <c:v>1.8093546643597271</c:v>
                </c:pt>
                <c:pt idx="171">
                  <c:v>1.8093546643597271</c:v>
                </c:pt>
                <c:pt idx="172">
                  <c:v>1.8093546643597271</c:v>
                </c:pt>
                <c:pt idx="173">
                  <c:v>1.8093546643597271</c:v>
                </c:pt>
                <c:pt idx="174">
                  <c:v>1.8093546643597271</c:v>
                </c:pt>
                <c:pt idx="175">
                  <c:v>1.8093546643597271</c:v>
                </c:pt>
                <c:pt idx="176">
                  <c:v>1.8093546643597271</c:v>
                </c:pt>
                <c:pt idx="177">
                  <c:v>1.8093546643597271</c:v>
                </c:pt>
                <c:pt idx="178">
                  <c:v>1.8093546643597271</c:v>
                </c:pt>
                <c:pt idx="179">
                  <c:v>1.8093546643597271</c:v>
                </c:pt>
                <c:pt idx="180">
                  <c:v>1.8093546643597271</c:v>
                </c:pt>
                <c:pt idx="181">
                  <c:v>1.8093546643597271</c:v>
                </c:pt>
                <c:pt idx="182">
                  <c:v>1.8093546643597271</c:v>
                </c:pt>
                <c:pt idx="183">
                  <c:v>1.8093546643597271</c:v>
                </c:pt>
                <c:pt idx="184">
                  <c:v>1.8093546643597271</c:v>
                </c:pt>
                <c:pt idx="185">
                  <c:v>1.8093546643597271</c:v>
                </c:pt>
                <c:pt idx="186">
                  <c:v>1.8093546643597271</c:v>
                </c:pt>
                <c:pt idx="187">
                  <c:v>1.8093546643597271</c:v>
                </c:pt>
                <c:pt idx="188">
                  <c:v>1.8093546643597271</c:v>
                </c:pt>
                <c:pt idx="189">
                  <c:v>1.8093546643597271</c:v>
                </c:pt>
                <c:pt idx="190">
                  <c:v>1.8093546643597271</c:v>
                </c:pt>
                <c:pt idx="191">
                  <c:v>1.8093546643597271</c:v>
                </c:pt>
                <c:pt idx="192">
                  <c:v>1.8093546643597271</c:v>
                </c:pt>
                <c:pt idx="193">
                  <c:v>1.8093546643597271</c:v>
                </c:pt>
                <c:pt idx="194">
                  <c:v>1.8093546643597271</c:v>
                </c:pt>
                <c:pt idx="195">
                  <c:v>1.8093546643597271</c:v>
                </c:pt>
                <c:pt idx="196">
                  <c:v>1.8093546643597271</c:v>
                </c:pt>
                <c:pt idx="197">
                  <c:v>1.8093546643597271</c:v>
                </c:pt>
                <c:pt idx="198">
                  <c:v>1.8093546643597271</c:v>
                </c:pt>
                <c:pt idx="199">
                  <c:v>1.8093546643597271</c:v>
                </c:pt>
                <c:pt idx="200">
                  <c:v>1.8093546643597271</c:v>
                </c:pt>
                <c:pt idx="201">
                  <c:v>1.8093546643597271</c:v>
                </c:pt>
                <c:pt idx="202">
                  <c:v>1.8093546643597271</c:v>
                </c:pt>
                <c:pt idx="203">
                  <c:v>1.8093546643597271</c:v>
                </c:pt>
                <c:pt idx="204">
                  <c:v>1.8093546643597271</c:v>
                </c:pt>
                <c:pt idx="205">
                  <c:v>1.8093546643597271</c:v>
                </c:pt>
                <c:pt idx="206">
                  <c:v>1.8093546643597271</c:v>
                </c:pt>
                <c:pt idx="207">
                  <c:v>1.8093546643597271</c:v>
                </c:pt>
                <c:pt idx="208">
                  <c:v>-0.12137743319983585</c:v>
                </c:pt>
                <c:pt idx="209">
                  <c:v>-0.12137743319983585</c:v>
                </c:pt>
                <c:pt idx="210">
                  <c:v>-0.12137743319983585</c:v>
                </c:pt>
                <c:pt idx="211">
                  <c:v>-0.12137743319983585</c:v>
                </c:pt>
                <c:pt idx="212">
                  <c:v>-0.12137743319983585</c:v>
                </c:pt>
                <c:pt idx="213">
                  <c:v>-0.12137743319983585</c:v>
                </c:pt>
                <c:pt idx="214">
                  <c:v>-0.12137743319983585</c:v>
                </c:pt>
                <c:pt idx="215">
                  <c:v>-0.12137743319983585</c:v>
                </c:pt>
                <c:pt idx="216">
                  <c:v>-0.12137743319983585</c:v>
                </c:pt>
                <c:pt idx="217">
                  <c:v>-0.12137743319983585</c:v>
                </c:pt>
                <c:pt idx="218">
                  <c:v>-0.12137743319983585</c:v>
                </c:pt>
                <c:pt idx="219">
                  <c:v>-0.12137743319983585</c:v>
                </c:pt>
                <c:pt idx="220">
                  <c:v>-0.12137743319983585</c:v>
                </c:pt>
              </c:numCache>
            </c:numRef>
          </c:yVal>
          <c:smooth val="0"/>
          <c:extLst>
            <c:ext xmlns:c16="http://schemas.microsoft.com/office/drawing/2014/chart" uri="{C3380CC4-5D6E-409C-BE32-E72D297353CC}">
              <c16:uniqueId val="{00000004-B8A3-41BF-B430-1FF0726DC2BB}"/>
            </c:ext>
          </c:extLst>
        </c:ser>
        <c:dLbls>
          <c:showLegendKey val="0"/>
          <c:showVal val="0"/>
          <c:showCatName val="0"/>
          <c:showSerName val="0"/>
          <c:showPercent val="0"/>
          <c:showBubbleSize val="0"/>
        </c:dLbls>
        <c:axId val="1656155856"/>
        <c:axId val="1894328256"/>
      </c:scatterChart>
      <c:valAx>
        <c:axId val="165615585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4328256"/>
        <c:crosses val="autoZero"/>
        <c:crossBetween val="midCat"/>
      </c:valAx>
      <c:valAx>
        <c:axId val="18943282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61558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5</xdr:col>
      <xdr:colOff>849086</xdr:colOff>
      <xdr:row>22</xdr:row>
      <xdr:rowOff>103415</xdr:rowOff>
    </xdr:from>
    <xdr:to>
      <xdr:col>11</xdr:col>
      <xdr:colOff>146958</xdr:colOff>
      <xdr:row>37</xdr:row>
      <xdr:rowOff>70758</xdr:rowOff>
    </xdr:to>
    <xdr:graphicFrame macro="">
      <xdr:nvGraphicFramePr>
        <xdr:cNvPr id="7" name="Chart 6">
          <a:extLst>
            <a:ext uri="{FF2B5EF4-FFF2-40B4-BE49-F238E27FC236}">
              <a16:creationId xmlns:a16="http://schemas.microsoft.com/office/drawing/2014/main" id="{F1451897-CD18-4E15-B601-53C99A4BD0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81643</xdr:colOff>
      <xdr:row>22</xdr:row>
      <xdr:rowOff>136071</xdr:rowOff>
    </xdr:from>
    <xdr:to>
      <xdr:col>22</xdr:col>
      <xdr:colOff>130629</xdr:colOff>
      <xdr:row>37</xdr:row>
      <xdr:rowOff>103414</xdr:rowOff>
    </xdr:to>
    <xdr:graphicFrame macro="">
      <xdr:nvGraphicFramePr>
        <xdr:cNvPr id="8" name="Chart 7">
          <a:extLst>
            <a:ext uri="{FF2B5EF4-FFF2-40B4-BE49-F238E27FC236}">
              <a16:creationId xmlns:a16="http://schemas.microsoft.com/office/drawing/2014/main" id="{10B329CA-1892-484D-A8CA-E9F96E69AD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270782</xdr:colOff>
      <xdr:row>42</xdr:row>
      <xdr:rowOff>10884</xdr:rowOff>
    </xdr:from>
    <xdr:to>
      <xdr:col>22</xdr:col>
      <xdr:colOff>319768</xdr:colOff>
      <xdr:row>56</xdr:row>
      <xdr:rowOff>161924</xdr:rowOff>
    </xdr:to>
    <xdr:graphicFrame macro="">
      <xdr:nvGraphicFramePr>
        <xdr:cNvPr id="9" name="Chart 8">
          <a:extLst>
            <a:ext uri="{FF2B5EF4-FFF2-40B4-BE49-F238E27FC236}">
              <a16:creationId xmlns:a16="http://schemas.microsoft.com/office/drawing/2014/main" id="{9681E11B-E427-43C7-8703-7FE958672BC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DA37D28-BFD3-458A-95EB-45FF3CAEC0EA}" name="Table13" displayName="Table13" ref="A6:E156" tableType="xml" totalsRowShown="0" headerRowDxfId="25" dataDxfId="24" tableBorderDxfId="23">
  <autoFilter ref="A6:E156" xr:uid="{12E305BF-7969-433B-B1AC-DD6D3FB5F51B}"/>
  <tableColumns count="5">
    <tableColumn id="1" xr3:uid="{8FE9A6B6-1BE3-4701-AC4D-E76006B36F63}" uniqueName="sepal_length" name="sepal_length" dataDxfId="22">
      <xmlColumnPr mapId="32" xpath="/RecordSet/Record/sepal_length" xmlDataType="decimal"/>
    </tableColumn>
    <tableColumn id="2" xr3:uid="{9C3E31A2-3B55-4B1E-BF6C-B035931F1E0D}" uniqueName="sepal_width" name="sepal_width" dataDxfId="21">
      <xmlColumnPr mapId="32" xpath="/RecordSet/Record/sepal_width" xmlDataType="decimal"/>
    </tableColumn>
    <tableColumn id="3" xr3:uid="{4C206F15-0028-4E16-B777-009B8E5B2D2C}" uniqueName="petal_length" name="petal_length" dataDxfId="20">
      <xmlColumnPr mapId="32" xpath="/RecordSet/Record/petal_length" xmlDataType="decimal"/>
    </tableColumn>
    <tableColumn id="4" xr3:uid="{21FE8E48-70A7-4489-9422-B807D4E2597F}" uniqueName="petal_width" name="petal_width" dataDxfId="19">
      <xmlColumnPr mapId="32" xpath="/RecordSet/Record/petal_width" xmlDataType="decimal"/>
    </tableColumn>
    <tableColumn id="5" xr3:uid="{44E20567-5B8B-432B-B954-E059FA7CF810}" uniqueName="class" name="class" dataDxfId="18">
      <xmlColumnPr mapId="32" xpath="/RecordSet/Record/class" xmlDataType="token"/>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B88AB2B-9567-4F8F-BDB8-C764EF56A415}" name="Table136" displayName="Table136" ref="A6:E156" tableType="xml" totalsRowShown="0" headerRowDxfId="17" dataDxfId="16" tableBorderDxfId="15">
  <autoFilter ref="A6:E156" xr:uid="{126848EA-F27C-4AAA-B838-C4C22F44EBB5}"/>
  <tableColumns count="5">
    <tableColumn id="1" xr3:uid="{CB3906FE-8FCA-4BCD-9036-386A8E8489BA}" uniqueName="sepal_length" name="sepal_length" dataDxfId="14">
      <xmlColumnPr mapId="31" xpath="/RecordSet/Record/sepal_length" xmlDataType="decimal"/>
    </tableColumn>
    <tableColumn id="2" xr3:uid="{F9138417-4E3E-48BD-AC36-8BBDA87B7C53}" uniqueName="sepal_width" name="sepal_width" dataDxfId="13">
      <xmlColumnPr mapId="31" xpath="/RecordSet/Record/sepal_width" xmlDataType="decimal"/>
    </tableColumn>
    <tableColumn id="3" xr3:uid="{59962E19-53F1-41D6-882E-E77A5E2F7D11}" uniqueName="petal_length" name="petal_length" dataDxfId="12">
      <xmlColumnPr mapId="31" xpath="/RecordSet/Record/petal_length" xmlDataType="decimal"/>
    </tableColumn>
    <tableColumn id="4" xr3:uid="{D5130C89-EB24-4AFF-967C-8293BBF04B0F}" uniqueName="petal_width" name="petal_width" dataDxfId="11">
      <xmlColumnPr mapId="31" xpath="/RecordSet/Record/petal_width" xmlDataType="decimal"/>
    </tableColumn>
    <tableColumn id="5" xr3:uid="{A19B6C09-E07F-45BA-ADA4-A3C5F3A9C31A}" uniqueName="class" name="class" dataDxfId="10">
      <xmlColumnPr mapId="31" xpath="/RecordSet/Record/class" xmlDataType="token"/>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FE61BC2-56FF-4C93-A328-B5E9C1BCF915}" name="Table1" displayName="Table1" ref="A26:E176" tableType="xml" totalsRowShown="0" headerRowDxfId="9" dataDxfId="8" tableBorderDxfId="7">
  <autoFilter ref="A26:E176" xr:uid="{0FA6E666-3CBC-4307-B5FD-DD71DDD842E0}"/>
  <tableColumns count="5">
    <tableColumn id="1" xr3:uid="{25509B71-2CF9-4B03-B324-CB6463F76893}" uniqueName="sepal_length" name="sepal_length" dataDxfId="6">
      <xmlColumnPr mapId="30" xpath="/RecordSet/Record/sepal_length" xmlDataType="decimal"/>
    </tableColumn>
    <tableColumn id="2" xr3:uid="{90BCD6DD-D73D-4335-8827-B786AB9E99E4}" uniqueName="sepal_width" name="sepal_width" dataDxfId="5">
      <xmlColumnPr mapId="30" xpath="/RecordSet/Record/sepal_width" xmlDataType="decimal"/>
    </tableColumn>
    <tableColumn id="3" xr3:uid="{728B3D47-AA9D-4EFB-B73B-2063F50635B4}" uniqueName="petal_length" name="petal_length" dataDxfId="4">
      <xmlColumnPr mapId="30" xpath="/RecordSet/Record/petal_length" xmlDataType="decimal"/>
    </tableColumn>
    <tableColumn id="4" xr3:uid="{0A2F926F-ECDA-4E9E-97CF-413D0083A0B1}" uniqueName="petal_width" name="petal_width" dataDxfId="3">
      <calculatedColumnFormula>H27</calculatedColumnFormula>
      <xmlColumnPr mapId="30" xpath="/RecordSet/Record/petal_width" xmlDataType="decimal"/>
    </tableColumn>
    <tableColumn id="5" xr3:uid="{2A0F8EC8-4914-4303-AECA-F0B3C4E03B7D}" uniqueName="class" name="class" dataDxfId="2">
      <xmlColumnPr mapId="30" xpath="/RecordSet/Record/class" xmlDataType="token"/>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F60595C-8C2E-4C99-9930-71E0CB82A476}" name="Table3" displayName="Table3" ref="A10:M2010" tableType="xml" totalsRowShown="0">
  <autoFilter ref="A10:M2010" xr:uid="{495EA761-F803-4AFE-B0D4-C9FE0719BEB7}"/>
  <tableColumns count="13">
    <tableColumn id="1" xr3:uid="{BF734851-4AF5-420C-B229-25B17CE3BB1B}" uniqueName="ID" name="ID">
      <xmlColumnPr mapId="33" xpath="/RecordSet/Record/ID" xmlDataType="integer"/>
    </tableColumn>
    <tableColumn id="2" xr3:uid="{63010813-369E-4858-B934-0D4CD81A517E}" uniqueName="Age" name="Age" dataDxfId="1">
      <xmlColumnPr mapId="33" xpath="/RecordSet/Record/Age" xmlDataType="integer"/>
    </tableColumn>
    <tableColumn id="3" xr3:uid="{AFD54D20-87A6-4DA0-884A-8A8AAEC7B51C}" uniqueName="Employment" name="Employment">
      <xmlColumnPr mapId="33" xpath="/RecordSet/Record/Employment" xmlDataType="token"/>
    </tableColumn>
    <tableColumn id="4" xr3:uid="{71840D87-ABBA-4886-BDC3-02DA9DA8B36E}" uniqueName="Education" name="Education">
      <xmlColumnPr mapId="33" xpath="/RecordSet/Record/Education" xmlDataType="token"/>
    </tableColumn>
    <tableColumn id="5" xr3:uid="{B81C4D81-3AD4-4BDC-BC88-D7D24DA29081}" uniqueName="Marital" name="Marital">
      <xmlColumnPr mapId="33" xpath="/RecordSet/Record/Marital" xmlDataType="token"/>
    </tableColumn>
    <tableColumn id="6" xr3:uid="{AA6EE8E9-C2DC-48FE-9144-07B2D2F0CD10}" uniqueName="Occupation" name="Occupation">
      <xmlColumnPr mapId="33" xpath="/RecordSet/Record/Occupation" xmlDataType="token"/>
    </tableColumn>
    <tableColumn id="7" xr3:uid="{C957A4CD-C651-4837-8FAE-4EB669C74F6A}" uniqueName="Income" name="Income">
      <calculatedColumnFormula>P11*(1+RAND())</calculatedColumnFormula>
      <xmlColumnPr mapId="33" xpath="/RecordSet/Record/Income" xmlDataType="decimal"/>
    </tableColumn>
    <tableColumn id="8" xr3:uid="{F09ACADD-FFC4-4BF6-A9EF-557DDD2632EF}" uniqueName="Gender" name="Gender">
      <xmlColumnPr mapId="33" xpath="/RecordSet/Record/Gender" xmlDataType="token"/>
    </tableColumn>
    <tableColumn id="9" xr3:uid="{88F122AB-50E5-44E6-989C-C44A21716A4F}" uniqueName="Deductions" name="Deductions">
      <xmlColumnPr mapId="33" xpath="/RecordSet/Record/Deductions" xmlDataType="decimal"/>
    </tableColumn>
    <tableColumn id="10" xr3:uid="{C095E124-9BE0-41F9-A76A-407A76DD4B29}" uniqueName="Hours" name="Hours">
      <xmlColumnPr mapId="33" xpath="/RecordSet/Record/Hours" xmlDataType="integer"/>
    </tableColumn>
    <tableColumn id="11" xr3:uid="{7178C666-C512-48FC-B539-33CA127CC9F8}" uniqueName="IGNORE_Accounts" name="IGNORE_Accounts">
      <xmlColumnPr mapId="33" xpath="/RecordSet/Record/IGNORE_Accounts" xmlDataType="token"/>
    </tableColumn>
    <tableColumn id="12" xr3:uid="{F17EF953-4A14-416B-ADBF-2D204055DA71}" uniqueName="RISK_Adjustment" name="RISK_Adjustment">
      <xmlColumnPr mapId="33" xpath="/RecordSet/Record/RISK_Adjustment" xmlDataType="integer"/>
    </tableColumn>
    <tableColumn id="13" xr3:uid="{689B570C-5686-4C44-93B7-D164084E7E3F}" uniqueName="TARGET_Adjusted" name="TARGET_Adjusted">
      <xmlColumnPr mapId="33" xpath="/RecordSet/Record/TARGET_Adjusted" xmlDataType="integer"/>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6C3E526-7ED0-42C9-BE79-CA5E9B7C5B71}" name="Table4" displayName="Table4" ref="A49:D53" tableType="xml" totalsRowShown="0">
  <autoFilter ref="A49:D53" xr:uid="{A6F50A08-2660-4E83-A6E5-FB1893A1E9E9}"/>
  <tableColumns count="4">
    <tableColumn id="1" xr3:uid="{7671836D-B507-4AE3-83F1-7BDD59486C82}" uniqueName="ID" name="ID">
      <xmlColumnPr mapId="35" xpath="/RecordSet/Record/ID" xmlDataType="integer"/>
    </tableColumn>
    <tableColumn id="2" xr3:uid="{F4D1BD59-7DB6-4A05-B68F-CF0F245A838C}" uniqueName="x" name="x">
      <xmlColumnPr mapId="35" xpath="/RecordSet/Record/x" xmlDataType="token"/>
    </tableColumn>
    <tableColumn id="3" xr3:uid="{FF2301E0-101D-440A-B9B0-9EEFF85DE7E5}" uniqueName="y" name="y">
      <xmlColumnPr mapId="35" xpath="/RecordSet/Record/y" xmlDataType="integer"/>
    </tableColumn>
    <tableColumn id="4" xr3:uid="{7BF5F87F-1342-49EC-B9CA-BC14DF731E65}" uniqueName="Hey" name="Hey">
      <xmlColumnPr mapId="35" xpath="/RecordSet/Record/Hey" xmlDataType="decimal"/>
    </tableColumn>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47C8A2-59AB-4533-BAE1-184B80CE6E3A}">
  <sheetPr codeName="Sheet5"/>
  <dimension ref="A1:K156"/>
  <sheetViews>
    <sheetView workbookViewId="0">
      <selection activeCell="H3" sqref="H3:K3"/>
    </sheetView>
  </sheetViews>
  <sheetFormatPr defaultColWidth="5.921875" defaultRowHeight="14.6" x14ac:dyDescent="0.4"/>
  <cols>
    <col min="1" max="5" width="8.921875" style="21" customWidth="1"/>
    <col min="6" max="6" width="1.07421875" style="21" customWidth="1"/>
    <col min="7" max="7" width="8.921875" style="21" customWidth="1"/>
    <col min="8" max="8" width="17.921875" style="21" bestFit="1" customWidth="1"/>
    <col min="9" max="9" width="19.15234375" style="21" bestFit="1" customWidth="1"/>
    <col min="10" max="10" width="22" style="21" bestFit="1" customWidth="1"/>
    <col min="11" max="11" width="20.69140625" style="21" bestFit="1" customWidth="1"/>
    <col min="12" max="16384" width="5.921875" style="21"/>
  </cols>
  <sheetData>
    <row r="1" spans="1:11" x14ac:dyDescent="0.4">
      <c r="A1" s="21" t="s">
        <v>268</v>
      </c>
    </row>
    <row r="2" spans="1:11" x14ac:dyDescent="0.4">
      <c r="G2" s="21" t="s">
        <v>256</v>
      </c>
      <c r="H2" s="21">
        <v>0</v>
      </c>
    </row>
    <row r="3" spans="1:11" x14ac:dyDescent="0.4">
      <c r="G3" s="30" t="s">
        <v>257</v>
      </c>
      <c r="H3" s="41" t="str" cm="1">
        <f t="array" ref="H3">fWBPath(H2)&amp;"\test\data\IrisMultinomReg.xml"</f>
        <v>D:\WDS\dev\lib\github\WDataSci\WDS-JniPMML-XLL\master\test\data\IrisMultinomReg.xml</v>
      </c>
      <c r="I3" s="41"/>
      <c r="J3" s="41"/>
      <c r="K3" s="41"/>
    </row>
    <row r="4" spans="1:11" x14ac:dyDescent="0.4">
      <c r="A4" s="41" t="s">
        <v>259</v>
      </c>
      <c r="B4" s="41"/>
      <c r="C4" s="41"/>
      <c r="D4" s="41"/>
      <c r="E4" s="41"/>
    </row>
    <row r="6" spans="1:11" x14ac:dyDescent="0.4">
      <c r="A6" s="32" t="s">
        <v>0</v>
      </c>
      <c r="B6" s="32" t="s">
        <v>1</v>
      </c>
      <c r="C6" s="32" t="s">
        <v>2</v>
      </c>
      <c r="D6" s="32" t="s">
        <v>3</v>
      </c>
      <c r="E6" s="33" t="s">
        <v>4</v>
      </c>
      <c r="H6" s="21" t="str" cm="1">
        <f t="array" ref="H6">JniPMML_Eval_WithoutCache(H2,H3,1,A6:E9)</f>
        <v>Calc Turned Off</v>
      </c>
    </row>
    <row r="7" spans="1:11" x14ac:dyDescent="0.4">
      <c r="A7" s="2">
        <v>5.0999999999999996</v>
      </c>
      <c r="B7" s="2">
        <v>3.5</v>
      </c>
      <c r="C7" s="2">
        <v>1.4</v>
      </c>
      <c r="D7" s="21">
        <v>0.2</v>
      </c>
      <c r="E7" s="4" t="s">
        <v>5</v>
      </c>
    </row>
    <row r="8" spans="1:11" x14ac:dyDescent="0.4">
      <c r="A8" s="3">
        <v>4.9000000000000004</v>
      </c>
      <c r="B8" s="3">
        <v>3</v>
      </c>
      <c r="C8" s="3">
        <v>1.4</v>
      </c>
      <c r="D8" s="21">
        <v>0.2</v>
      </c>
      <c r="E8" s="5" t="s">
        <v>5</v>
      </c>
    </row>
    <row r="9" spans="1:11" x14ac:dyDescent="0.4">
      <c r="A9" s="2">
        <v>4.7</v>
      </c>
      <c r="B9" s="2">
        <v>3.2</v>
      </c>
      <c r="C9" s="2">
        <v>1.3</v>
      </c>
      <c r="D9" s="21">
        <v>0.2</v>
      </c>
      <c r="E9" s="4" t="s">
        <v>5</v>
      </c>
    </row>
    <row r="10" spans="1:11" x14ac:dyDescent="0.4">
      <c r="A10" s="3">
        <v>4.5999999999999996</v>
      </c>
      <c r="B10" s="3">
        <v>3.1</v>
      </c>
      <c r="C10" s="3">
        <v>1.5</v>
      </c>
      <c r="D10" s="21">
        <v>0.2</v>
      </c>
      <c r="E10" s="5" t="s">
        <v>5</v>
      </c>
    </row>
    <row r="11" spans="1:11" x14ac:dyDescent="0.4">
      <c r="A11" s="2">
        <v>5</v>
      </c>
      <c r="B11" s="2">
        <v>3.6</v>
      </c>
      <c r="C11" s="2">
        <v>1.4</v>
      </c>
      <c r="D11" s="21">
        <v>0.2</v>
      </c>
      <c r="E11" s="4" t="s">
        <v>5</v>
      </c>
    </row>
    <row r="12" spans="1:11" x14ac:dyDescent="0.4">
      <c r="A12" s="3">
        <v>5.4</v>
      </c>
      <c r="B12" s="3">
        <v>3.9</v>
      </c>
      <c r="C12" s="3">
        <v>1.7</v>
      </c>
      <c r="D12" s="21">
        <v>0.4</v>
      </c>
      <c r="E12" s="5" t="s">
        <v>5</v>
      </c>
    </row>
    <row r="13" spans="1:11" x14ac:dyDescent="0.4">
      <c r="A13" s="2">
        <v>4.5999999999999996</v>
      </c>
      <c r="B13" s="2">
        <v>3.4</v>
      </c>
      <c r="C13" s="2">
        <v>1.4</v>
      </c>
      <c r="D13" s="21">
        <v>0.3</v>
      </c>
      <c r="E13" s="4" t="s">
        <v>5</v>
      </c>
    </row>
    <row r="14" spans="1:11" x14ac:dyDescent="0.4">
      <c r="A14" s="3">
        <v>5</v>
      </c>
      <c r="B14" s="3">
        <v>3.4</v>
      </c>
      <c r="C14" s="3">
        <v>1.5</v>
      </c>
      <c r="D14" s="21">
        <v>0.2</v>
      </c>
      <c r="E14" s="5" t="s">
        <v>5</v>
      </c>
    </row>
    <row r="15" spans="1:11" x14ac:dyDescent="0.4">
      <c r="A15" s="2">
        <v>4.4000000000000004</v>
      </c>
      <c r="B15" s="2">
        <v>2.9</v>
      </c>
      <c r="C15" s="2">
        <v>1.4</v>
      </c>
      <c r="D15" s="21">
        <v>0.2</v>
      </c>
      <c r="E15" s="4" t="s">
        <v>5</v>
      </c>
    </row>
    <row r="16" spans="1:11" x14ac:dyDescent="0.4">
      <c r="A16" s="3">
        <v>4.9000000000000004</v>
      </c>
      <c r="B16" s="3">
        <v>3.1</v>
      </c>
      <c r="C16" s="3">
        <v>1.5</v>
      </c>
      <c r="D16" s="21">
        <v>0.1</v>
      </c>
      <c r="E16" s="5" t="s">
        <v>5</v>
      </c>
    </row>
    <row r="17" spans="1:5" x14ac:dyDescent="0.4">
      <c r="A17" s="2">
        <v>5.4</v>
      </c>
      <c r="B17" s="2">
        <v>3.7</v>
      </c>
      <c r="C17" s="2">
        <v>1.5</v>
      </c>
      <c r="D17" s="21">
        <v>0.2</v>
      </c>
      <c r="E17" s="4" t="s">
        <v>5</v>
      </c>
    </row>
    <row r="18" spans="1:5" x14ac:dyDescent="0.4">
      <c r="A18" s="3">
        <v>4.8</v>
      </c>
      <c r="B18" s="3">
        <v>3.4</v>
      </c>
      <c r="C18" s="3">
        <v>1.6</v>
      </c>
      <c r="D18" s="21">
        <v>0.2</v>
      </c>
      <c r="E18" s="5" t="s">
        <v>5</v>
      </c>
    </row>
    <row r="19" spans="1:5" x14ac:dyDescent="0.4">
      <c r="A19" s="2">
        <v>4.8</v>
      </c>
      <c r="B19" s="2">
        <v>3</v>
      </c>
      <c r="C19" s="2">
        <v>1.4</v>
      </c>
      <c r="D19" s="21">
        <v>0.1</v>
      </c>
      <c r="E19" s="4" t="s">
        <v>5</v>
      </c>
    </row>
    <row r="20" spans="1:5" x14ac:dyDescent="0.4">
      <c r="A20" s="3">
        <v>4.3</v>
      </c>
      <c r="B20" s="3">
        <v>3</v>
      </c>
      <c r="C20" s="3">
        <v>1.1000000000000001</v>
      </c>
      <c r="D20" s="21">
        <v>0.1</v>
      </c>
      <c r="E20" s="5" t="s">
        <v>5</v>
      </c>
    </row>
    <row r="21" spans="1:5" x14ac:dyDescent="0.4">
      <c r="A21" s="2">
        <v>5.8</v>
      </c>
      <c r="B21" s="2">
        <v>4</v>
      </c>
      <c r="C21" s="2">
        <v>1.2</v>
      </c>
      <c r="D21" s="21">
        <v>0.2</v>
      </c>
      <c r="E21" s="4" t="s">
        <v>5</v>
      </c>
    </row>
    <row r="22" spans="1:5" x14ac:dyDescent="0.4">
      <c r="A22" s="3">
        <v>5.7</v>
      </c>
      <c r="B22" s="3">
        <v>4.4000000000000004</v>
      </c>
      <c r="C22" s="3">
        <v>1.5</v>
      </c>
      <c r="D22" s="21">
        <v>0.4</v>
      </c>
      <c r="E22" s="5" t="s">
        <v>5</v>
      </c>
    </row>
    <row r="23" spans="1:5" x14ac:dyDescent="0.4">
      <c r="A23" s="2">
        <v>5.4</v>
      </c>
      <c r="B23" s="2">
        <v>3.9</v>
      </c>
      <c r="C23" s="2">
        <v>1.3</v>
      </c>
      <c r="D23" s="21">
        <v>0.4</v>
      </c>
      <c r="E23" s="4" t="s">
        <v>5</v>
      </c>
    </row>
    <row r="24" spans="1:5" x14ac:dyDescent="0.4">
      <c r="A24" s="3">
        <v>5.0999999999999996</v>
      </c>
      <c r="B24" s="3">
        <v>3.5</v>
      </c>
      <c r="C24" s="3">
        <v>1.4</v>
      </c>
      <c r="D24" s="21">
        <v>0.3</v>
      </c>
      <c r="E24" s="5" t="s">
        <v>5</v>
      </c>
    </row>
    <row r="25" spans="1:5" x14ac:dyDescent="0.4">
      <c r="A25" s="2">
        <v>5.7</v>
      </c>
      <c r="B25" s="2">
        <v>3.8</v>
      </c>
      <c r="C25" s="2">
        <v>1.7</v>
      </c>
      <c r="D25" s="21">
        <v>0.3</v>
      </c>
      <c r="E25" s="4" t="s">
        <v>5</v>
      </c>
    </row>
    <row r="26" spans="1:5" x14ac:dyDescent="0.4">
      <c r="A26" s="3">
        <v>5.0999999999999996</v>
      </c>
      <c r="B26" s="3">
        <v>3.8</v>
      </c>
      <c r="C26" s="3">
        <v>1.5</v>
      </c>
      <c r="D26" s="21">
        <v>0.3</v>
      </c>
      <c r="E26" s="5" t="s">
        <v>5</v>
      </c>
    </row>
    <row r="27" spans="1:5" x14ac:dyDescent="0.4">
      <c r="A27" s="2">
        <v>5.4</v>
      </c>
      <c r="B27" s="2">
        <v>3.4</v>
      </c>
      <c r="C27" s="2">
        <v>1.7</v>
      </c>
      <c r="D27" s="21">
        <v>0.2</v>
      </c>
      <c r="E27" s="4" t="s">
        <v>5</v>
      </c>
    </row>
    <row r="28" spans="1:5" x14ac:dyDescent="0.4">
      <c r="A28" s="3">
        <v>5.0999999999999996</v>
      </c>
      <c r="B28" s="3">
        <v>3.7</v>
      </c>
      <c r="C28" s="3">
        <v>1.5</v>
      </c>
      <c r="D28" s="21">
        <v>0.4</v>
      </c>
      <c r="E28" s="5" t="s">
        <v>5</v>
      </c>
    </row>
    <row r="29" spans="1:5" x14ac:dyDescent="0.4">
      <c r="A29" s="2">
        <v>4.5999999999999996</v>
      </c>
      <c r="B29" s="2">
        <v>3.6</v>
      </c>
      <c r="C29" s="2">
        <v>1</v>
      </c>
      <c r="D29" s="21">
        <v>0.2</v>
      </c>
      <c r="E29" s="4" t="s">
        <v>5</v>
      </c>
    </row>
    <row r="30" spans="1:5" x14ac:dyDescent="0.4">
      <c r="A30" s="3">
        <v>5.0999999999999996</v>
      </c>
      <c r="B30" s="3">
        <v>3.3</v>
      </c>
      <c r="C30" s="3">
        <v>1.7</v>
      </c>
      <c r="D30" s="21">
        <v>0.5</v>
      </c>
      <c r="E30" s="5" t="s">
        <v>5</v>
      </c>
    </row>
    <row r="31" spans="1:5" x14ac:dyDescent="0.4">
      <c r="A31" s="2">
        <v>4.8</v>
      </c>
      <c r="B31" s="2">
        <v>3.4</v>
      </c>
      <c r="C31" s="2">
        <v>1.9</v>
      </c>
      <c r="D31" s="21">
        <v>0.2</v>
      </c>
      <c r="E31" s="4" t="s">
        <v>5</v>
      </c>
    </row>
    <row r="32" spans="1:5" x14ac:dyDescent="0.4">
      <c r="A32" s="3">
        <v>5</v>
      </c>
      <c r="B32" s="3">
        <v>3</v>
      </c>
      <c r="C32" s="3">
        <v>1.6</v>
      </c>
      <c r="D32" s="21">
        <v>0.2</v>
      </c>
      <c r="E32" s="5" t="s">
        <v>5</v>
      </c>
    </row>
    <row r="33" spans="1:5" x14ac:dyDescent="0.4">
      <c r="A33" s="2">
        <v>5</v>
      </c>
      <c r="B33" s="2">
        <v>3.4</v>
      </c>
      <c r="C33" s="2">
        <v>1.6</v>
      </c>
      <c r="D33" s="21">
        <v>0.4</v>
      </c>
      <c r="E33" s="4" t="s">
        <v>5</v>
      </c>
    </row>
    <row r="34" spans="1:5" x14ac:dyDescent="0.4">
      <c r="A34" s="3">
        <v>5.2</v>
      </c>
      <c r="B34" s="3">
        <v>3.5</v>
      </c>
      <c r="C34" s="3">
        <v>1.5</v>
      </c>
      <c r="D34" s="21">
        <v>0.2</v>
      </c>
      <c r="E34" s="5" t="s">
        <v>5</v>
      </c>
    </row>
    <row r="35" spans="1:5" x14ac:dyDescent="0.4">
      <c r="A35" s="2">
        <v>5.2</v>
      </c>
      <c r="B35" s="2">
        <v>3.4</v>
      </c>
      <c r="C35" s="2">
        <v>1.4</v>
      </c>
      <c r="D35" s="21">
        <v>0.2</v>
      </c>
      <c r="E35" s="4" t="s">
        <v>5</v>
      </c>
    </row>
    <row r="36" spans="1:5" x14ac:dyDescent="0.4">
      <c r="A36" s="3">
        <v>4.7</v>
      </c>
      <c r="B36" s="3">
        <v>3.2</v>
      </c>
      <c r="C36" s="3">
        <v>1.6</v>
      </c>
      <c r="D36" s="21">
        <v>0.2</v>
      </c>
      <c r="E36" s="5" t="s">
        <v>5</v>
      </c>
    </row>
    <row r="37" spans="1:5" x14ac:dyDescent="0.4">
      <c r="A37" s="2">
        <v>4.8</v>
      </c>
      <c r="B37" s="2">
        <v>3.1</v>
      </c>
      <c r="C37" s="2">
        <v>1.6</v>
      </c>
      <c r="D37" s="21">
        <v>0.2</v>
      </c>
      <c r="E37" s="4" t="s">
        <v>5</v>
      </c>
    </row>
    <row r="38" spans="1:5" x14ac:dyDescent="0.4">
      <c r="A38" s="3">
        <v>5.4</v>
      </c>
      <c r="B38" s="3">
        <v>3.4</v>
      </c>
      <c r="C38" s="3">
        <v>1.5</v>
      </c>
      <c r="D38" s="21">
        <v>0.4</v>
      </c>
      <c r="E38" s="5" t="s">
        <v>5</v>
      </c>
    </row>
    <row r="39" spans="1:5" x14ac:dyDescent="0.4">
      <c r="A39" s="2">
        <v>5.2</v>
      </c>
      <c r="B39" s="2">
        <v>4.0999999999999996</v>
      </c>
      <c r="C39" s="2">
        <v>1.5</v>
      </c>
      <c r="D39" s="21">
        <v>0.1</v>
      </c>
      <c r="E39" s="4" t="s">
        <v>5</v>
      </c>
    </row>
    <row r="40" spans="1:5" x14ac:dyDescent="0.4">
      <c r="A40" s="3">
        <v>5.5</v>
      </c>
      <c r="B40" s="3">
        <v>4.2</v>
      </c>
      <c r="C40" s="3">
        <v>1.4</v>
      </c>
      <c r="D40" s="21">
        <v>0.2</v>
      </c>
      <c r="E40" s="5" t="s">
        <v>5</v>
      </c>
    </row>
    <row r="41" spans="1:5" x14ac:dyDescent="0.4">
      <c r="A41" s="2">
        <v>4.9000000000000004</v>
      </c>
      <c r="B41" s="2">
        <v>3.1</v>
      </c>
      <c r="C41" s="2">
        <v>1.5</v>
      </c>
      <c r="D41" s="21">
        <v>0.1</v>
      </c>
      <c r="E41" s="4" t="s">
        <v>5</v>
      </c>
    </row>
    <row r="42" spans="1:5" x14ac:dyDescent="0.4">
      <c r="A42" s="3">
        <v>5</v>
      </c>
      <c r="B42" s="3">
        <v>3.2</v>
      </c>
      <c r="C42" s="3">
        <v>1.2</v>
      </c>
      <c r="D42" s="21">
        <v>0.2</v>
      </c>
      <c r="E42" s="5" t="s">
        <v>5</v>
      </c>
    </row>
    <row r="43" spans="1:5" x14ac:dyDescent="0.4">
      <c r="A43" s="2">
        <v>5.5</v>
      </c>
      <c r="B43" s="2">
        <v>3.5</v>
      </c>
      <c r="C43" s="2">
        <v>1.3</v>
      </c>
      <c r="D43" s="21">
        <v>0.2</v>
      </c>
      <c r="E43" s="4" t="s">
        <v>5</v>
      </c>
    </row>
    <row r="44" spans="1:5" x14ac:dyDescent="0.4">
      <c r="A44" s="3">
        <v>4.9000000000000004</v>
      </c>
      <c r="B44" s="3">
        <v>3.1</v>
      </c>
      <c r="C44" s="3">
        <v>1.5</v>
      </c>
      <c r="D44" s="21">
        <v>0.1</v>
      </c>
      <c r="E44" s="5" t="s">
        <v>5</v>
      </c>
    </row>
    <row r="45" spans="1:5" x14ac:dyDescent="0.4">
      <c r="A45" s="2">
        <v>4.4000000000000004</v>
      </c>
      <c r="B45" s="2">
        <v>3</v>
      </c>
      <c r="C45" s="2">
        <v>1.3</v>
      </c>
      <c r="D45" s="21">
        <v>0.2</v>
      </c>
      <c r="E45" s="4" t="s">
        <v>5</v>
      </c>
    </row>
    <row r="46" spans="1:5" x14ac:dyDescent="0.4">
      <c r="A46" s="3">
        <v>5.0999999999999996</v>
      </c>
      <c r="B46" s="3">
        <v>3.4</v>
      </c>
      <c r="C46" s="3">
        <v>1.5</v>
      </c>
      <c r="D46" s="21">
        <v>0.2</v>
      </c>
      <c r="E46" s="5" t="s">
        <v>5</v>
      </c>
    </row>
    <row r="47" spans="1:5" x14ac:dyDescent="0.4">
      <c r="A47" s="2">
        <v>5</v>
      </c>
      <c r="B47" s="2">
        <v>3.5</v>
      </c>
      <c r="C47" s="2">
        <v>1.3</v>
      </c>
      <c r="D47" s="21">
        <v>0.3</v>
      </c>
      <c r="E47" s="4" t="s">
        <v>5</v>
      </c>
    </row>
    <row r="48" spans="1:5" x14ac:dyDescent="0.4">
      <c r="A48" s="3">
        <v>4.5</v>
      </c>
      <c r="B48" s="3">
        <v>2.2999999999999998</v>
      </c>
      <c r="C48" s="3">
        <v>1.3</v>
      </c>
      <c r="D48" s="21">
        <v>0.3</v>
      </c>
      <c r="E48" s="5" t="s">
        <v>5</v>
      </c>
    </row>
    <row r="49" spans="1:5" x14ac:dyDescent="0.4">
      <c r="A49" s="2">
        <v>4.4000000000000004</v>
      </c>
      <c r="B49" s="2">
        <v>3.2</v>
      </c>
      <c r="C49" s="2">
        <v>1.3</v>
      </c>
      <c r="D49" s="21">
        <v>0.2</v>
      </c>
      <c r="E49" s="4" t="s">
        <v>5</v>
      </c>
    </row>
    <row r="50" spans="1:5" x14ac:dyDescent="0.4">
      <c r="A50" s="3">
        <v>5</v>
      </c>
      <c r="B50" s="3">
        <v>3.5</v>
      </c>
      <c r="C50" s="3">
        <v>1.6</v>
      </c>
      <c r="D50" s="21">
        <v>0.6</v>
      </c>
      <c r="E50" s="5" t="s">
        <v>5</v>
      </c>
    </row>
    <row r="51" spans="1:5" x14ac:dyDescent="0.4">
      <c r="A51" s="2">
        <v>5.0999999999999996</v>
      </c>
      <c r="B51" s="2">
        <v>3.8</v>
      </c>
      <c r="C51" s="2">
        <v>1.9</v>
      </c>
      <c r="D51" s="21">
        <v>0.4</v>
      </c>
      <c r="E51" s="4" t="s">
        <v>5</v>
      </c>
    </row>
    <row r="52" spans="1:5" x14ac:dyDescent="0.4">
      <c r="A52" s="3">
        <v>4.8</v>
      </c>
      <c r="B52" s="3">
        <v>3</v>
      </c>
      <c r="C52" s="3">
        <v>1.4</v>
      </c>
      <c r="D52" s="21">
        <v>0.3</v>
      </c>
      <c r="E52" s="5" t="s">
        <v>5</v>
      </c>
    </row>
    <row r="53" spans="1:5" x14ac:dyDescent="0.4">
      <c r="A53" s="2">
        <v>5.0999999999999996</v>
      </c>
      <c r="B53" s="2">
        <v>3.8</v>
      </c>
      <c r="C53" s="2">
        <v>1.6</v>
      </c>
      <c r="D53" s="21">
        <v>0.2</v>
      </c>
      <c r="E53" s="4" t="s">
        <v>5</v>
      </c>
    </row>
    <row r="54" spans="1:5" x14ac:dyDescent="0.4">
      <c r="A54" s="3">
        <v>4.5999999999999996</v>
      </c>
      <c r="B54" s="3">
        <v>3.2</v>
      </c>
      <c r="C54" s="3">
        <v>1.4</v>
      </c>
      <c r="D54" s="21">
        <v>0.2</v>
      </c>
      <c r="E54" s="5" t="s">
        <v>5</v>
      </c>
    </row>
    <row r="55" spans="1:5" x14ac:dyDescent="0.4">
      <c r="A55" s="2">
        <v>5.3</v>
      </c>
      <c r="B55" s="2">
        <v>3.7</v>
      </c>
      <c r="C55" s="2">
        <v>1.5</v>
      </c>
      <c r="D55" s="21">
        <v>0.2</v>
      </c>
      <c r="E55" s="4" t="s">
        <v>5</v>
      </c>
    </row>
    <row r="56" spans="1:5" x14ac:dyDescent="0.4">
      <c r="A56" s="3">
        <v>5</v>
      </c>
      <c r="B56" s="3">
        <v>3.3</v>
      </c>
      <c r="C56" s="3">
        <v>1.4</v>
      </c>
      <c r="D56" s="21">
        <v>0.2</v>
      </c>
      <c r="E56" s="5" t="s">
        <v>5</v>
      </c>
    </row>
    <row r="57" spans="1:5" x14ac:dyDescent="0.4">
      <c r="A57" s="2">
        <v>7</v>
      </c>
      <c r="B57" s="2">
        <v>3.2</v>
      </c>
      <c r="C57" s="2">
        <v>4.7</v>
      </c>
      <c r="D57" s="21">
        <v>1.4</v>
      </c>
      <c r="E57" s="4" t="s">
        <v>6</v>
      </c>
    </row>
    <row r="58" spans="1:5" x14ac:dyDescent="0.4">
      <c r="A58" s="3">
        <v>6.4</v>
      </c>
      <c r="B58" s="3">
        <v>3.2</v>
      </c>
      <c r="C58" s="3">
        <v>4.5</v>
      </c>
      <c r="D58" s="21">
        <v>1.5</v>
      </c>
      <c r="E58" s="5" t="s">
        <v>6</v>
      </c>
    </row>
    <row r="59" spans="1:5" x14ac:dyDescent="0.4">
      <c r="A59" s="2">
        <v>6.9</v>
      </c>
      <c r="B59" s="2">
        <v>3.1</v>
      </c>
      <c r="C59" s="2">
        <v>4.9000000000000004</v>
      </c>
      <c r="D59" s="21">
        <v>1.5</v>
      </c>
      <c r="E59" s="4" t="s">
        <v>6</v>
      </c>
    </row>
    <row r="60" spans="1:5" x14ac:dyDescent="0.4">
      <c r="A60" s="3">
        <v>5.5</v>
      </c>
      <c r="B60" s="3">
        <v>2.2999999999999998</v>
      </c>
      <c r="C60" s="3">
        <v>4</v>
      </c>
      <c r="D60" s="21">
        <v>1.3</v>
      </c>
      <c r="E60" s="5" t="s">
        <v>6</v>
      </c>
    </row>
    <row r="61" spans="1:5" x14ac:dyDescent="0.4">
      <c r="A61" s="2">
        <v>6.5</v>
      </c>
      <c r="B61" s="2">
        <v>2.8</v>
      </c>
      <c r="C61" s="2">
        <v>4.5999999999999996</v>
      </c>
      <c r="D61" s="21">
        <v>1.5</v>
      </c>
      <c r="E61" s="4" t="s">
        <v>6</v>
      </c>
    </row>
    <row r="62" spans="1:5" x14ac:dyDescent="0.4">
      <c r="A62" s="3">
        <v>5.7</v>
      </c>
      <c r="B62" s="3">
        <v>2.8</v>
      </c>
      <c r="C62" s="3">
        <v>4.5</v>
      </c>
      <c r="D62" s="21">
        <v>1.3</v>
      </c>
      <c r="E62" s="5" t="s">
        <v>6</v>
      </c>
    </row>
    <row r="63" spans="1:5" x14ac:dyDescent="0.4">
      <c r="A63" s="2">
        <v>6.3</v>
      </c>
      <c r="B63" s="2">
        <v>3.3</v>
      </c>
      <c r="C63" s="2">
        <v>4.7</v>
      </c>
      <c r="D63" s="21">
        <v>1.6</v>
      </c>
      <c r="E63" s="4" t="s">
        <v>6</v>
      </c>
    </row>
    <row r="64" spans="1:5" x14ac:dyDescent="0.4">
      <c r="A64" s="3">
        <v>4.9000000000000004</v>
      </c>
      <c r="B64" s="3">
        <v>2.4</v>
      </c>
      <c r="C64" s="3">
        <v>3.3</v>
      </c>
      <c r="D64" s="21">
        <v>1</v>
      </c>
      <c r="E64" s="5" t="s">
        <v>6</v>
      </c>
    </row>
    <row r="65" spans="1:5" x14ac:dyDescent="0.4">
      <c r="A65" s="2">
        <v>6.6</v>
      </c>
      <c r="B65" s="2">
        <v>2.9</v>
      </c>
      <c r="C65" s="2">
        <v>4.5999999999999996</v>
      </c>
      <c r="D65" s="21">
        <v>1.3</v>
      </c>
      <c r="E65" s="4" t="s">
        <v>6</v>
      </c>
    </row>
    <row r="66" spans="1:5" x14ac:dyDescent="0.4">
      <c r="A66" s="3">
        <v>5.2</v>
      </c>
      <c r="B66" s="3">
        <v>2.7</v>
      </c>
      <c r="C66" s="3">
        <v>3.9</v>
      </c>
      <c r="D66" s="21">
        <v>1.4</v>
      </c>
      <c r="E66" s="5" t="s">
        <v>6</v>
      </c>
    </row>
    <row r="67" spans="1:5" x14ac:dyDescent="0.4">
      <c r="A67" s="2">
        <v>5</v>
      </c>
      <c r="B67" s="2">
        <v>2</v>
      </c>
      <c r="C67" s="2">
        <v>3.5</v>
      </c>
      <c r="D67" s="21">
        <v>1</v>
      </c>
      <c r="E67" s="4" t="s">
        <v>6</v>
      </c>
    </row>
    <row r="68" spans="1:5" x14ac:dyDescent="0.4">
      <c r="A68" s="3">
        <v>5.9</v>
      </c>
      <c r="B68" s="3">
        <v>3</v>
      </c>
      <c r="C68" s="3">
        <v>4.2</v>
      </c>
      <c r="D68" s="21">
        <v>1.5</v>
      </c>
      <c r="E68" s="5" t="s">
        <v>6</v>
      </c>
    </row>
    <row r="69" spans="1:5" x14ac:dyDescent="0.4">
      <c r="A69" s="2">
        <v>6</v>
      </c>
      <c r="B69" s="2">
        <v>2.2000000000000002</v>
      </c>
      <c r="C69" s="2">
        <v>4</v>
      </c>
      <c r="D69" s="21">
        <v>1</v>
      </c>
      <c r="E69" s="4" t="s">
        <v>6</v>
      </c>
    </row>
    <row r="70" spans="1:5" x14ac:dyDescent="0.4">
      <c r="A70" s="3">
        <v>6.1</v>
      </c>
      <c r="B70" s="3">
        <v>2.9</v>
      </c>
      <c r="C70" s="3">
        <v>4.7</v>
      </c>
      <c r="D70" s="21">
        <v>1.4</v>
      </c>
      <c r="E70" s="5" t="s">
        <v>6</v>
      </c>
    </row>
    <row r="71" spans="1:5" x14ac:dyDescent="0.4">
      <c r="A71" s="2">
        <v>5.6</v>
      </c>
      <c r="B71" s="2">
        <v>2.9</v>
      </c>
      <c r="C71" s="2">
        <v>3.6</v>
      </c>
      <c r="D71" s="21">
        <v>1.3</v>
      </c>
      <c r="E71" s="4" t="s">
        <v>6</v>
      </c>
    </row>
    <row r="72" spans="1:5" x14ac:dyDescent="0.4">
      <c r="A72" s="3">
        <v>6.7</v>
      </c>
      <c r="B72" s="3">
        <v>3.1</v>
      </c>
      <c r="C72" s="3">
        <v>4.4000000000000004</v>
      </c>
      <c r="D72" s="21">
        <v>1.4</v>
      </c>
      <c r="E72" s="5" t="s">
        <v>6</v>
      </c>
    </row>
    <row r="73" spans="1:5" x14ac:dyDescent="0.4">
      <c r="A73" s="2">
        <v>5.6</v>
      </c>
      <c r="B73" s="2">
        <v>3</v>
      </c>
      <c r="C73" s="2">
        <v>4.5</v>
      </c>
      <c r="D73" s="21">
        <v>1.5</v>
      </c>
      <c r="E73" s="4" t="s">
        <v>6</v>
      </c>
    </row>
    <row r="74" spans="1:5" x14ac:dyDescent="0.4">
      <c r="A74" s="3">
        <v>5.8</v>
      </c>
      <c r="B74" s="3">
        <v>2.7</v>
      </c>
      <c r="C74" s="3">
        <v>4.0999999999999996</v>
      </c>
      <c r="D74" s="21">
        <v>1</v>
      </c>
      <c r="E74" s="5" t="s">
        <v>6</v>
      </c>
    </row>
    <row r="75" spans="1:5" x14ac:dyDescent="0.4">
      <c r="A75" s="2">
        <v>6.2</v>
      </c>
      <c r="B75" s="2">
        <v>2.2000000000000002</v>
      </c>
      <c r="C75" s="2">
        <v>4.5</v>
      </c>
      <c r="D75" s="21">
        <v>1.5</v>
      </c>
      <c r="E75" s="4" t="s">
        <v>6</v>
      </c>
    </row>
    <row r="76" spans="1:5" x14ac:dyDescent="0.4">
      <c r="A76" s="3">
        <v>5.6</v>
      </c>
      <c r="B76" s="3">
        <v>2.5</v>
      </c>
      <c r="C76" s="3">
        <v>3.9</v>
      </c>
      <c r="D76" s="21">
        <v>1.1000000000000001</v>
      </c>
      <c r="E76" s="5" t="s">
        <v>6</v>
      </c>
    </row>
    <row r="77" spans="1:5" x14ac:dyDescent="0.4">
      <c r="A77" s="2">
        <v>5.9</v>
      </c>
      <c r="B77" s="2">
        <v>3.2</v>
      </c>
      <c r="C77" s="2">
        <v>4.8</v>
      </c>
      <c r="D77" s="21">
        <v>1.8</v>
      </c>
      <c r="E77" s="4" t="s">
        <v>6</v>
      </c>
    </row>
    <row r="78" spans="1:5" x14ac:dyDescent="0.4">
      <c r="A78" s="3">
        <v>6.1</v>
      </c>
      <c r="B78" s="3">
        <v>2.8</v>
      </c>
      <c r="C78" s="3">
        <v>4</v>
      </c>
      <c r="D78" s="21">
        <v>1.3</v>
      </c>
      <c r="E78" s="5" t="s">
        <v>6</v>
      </c>
    </row>
    <row r="79" spans="1:5" x14ac:dyDescent="0.4">
      <c r="A79" s="2">
        <v>6.3</v>
      </c>
      <c r="B79" s="2">
        <v>2.5</v>
      </c>
      <c r="C79" s="2">
        <v>4.9000000000000004</v>
      </c>
      <c r="D79" s="21">
        <v>1.5</v>
      </c>
      <c r="E79" s="4" t="s">
        <v>6</v>
      </c>
    </row>
    <row r="80" spans="1:5" x14ac:dyDescent="0.4">
      <c r="A80" s="3">
        <v>6.1</v>
      </c>
      <c r="B80" s="3">
        <v>2.8</v>
      </c>
      <c r="C80" s="3">
        <v>4.7</v>
      </c>
      <c r="D80" s="21">
        <v>1.2</v>
      </c>
      <c r="E80" s="5" t="s">
        <v>6</v>
      </c>
    </row>
    <row r="81" spans="1:5" x14ac:dyDescent="0.4">
      <c r="A81" s="2">
        <v>6.4</v>
      </c>
      <c r="B81" s="2">
        <v>2.9</v>
      </c>
      <c r="C81" s="2">
        <v>4.3</v>
      </c>
      <c r="D81" s="21">
        <v>1.3</v>
      </c>
      <c r="E81" s="4" t="s">
        <v>6</v>
      </c>
    </row>
    <row r="82" spans="1:5" x14ac:dyDescent="0.4">
      <c r="A82" s="3">
        <v>6.6</v>
      </c>
      <c r="B82" s="3">
        <v>3</v>
      </c>
      <c r="C82" s="3">
        <v>4.4000000000000004</v>
      </c>
      <c r="D82" s="21">
        <v>1.4</v>
      </c>
      <c r="E82" s="5" t="s">
        <v>6</v>
      </c>
    </row>
    <row r="83" spans="1:5" x14ac:dyDescent="0.4">
      <c r="A83" s="2">
        <v>6.8</v>
      </c>
      <c r="B83" s="2">
        <v>2.8</v>
      </c>
      <c r="C83" s="2">
        <v>4.8</v>
      </c>
      <c r="D83" s="21">
        <v>1.4</v>
      </c>
      <c r="E83" s="4" t="s">
        <v>6</v>
      </c>
    </row>
    <row r="84" spans="1:5" x14ac:dyDescent="0.4">
      <c r="A84" s="3">
        <v>6.7</v>
      </c>
      <c r="B84" s="3">
        <v>3</v>
      </c>
      <c r="C84" s="3">
        <v>5</v>
      </c>
      <c r="D84" s="21">
        <v>1.7</v>
      </c>
      <c r="E84" s="5" t="s">
        <v>6</v>
      </c>
    </row>
    <row r="85" spans="1:5" x14ac:dyDescent="0.4">
      <c r="A85" s="2">
        <v>6</v>
      </c>
      <c r="B85" s="2">
        <v>2.9</v>
      </c>
      <c r="C85" s="2">
        <v>4.5</v>
      </c>
      <c r="D85" s="21">
        <v>1.5</v>
      </c>
      <c r="E85" s="4" t="s">
        <v>6</v>
      </c>
    </row>
    <row r="86" spans="1:5" x14ac:dyDescent="0.4">
      <c r="A86" s="3">
        <v>5.7</v>
      </c>
      <c r="B86" s="3">
        <v>2.6</v>
      </c>
      <c r="C86" s="3">
        <v>3.5</v>
      </c>
      <c r="D86" s="21">
        <v>1</v>
      </c>
      <c r="E86" s="5" t="s">
        <v>6</v>
      </c>
    </row>
    <row r="87" spans="1:5" x14ac:dyDescent="0.4">
      <c r="A87" s="2">
        <v>5.5</v>
      </c>
      <c r="B87" s="2">
        <v>2.4</v>
      </c>
      <c r="C87" s="2">
        <v>3.8</v>
      </c>
      <c r="D87" s="21">
        <v>1.1000000000000001</v>
      </c>
      <c r="E87" s="4" t="s">
        <v>6</v>
      </c>
    </row>
    <row r="88" spans="1:5" x14ac:dyDescent="0.4">
      <c r="A88" s="3">
        <v>5.5</v>
      </c>
      <c r="B88" s="3">
        <v>2.4</v>
      </c>
      <c r="C88" s="3">
        <v>3.7</v>
      </c>
      <c r="D88" s="21">
        <v>1</v>
      </c>
      <c r="E88" s="5" t="s">
        <v>6</v>
      </c>
    </row>
    <row r="89" spans="1:5" x14ac:dyDescent="0.4">
      <c r="A89" s="2">
        <v>5.8</v>
      </c>
      <c r="B89" s="2">
        <v>2.7</v>
      </c>
      <c r="C89" s="2">
        <v>3.9</v>
      </c>
      <c r="D89" s="21">
        <v>1.2</v>
      </c>
      <c r="E89" s="4" t="s">
        <v>6</v>
      </c>
    </row>
    <row r="90" spans="1:5" x14ac:dyDescent="0.4">
      <c r="A90" s="3">
        <v>6</v>
      </c>
      <c r="B90" s="3">
        <v>2.7</v>
      </c>
      <c r="C90" s="3">
        <v>5.0999999999999996</v>
      </c>
      <c r="D90" s="21">
        <v>1.6</v>
      </c>
      <c r="E90" s="5" t="s">
        <v>6</v>
      </c>
    </row>
    <row r="91" spans="1:5" x14ac:dyDescent="0.4">
      <c r="A91" s="2">
        <v>5.4</v>
      </c>
      <c r="B91" s="2">
        <v>3</v>
      </c>
      <c r="C91" s="2">
        <v>4.5</v>
      </c>
      <c r="D91" s="21">
        <v>1.5</v>
      </c>
      <c r="E91" s="4" t="s">
        <v>6</v>
      </c>
    </row>
    <row r="92" spans="1:5" x14ac:dyDescent="0.4">
      <c r="A92" s="3">
        <v>6</v>
      </c>
      <c r="B92" s="3">
        <v>3.4</v>
      </c>
      <c r="C92" s="3">
        <v>4.5</v>
      </c>
      <c r="D92" s="21">
        <v>1.6</v>
      </c>
      <c r="E92" s="5" t="s">
        <v>6</v>
      </c>
    </row>
    <row r="93" spans="1:5" x14ac:dyDescent="0.4">
      <c r="A93" s="2">
        <v>6.7</v>
      </c>
      <c r="B93" s="2">
        <v>3.1</v>
      </c>
      <c r="C93" s="2">
        <v>4.7</v>
      </c>
      <c r="D93" s="21">
        <v>1.5</v>
      </c>
      <c r="E93" s="4" t="s">
        <v>6</v>
      </c>
    </row>
    <row r="94" spans="1:5" x14ac:dyDescent="0.4">
      <c r="A94" s="3">
        <v>6.3</v>
      </c>
      <c r="B94" s="3">
        <v>2.2999999999999998</v>
      </c>
      <c r="C94" s="3">
        <v>4.4000000000000004</v>
      </c>
      <c r="D94" s="21">
        <v>1.3</v>
      </c>
      <c r="E94" s="5" t="s">
        <v>6</v>
      </c>
    </row>
    <row r="95" spans="1:5" x14ac:dyDescent="0.4">
      <c r="A95" s="2">
        <v>5.6</v>
      </c>
      <c r="B95" s="2">
        <v>3</v>
      </c>
      <c r="C95" s="2">
        <v>4.0999999999999996</v>
      </c>
      <c r="D95" s="21">
        <v>1.3</v>
      </c>
      <c r="E95" s="4" t="s">
        <v>6</v>
      </c>
    </row>
    <row r="96" spans="1:5" x14ac:dyDescent="0.4">
      <c r="A96" s="3">
        <v>5.5</v>
      </c>
      <c r="B96" s="3">
        <v>2.5</v>
      </c>
      <c r="C96" s="3">
        <v>4</v>
      </c>
      <c r="D96" s="21">
        <v>1.3</v>
      </c>
      <c r="E96" s="5" t="s">
        <v>6</v>
      </c>
    </row>
    <row r="97" spans="1:5" x14ac:dyDescent="0.4">
      <c r="A97" s="2">
        <v>5.5</v>
      </c>
      <c r="B97" s="2">
        <v>2.6</v>
      </c>
      <c r="C97" s="2">
        <v>4.4000000000000004</v>
      </c>
      <c r="D97" s="21">
        <v>1.2</v>
      </c>
      <c r="E97" s="4" t="s">
        <v>6</v>
      </c>
    </row>
    <row r="98" spans="1:5" x14ac:dyDescent="0.4">
      <c r="A98" s="3">
        <v>6.1</v>
      </c>
      <c r="B98" s="3">
        <v>3</v>
      </c>
      <c r="C98" s="3">
        <v>4.5999999999999996</v>
      </c>
      <c r="D98" s="21">
        <v>1.4</v>
      </c>
      <c r="E98" s="5" t="s">
        <v>6</v>
      </c>
    </row>
    <row r="99" spans="1:5" x14ac:dyDescent="0.4">
      <c r="A99" s="2">
        <v>5.8</v>
      </c>
      <c r="B99" s="2">
        <v>2.6</v>
      </c>
      <c r="C99" s="2">
        <v>4</v>
      </c>
      <c r="D99" s="21">
        <v>1.2</v>
      </c>
      <c r="E99" s="4" t="s">
        <v>6</v>
      </c>
    </row>
    <row r="100" spans="1:5" x14ac:dyDescent="0.4">
      <c r="A100" s="3">
        <v>5</v>
      </c>
      <c r="B100" s="3">
        <v>2.2999999999999998</v>
      </c>
      <c r="C100" s="3">
        <v>3.3</v>
      </c>
      <c r="D100" s="21">
        <v>1</v>
      </c>
      <c r="E100" s="5" t="s">
        <v>6</v>
      </c>
    </row>
    <row r="101" spans="1:5" x14ac:dyDescent="0.4">
      <c r="A101" s="2">
        <v>5.6</v>
      </c>
      <c r="B101" s="2">
        <v>2.7</v>
      </c>
      <c r="C101" s="2">
        <v>4.2</v>
      </c>
      <c r="D101" s="21">
        <v>1.3</v>
      </c>
      <c r="E101" s="4" t="s">
        <v>6</v>
      </c>
    </row>
    <row r="102" spans="1:5" x14ac:dyDescent="0.4">
      <c r="A102" s="3">
        <v>5.7</v>
      </c>
      <c r="B102" s="3">
        <v>3</v>
      </c>
      <c r="C102" s="3">
        <v>4.2</v>
      </c>
      <c r="D102" s="21">
        <v>1.2</v>
      </c>
      <c r="E102" s="5" t="s">
        <v>6</v>
      </c>
    </row>
    <row r="103" spans="1:5" x14ac:dyDescent="0.4">
      <c r="A103" s="2">
        <v>5.7</v>
      </c>
      <c r="B103" s="2">
        <v>2.9</v>
      </c>
      <c r="C103" s="2">
        <v>4.2</v>
      </c>
      <c r="D103" s="21">
        <v>1.3</v>
      </c>
      <c r="E103" s="4" t="s">
        <v>6</v>
      </c>
    </row>
    <row r="104" spans="1:5" x14ac:dyDescent="0.4">
      <c r="A104" s="3">
        <v>6.2</v>
      </c>
      <c r="B104" s="3">
        <v>2.9</v>
      </c>
      <c r="C104" s="3">
        <v>4.3</v>
      </c>
      <c r="D104" s="21">
        <v>1.3</v>
      </c>
      <c r="E104" s="5" t="s">
        <v>6</v>
      </c>
    </row>
    <row r="105" spans="1:5" x14ac:dyDescent="0.4">
      <c r="A105" s="2">
        <v>5.0999999999999996</v>
      </c>
      <c r="B105" s="2">
        <v>2.5</v>
      </c>
      <c r="C105" s="2">
        <v>3</v>
      </c>
      <c r="D105" s="21">
        <v>1.1000000000000001</v>
      </c>
      <c r="E105" s="4" t="s">
        <v>6</v>
      </c>
    </row>
    <row r="106" spans="1:5" x14ac:dyDescent="0.4">
      <c r="A106" s="3">
        <v>5.7</v>
      </c>
      <c r="B106" s="3">
        <v>2.8</v>
      </c>
      <c r="C106" s="3">
        <v>4.0999999999999996</v>
      </c>
      <c r="D106" s="21">
        <v>1.3</v>
      </c>
      <c r="E106" s="5" t="s">
        <v>6</v>
      </c>
    </row>
    <row r="107" spans="1:5" x14ac:dyDescent="0.4">
      <c r="A107" s="2">
        <v>6.3</v>
      </c>
      <c r="B107" s="2">
        <v>3.3</v>
      </c>
      <c r="C107" s="2">
        <v>6</v>
      </c>
      <c r="D107" s="21">
        <v>2.5</v>
      </c>
      <c r="E107" s="4" t="s">
        <v>7</v>
      </c>
    </row>
    <row r="108" spans="1:5" x14ac:dyDescent="0.4">
      <c r="A108" s="3">
        <v>5.8</v>
      </c>
      <c r="B108" s="3">
        <v>2.7</v>
      </c>
      <c r="C108" s="3">
        <v>5.0999999999999996</v>
      </c>
      <c r="D108" s="21">
        <v>1.9</v>
      </c>
      <c r="E108" s="5" t="s">
        <v>7</v>
      </c>
    </row>
    <row r="109" spans="1:5" x14ac:dyDescent="0.4">
      <c r="A109" s="2">
        <v>7.1</v>
      </c>
      <c r="B109" s="2">
        <v>3</v>
      </c>
      <c r="C109" s="2">
        <v>5.9</v>
      </c>
      <c r="D109" s="21">
        <v>2.1</v>
      </c>
      <c r="E109" s="4" t="s">
        <v>7</v>
      </c>
    </row>
    <row r="110" spans="1:5" x14ac:dyDescent="0.4">
      <c r="A110" s="3">
        <v>6.3</v>
      </c>
      <c r="B110" s="3">
        <v>2.9</v>
      </c>
      <c r="C110" s="3">
        <v>5.6</v>
      </c>
      <c r="D110" s="21">
        <v>1.8</v>
      </c>
      <c r="E110" s="5" t="s">
        <v>7</v>
      </c>
    </row>
    <row r="111" spans="1:5" x14ac:dyDescent="0.4">
      <c r="A111" s="2">
        <v>6.5</v>
      </c>
      <c r="B111" s="2">
        <v>3</v>
      </c>
      <c r="C111" s="2">
        <v>5.8</v>
      </c>
      <c r="D111" s="21">
        <v>2.2000000000000002</v>
      </c>
      <c r="E111" s="4" t="s">
        <v>7</v>
      </c>
    </row>
    <row r="112" spans="1:5" x14ac:dyDescent="0.4">
      <c r="A112" s="3">
        <v>7.6</v>
      </c>
      <c r="B112" s="3">
        <v>3</v>
      </c>
      <c r="C112" s="3">
        <v>6.6</v>
      </c>
      <c r="D112" s="21">
        <v>2.1</v>
      </c>
      <c r="E112" s="5" t="s">
        <v>7</v>
      </c>
    </row>
    <row r="113" spans="1:5" x14ac:dyDescent="0.4">
      <c r="A113" s="2">
        <v>4.9000000000000004</v>
      </c>
      <c r="B113" s="2">
        <v>2.5</v>
      </c>
      <c r="C113" s="2">
        <v>4.5</v>
      </c>
      <c r="D113" s="21">
        <v>1.7</v>
      </c>
      <c r="E113" s="4" t="s">
        <v>7</v>
      </c>
    </row>
    <row r="114" spans="1:5" x14ac:dyDescent="0.4">
      <c r="A114" s="3">
        <v>7.3</v>
      </c>
      <c r="B114" s="3">
        <v>2.9</v>
      </c>
      <c r="C114" s="3">
        <v>6.3</v>
      </c>
      <c r="D114" s="21">
        <v>1.8</v>
      </c>
      <c r="E114" s="5" t="s">
        <v>7</v>
      </c>
    </row>
    <row r="115" spans="1:5" x14ac:dyDescent="0.4">
      <c r="A115" s="2">
        <v>6.7</v>
      </c>
      <c r="B115" s="2">
        <v>2.5</v>
      </c>
      <c r="C115" s="2">
        <v>5.8</v>
      </c>
      <c r="D115" s="21">
        <v>1.8</v>
      </c>
      <c r="E115" s="4" t="s">
        <v>7</v>
      </c>
    </row>
    <row r="116" spans="1:5" x14ac:dyDescent="0.4">
      <c r="A116" s="3">
        <v>7.2</v>
      </c>
      <c r="B116" s="3">
        <v>3.6</v>
      </c>
      <c r="C116" s="3">
        <v>6.1</v>
      </c>
      <c r="D116" s="21">
        <v>2.5</v>
      </c>
      <c r="E116" s="5" t="s">
        <v>7</v>
      </c>
    </row>
    <row r="117" spans="1:5" x14ac:dyDescent="0.4">
      <c r="A117" s="2">
        <v>6.5</v>
      </c>
      <c r="B117" s="2">
        <v>3.2</v>
      </c>
      <c r="C117" s="2">
        <v>5.0999999999999996</v>
      </c>
      <c r="D117" s="21">
        <v>2</v>
      </c>
      <c r="E117" s="4" t="s">
        <v>7</v>
      </c>
    </row>
    <row r="118" spans="1:5" x14ac:dyDescent="0.4">
      <c r="A118" s="3">
        <v>6.4</v>
      </c>
      <c r="B118" s="3">
        <v>2.7</v>
      </c>
      <c r="C118" s="3">
        <v>5.3</v>
      </c>
      <c r="D118" s="21">
        <v>1.9</v>
      </c>
      <c r="E118" s="5" t="s">
        <v>7</v>
      </c>
    </row>
    <row r="119" spans="1:5" x14ac:dyDescent="0.4">
      <c r="A119" s="2">
        <v>6.8</v>
      </c>
      <c r="B119" s="2">
        <v>3</v>
      </c>
      <c r="C119" s="2">
        <v>5.5</v>
      </c>
      <c r="D119" s="21">
        <v>2.1</v>
      </c>
      <c r="E119" s="4" t="s">
        <v>7</v>
      </c>
    </row>
    <row r="120" spans="1:5" x14ac:dyDescent="0.4">
      <c r="A120" s="3">
        <v>5.7</v>
      </c>
      <c r="B120" s="3">
        <v>2.5</v>
      </c>
      <c r="C120" s="3">
        <v>5</v>
      </c>
      <c r="D120" s="21">
        <v>2</v>
      </c>
      <c r="E120" s="5" t="s">
        <v>7</v>
      </c>
    </row>
    <row r="121" spans="1:5" x14ac:dyDescent="0.4">
      <c r="A121" s="2">
        <v>5.8</v>
      </c>
      <c r="B121" s="2">
        <v>2.8</v>
      </c>
      <c r="C121" s="2">
        <v>5.0999999999999996</v>
      </c>
      <c r="D121" s="21">
        <v>2.4</v>
      </c>
      <c r="E121" s="4" t="s">
        <v>7</v>
      </c>
    </row>
    <row r="122" spans="1:5" x14ac:dyDescent="0.4">
      <c r="A122" s="3">
        <v>6.4</v>
      </c>
      <c r="B122" s="3">
        <v>3.2</v>
      </c>
      <c r="C122" s="3">
        <v>5.3</v>
      </c>
      <c r="D122" s="21">
        <v>2.2999999999999998</v>
      </c>
      <c r="E122" s="5" t="s">
        <v>7</v>
      </c>
    </row>
    <row r="123" spans="1:5" x14ac:dyDescent="0.4">
      <c r="A123" s="2">
        <v>6.5</v>
      </c>
      <c r="B123" s="2">
        <v>3</v>
      </c>
      <c r="C123" s="2">
        <v>5.5</v>
      </c>
      <c r="D123" s="21">
        <v>1.8</v>
      </c>
      <c r="E123" s="4" t="s">
        <v>7</v>
      </c>
    </row>
    <row r="124" spans="1:5" x14ac:dyDescent="0.4">
      <c r="A124" s="3">
        <v>7.7</v>
      </c>
      <c r="B124" s="3">
        <v>3.8</v>
      </c>
      <c r="C124" s="3">
        <v>6.7</v>
      </c>
      <c r="D124" s="21">
        <v>2.2000000000000002</v>
      </c>
      <c r="E124" s="5" t="s">
        <v>7</v>
      </c>
    </row>
    <row r="125" spans="1:5" x14ac:dyDescent="0.4">
      <c r="A125" s="2">
        <v>7.7</v>
      </c>
      <c r="B125" s="2">
        <v>2.6</v>
      </c>
      <c r="C125" s="2">
        <v>6.9</v>
      </c>
      <c r="D125" s="21">
        <v>2.2999999999999998</v>
      </c>
      <c r="E125" s="4" t="s">
        <v>7</v>
      </c>
    </row>
    <row r="126" spans="1:5" x14ac:dyDescent="0.4">
      <c r="A126" s="3">
        <v>6</v>
      </c>
      <c r="B126" s="3">
        <v>2.2000000000000002</v>
      </c>
      <c r="C126" s="3">
        <v>5</v>
      </c>
      <c r="D126" s="21">
        <v>1.5</v>
      </c>
      <c r="E126" s="5" t="s">
        <v>7</v>
      </c>
    </row>
    <row r="127" spans="1:5" x14ac:dyDescent="0.4">
      <c r="A127" s="2">
        <v>6.9</v>
      </c>
      <c r="B127" s="2">
        <v>3.2</v>
      </c>
      <c r="C127" s="2">
        <v>5.7</v>
      </c>
      <c r="D127" s="21">
        <v>2.2999999999999998</v>
      </c>
      <c r="E127" s="4" t="s">
        <v>7</v>
      </c>
    </row>
    <row r="128" spans="1:5" x14ac:dyDescent="0.4">
      <c r="A128" s="3">
        <v>5.6</v>
      </c>
      <c r="B128" s="3">
        <v>2.8</v>
      </c>
      <c r="C128" s="3">
        <v>4.9000000000000004</v>
      </c>
      <c r="D128" s="21">
        <v>2</v>
      </c>
      <c r="E128" s="5" t="s">
        <v>7</v>
      </c>
    </row>
    <row r="129" spans="1:5" x14ac:dyDescent="0.4">
      <c r="A129" s="2">
        <v>7.7</v>
      </c>
      <c r="B129" s="2">
        <v>2.8</v>
      </c>
      <c r="C129" s="2">
        <v>6.7</v>
      </c>
      <c r="D129" s="21">
        <v>2</v>
      </c>
      <c r="E129" s="4" t="s">
        <v>7</v>
      </c>
    </row>
    <row r="130" spans="1:5" x14ac:dyDescent="0.4">
      <c r="A130" s="3">
        <v>6.3</v>
      </c>
      <c r="B130" s="3">
        <v>2.7</v>
      </c>
      <c r="C130" s="3">
        <v>4.9000000000000004</v>
      </c>
      <c r="D130" s="21">
        <v>1.8</v>
      </c>
      <c r="E130" s="5" t="s">
        <v>7</v>
      </c>
    </row>
    <row r="131" spans="1:5" x14ac:dyDescent="0.4">
      <c r="A131" s="2">
        <v>6.7</v>
      </c>
      <c r="B131" s="2">
        <v>3.3</v>
      </c>
      <c r="C131" s="2">
        <v>5.7</v>
      </c>
      <c r="D131" s="21">
        <v>2.1</v>
      </c>
      <c r="E131" s="4" t="s">
        <v>7</v>
      </c>
    </row>
    <row r="132" spans="1:5" x14ac:dyDescent="0.4">
      <c r="A132" s="3">
        <v>7.2</v>
      </c>
      <c r="B132" s="3">
        <v>3.2</v>
      </c>
      <c r="C132" s="3">
        <v>6</v>
      </c>
      <c r="D132" s="21">
        <v>1.8</v>
      </c>
      <c r="E132" s="5" t="s">
        <v>7</v>
      </c>
    </row>
    <row r="133" spans="1:5" x14ac:dyDescent="0.4">
      <c r="A133" s="2">
        <v>6.2</v>
      </c>
      <c r="B133" s="2">
        <v>2.8</v>
      </c>
      <c r="C133" s="2">
        <v>4.8</v>
      </c>
      <c r="D133" s="21">
        <v>1.8</v>
      </c>
      <c r="E133" s="4" t="s">
        <v>7</v>
      </c>
    </row>
    <row r="134" spans="1:5" x14ac:dyDescent="0.4">
      <c r="A134" s="3">
        <v>6.1</v>
      </c>
      <c r="B134" s="3">
        <v>3</v>
      </c>
      <c r="C134" s="3">
        <v>4.9000000000000004</v>
      </c>
      <c r="D134" s="21">
        <v>1.8</v>
      </c>
      <c r="E134" s="5" t="s">
        <v>7</v>
      </c>
    </row>
    <row r="135" spans="1:5" x14ac:dyDescent="0.4">
      <c r="A135" s="2">
        <v>6.4</v>
      </c>
      <c r="B135" s="2">
        <v>2.8</v>
      </c>
      <c r="C135" s="2">
        <v>5.6</v>
      </c>
      <c r="D135" s="21">
        <v>2.1</v>
      </c>
      <c r="E135" s="4" t="s">
        <v>7</v>
      </c>
    </row>
    <row r="136" spans="1:5" x14ac:dyDescent="0.4">
      <c r="A136" s="3">
        <v>7.2</v>
      </c>
      <c r="B136" s="3">
        <v>3</v>
      </c>
      <c r="C136" s="3">
        <v>5.8</v>
      </c>
      <c r="D136" s="21">
        <v>1.6</v>
      </c>
      <c r="E136" s="5" t="s">
        <v>7</v>
      </c>
    </row>
    <row r="137" spans="1:5" x14ac:dyDescent="0.4">
      <c r="A137" s="2">
        <v>7.4</v>
      </c>
      <c r="B137" s="2">
        <v>2.8</v>
      </c>
      <c r="C137" s="2">
        <v>6.1</v>
      </c>
      <c r="D137" s="21">
        <v>1.9</v>
      </c>
      <c r="E137" s="4" t="s">
        <v>7</v>
      </c>
    </row>
    <row r="138" spans="1:5" x14ac:dyDescent="0.4">
      <c r="A138" s="3">
        <v>7.9</v>
      </c>
      <c r="B138" s="3">
        <v>3.8</v>
      </c>
      <c r="C138" s="3">
        <v>6.4</v>
      </c>
      <c r="D138" s="21">
        <v>2</v>
      </c>
      <c r="E138" s="5" t="s">
        <v>7</v>
      </c>
    </row>
    <row r="139" spans="1:5" x14ac:dyDescent="0.4">
      <c r="A139" s="2">
        <v>6.4</v>
      </c>
      <c r="B139" s="2">
        <v>2.8</v>
      </c>
      <c r="C139" s="2">
        <v>5.6</v>
      </c>
      <c r="D139" s="21">
        <v>2.2000000000000002</v>
      </c>
      <c r="E139" s="4" t="s">
        <v>7</v>
      </c>
    </row>
    <row r="140" spans="1:5" x14ac:dyDescent="0.4">
      <c r="A140" s="3">
        <v>6.3</v>
      </c>
      <c r="B140" s="3">
        <v>2.8</v>
      </c>
      <c r="C140" s="3">
        <v>5.0999999999999996</v>
      </c>
      <c r="D140" s="21">
        <v>1.5</v>
      </c>
      <c r="E140" s="5" t="s">
        <v>7</v>
      </c>
    </row>
    <row r="141" spans="1:5" x14ac:dyDescent="0.4">
      <c r="A141" s="2">
        <v>6.1</v>
      </c>
      <c r="B141" s="2">
        <v>2.6</v>
      </c>
      <c r="C141" s="2">
        <v>5.6</v>
      </c>
      <c r="D141" s="21">
        <v>1.4</v>
      </c>
      <c r="E141" s="4" t="s">
        <v>7</v>
      </c>
    </row>
    <row r="142" spans="1:5" x14ac:dyDescent="0.4">
      <c r="A142" s="3">
        <v>7.7</v>
      </c>
      <c r="B142" s="3">
        <v>3</v>
      </c>
      <c r="C142" s="3">
        <v>6.1</v>
      </c>
      <c r="D142" s="21">
        <v>2.2999999999999998</v>
      </c>
      <c r="E142" s="5" t="s">
        <v>7</v>
      </c>
    </row>
    <row r="143" spans="1:5" x14ac:dyDescent="0.4">
      <c r="A143" s="2">
        <v>6.3</v>
      </c>
      <c r="B143" s="2">
        <v>3.4</v>
      </c>
      <c r="C143" s="2">
        <v>5.6</v>
      </c>
      <c r="D143" s="21">
        <v>2.4</v>
      </c>
      <c r="E143" s="4" t="s">
        <v>7</v>
      </c>
    </row>
    <row r="144" spans="1:5" x14ac:dyDescent="0.4">
      <c r="A144" s="3">
        <v>6.4</v>
      </c>
      <c r="B144" s="3">
        <v>3.1</v>
      </c>
      <c r="C144" s="3">
        <v>5.5</v>
      </c>
      <c r="D144" s="21">
        <v>1.8</v>
      </c>
      <c r="E144" s="5" t="s">
        <v>7</v>
      </c>
    </row>
    <row r="145" spans="1:5" x14ac:dyDescent="0.4">
      <c r="A145" s="2">
        <v>6</v>
      </c>
      <c r="B145" s="2">
        <v>3</v>
      </c>
      <c r="C145" s="2">
        <v>4.8</v>
      </c>
      <c r="D145" s="21">
        <v>1.8</v>
      </c>
      <c r="E145" s="4" t="s">
        <v>7</v>
      </c>
    </row>
    <row r="146" spans="1:5" x14ac:dyDescent="0.4">
      <c r="A146" s="3">
        <v>6.9</v>
      </c>
      <c r="B146" s="3">
        <v>3.1</v>
      </c>
      <c r="C146" s="3">
        <v>5.4</v>
      </c>
      <c r="D146" s="21">
        <v>2.1</v>
      </c>
      <c r="E146" s="5" t="s">
        <v>7</v>
      </c>
    </row>
    <row r="147" spans="1:5" x14ac:dyDescent="0.4">
      <c r="A147" s="2">
        <v>6.7</v>
      </c>
      <c r="B147" s="2">
        <v>3.1</v>
      </c>
      <c r="C147" s="2">
        <v>5.6</v>
      </c>
      <c r="D147" s="21">
        <v>2.4</v>
      </c>
      <c r="E147" s="4" t="s">
        <v>7</v>
      </c>
    </row>
    <row r="148" spans="1:5" x14ac:dyDescent="0.4">
      <c r="A148" s="3">
        <v>6.9</v>
      </c>
      <c r="B148" s="3">
        <v>3.1</v>
      </c>
      <c r="C148" s="3">
        <v>5.0999999999999996</v>
      </c>
      <c r="D148" s="21">
        <v>2.2999999999999998</v>
      </c>
      <c r="E148" s="5" t="s">
        <v>7</v>
      </c>
    </row>
    <row r="149" spans="1:5" x14ac:dyDescent="0.4">
      <c r="A149" s="2">
        <v>5.8</v>
      </c>
      <c r="B149" s="2">
        <v>2.7</v>
      </c>
      <c r="C149" s="2">
        <v>5.0999999999999996</v>
      </c>
      <c r="D149" s="21">
        <v>1.9</v>
      </c>
      <c r="E149" s="4" t="s">
        <v>7</v>
      </c>
    </row>
    <row r="150" spans="1:5" x14ac:dyDescent="0.4">
      <c r="A150" s="3">
        <v>6.8</v>
      </c>
      <c r="B150" s="3">
        <v>3.2</v>
      </c>
      <c r="C150" s="3">
        <v>5.9</v>
      </c>
      <c r="D150" s="21">
        <v>2.2999999999999998</v>
      </c>
      <c r="E150" s="5" t="s">
        <v>7</v>
      </c>
    </row>
    <row r="151" spans="1:5" x14ac:dyDescent="0.4">
      <c r="A151" s="2">
        <v>6.7</v>
      </c>
      <c r="B151" s="2">
        <v>3.3</v>
      </c>
      <c r="C151" s="2">
        <v>5.7</v>
      </c>
      <c r="D151" s="21">
        <v>2.5</v>
      </c>
      <c r="E151" s="4" t="s">
        <v>7</v>
      </c>
    </row>
    <row r="152" spans="1:5" x14ac:dyDescent="0.4">
      <c r="A152" s="3">
        <v>6.7</v>
      </c>
      <c r="B152" s="3">
        <v>3</v>
      </c>
      <c r="C152" s="3">
        <v>5.2</v>
      </c>
      <c r="D152" s="21">
        <v>2.2999999999999998</v>
      </c>
      <c r="E152" s="5" t="s">
        <v>7</v>
      </c>
    </row>
    <row r="153" spans="1:5" x14ac:dyDescent="0.4">
      <c r="A153" s="2">
        <v>6.3</v>
      </c>
      <c r="B153" s="2">
        <v>2.5</v>
      </c>
      <c r="C153" s="2">
        <v>5</v>
      </c>
      <c r="D153" s="21">
        <v>1.9</v>
      </c>
      <c r="E153" s="4" t="s">
        <v>7</v>
      </c>
    </row>
    <row r="154" spans="1:5" x14ac:dyDescent="0.4">
      <c r="A154" s="3">
        <v>6.5</v>
      </c>
      <c r="B154" s="3">
        <v>3</v>
      </c>
      <c r="C154" s="3">
        <v>5.2</v>
      </c>
      <c r="D154" s="21">
        <v>2</v>
      </c>
      <c r="E154" s="5" t="s">
        <v>7</v>
      </c>
    </row>
    <row r="155" spans="1:5" x14ac:dyDescent="0.4">
      <c r="A155" s="2">
        <v>6.2</v>
      </c>
      <c r="B155" s="2">
        <v>3.4</v>
      </c>
      <c r="C155" s="2">
        <v>5.4</v>
      </c>
      <c r="D155" s="21">
        <v>2.2999999999999998</v>
      </c>
      <c r="E155" s="4" t="s">
        <v>7</v>
      </c>
    </row>
    <row r="156" spans="1:5" x14ac:dyDescent="0.4">
      <c r="A156" s="3">
        <v>5.9</v>
      </c>
      <c r="B156" s="3">
        <v>3</v>
      </c>
      <c r="C156" s="3">
        <v>5.0999999999999996</v>
      </c>
      <c r="D156" s="21">
        <v>1.8</v>
      </c>
      <c r="E156" s="5" t="s">
        <v>7</v>
      </c>
    </row>
  </sheetData>
  <mergeCells count="2">
    <mergeCell ref="H3:K3"/>
    <mergeCell ref="A4:E4"/>
  </mergeCells>
  <pageMargins left="0.7" right="0.7" top="0.75" bottom="0.75" header="0.3" footer="0.3"/>
  <pageSetup orientation="portrait" horizontalDpi="1200" verticalDpi="1200"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678B7D-AF72-40FA-AC59-21CD3EE5EC58}">
  <sheetPr codeName="Sheet7"/>
  <dimension ref="A1:U156"/>
  <sheetViews>
    <sheetView workbookViewId="0">
      <selection activeCell="C9" sqref="C9"/>
    </sheetView>
  </sheetViews>
  <sheetFormatPr defaultColWidth="5.921875" defaultRowHeight="14.6" x14ac:dyDescent="0.4"/>
  <cols>
    <col min="1" max="1" width="18.23046875" style="31" bestFit="1" customWidth="1"/>
    <col min="2" max="2" width="10.3828125" style="31" bestFit="1" customWidth="1"/>
    <col min="3" max="3" width="10.69140625" style="31" bestFit="1" customWidth="1"/>
    <col min="4" max="4" width="10.3046875" style="31" bestFit="1" customWidth="1"/>
    <col min="5" max="5" width="11.921875" style="31" bestFit="1" customWidth="1"/>
    <col min="6" max="6" width="1.07421875" style="31" customWidth="1"/>
    <col min="7" max="7" width="16.07421875" style="31" bestFit="1" customWidth="1"/>
    <col min="8" max="8" width="17.921875" style="31" bestFit="1" customWidth="1"/>
    <col min="9" max="9" width="19.15234375" style="31" bestFit="1" customWidth="1"/>
    <col min="10" max="10" width="22" style="31" bestFit="1" customWidth="1"/>
    <col min="11" max="11" width="20.69140625" style="31" bestFit="1" customWidth="1"/>
    <col min="12" max="12" width="12.69140625" style="31" customWidth="1"/>
    <col min="13" max="13" width="10.53515625" style="31" customWidth="1"/>
    <col min="14" max="14" width="11.4609375" style="31" customWidth="1"/>
    <col min="15" max="15" width="11.84375" style="31" customWidth="1"/>
    <col min="16" max="16" width="10.07421875" style="31" customWidth="1"/>
    <col min="17" max="17" width="9.23046875" style="31" customWidth="1"/>
    <col min="18" max="18" width="10.61328125" style="31" customWidth="1"/>
    <col min="19" max="16384" width="5.921875" style="31"/>
  </cols>
  <sheetData>
    <row r="1" spans="1:21" x14ac:dyDescent="0.4">
      <c r="A1" s="35" t="s">
        <v>268</v>
      </c>
      <c r="G1" s="31" t="s">
        <v>258</v>
      </c>
      <c r="H1" s="31" t="s">
        <v>261</v>
      </c>
    </row>
    <row r="2" spans="1:21" x14ac:dyDescent="0.4">
      <c r="G2" s="31" t="s">
        <v>257</v>
      </c>
      <c r="H2" s="41" t="str" cm="1">
        <f t="array" ref="H2">fWBPath(H1)&amp;"\test\data\IrisMultinomReg.xml"</f>
        <v>D:\WDS\dev\lib\github\WDataSci\WDS-JniPMML-XLL\master\test\data\IrisMultinomReg.xml</v>
      </c>
      <c r="I2" s="41"/>
      <c r="J2" s="41"/>
      <c r="K2" s="41"/>
    </row>
    <row r="3" spans="1:21" x14ac:dyDescent="0.4">
      <c r="G3" s="31" t="s">
        <v>211</v>
      </c>
      <c r="H3" s="31" t="str" cm="1">
        <f t="array" ref="H3">_xll.JniPMML_CreateHandle("JniPMML",H1,H2)</f>
        <v>1.0</v>
      </c>
    </row>
    <row r="4" spans="1:21" x14ac:dyDescent="0.4">
      <c r="A4" s="41" t="s">
        <v>259</v>
      </c>
      <c r="B4" s="41"/>
      <c r="C4" s="41"/>
      <c r="D4" s="41"/>
      <c r="E4" s="41"/>
      <c r="G4" s="31" t="s">
        <v>260</v>
      </c>
      <c r="H4" s="31" t="str" cm="1">
        <f t="array" ref="H4">JniPMML_Eval_CacheHeaders(H3,A6)</f>
        <v>1.17</v>
      </c>
    </row>
    <row r="6" spans="1:21" x14ac:dyDescent="0.4">
      <c r="A6" s="32" t="s">
        <v>0</v>
      </c>
      <c r="B6" s="32" t="s">
        <v>1</v>
      </c>
      <c r="C6" s="32" t="s">
        <v>2</v>
      </c>
      <c r="D6" s="32" t="s">
        <v>3</v>
      </c>
      <c r="E6" s="33" t="s">
        <v>4</v>
      </c>
      <c r="G6" s="31" t="s">
        <v>262</v>
      </c>
      <c r="H6" s="31" t="str" cm="1">
        <f t="array" ref="H6:K6">_xll.JniPMML_Eval_OutputColumnHeadings($H$4)</f>
        <v>class-predictedValue</v>
      </c>
      <c r="I6" s="31" t="str">
        <v>Probability_Iris-setosa</v>
      </c>
      <c r="J6" s="31" t="str">
        <v>Probability_Iris-versicolor</v>
      </c>
      <c r="K6" s="31" t="str">
        <v>Probability_Iris-virginica</v>
      </c>
    </row>
    <row r="7" spans="1:21" x14ac:dyDescent="0.4">
      <c r="A7" s="2">
        <v>5.0999999999999996</v>
      </c>
      <c r="B7" s="2">
        <v>3.5</v>
      </c>
      <c r="C7" s="2">
        <v>1.4</v>
      </c>
      <c r="D7" s="31">
        <v>0.2</v>
      </c>
      <c r="E7" s="4" t="s">
        <v>5</v>
      </c>
      <c r="G7" s="31" t="s">
        <v>263</v>
      </c>
      <c r="H7" s="31" t="str" cm="1">
        <f t="array" ref="H7:K7">_xll.JniPMML_Eval($H$4,0,A7:E7)</f>
        <v>Iris-setosa</v>
      </c>
      <c r="I7" s="31">
        <v>1</v>
      </c>
      <c r="J7" s="31">
        <v>3.0881302896719198E-23</v>
      </c>
      <c r="K7" s="31">
        <v>0</v>
      </c>
    </row>
    <row r="8" spans="1:21" x14ac:dyDescent="0.4">
      <c r="A8" s="3">
        <v>4.9000000000000004</v>
      </c>
      <c r="B8" s="3">
        <v>3</v>
      </c>
      <c r="C8" s="3">
        <v>1.4</v>
      </c>
      <c r="D8" s="31">
        <v>0.2</v>
      </c>
      <c r="E8" s="5" t="s">
        <v>5</v>
      </c>
      <c r="G8" s="31" t="s">
        <v>264</v>
      </c>
      <c r="H8" s="31" t="str" cm="1">
        <f t="array" ref="H8:K10">_xll.JniPMML_Eval($H$4,0,A8:E10)</f>
        <v>Iris-setosa</v>
      </c>
      <c r="I8" s="31">
        <v>0.99999999999999267</v>
      </c>
      <c r="J8" s="31">
        <v>7.3682866192886497E-15</v>
      </c>
      <c r="K8" s="31">
        <v>0</v>
      </c>
    </row>
    <row r="9" spans="1:21" x14ac:dyDescent="0.4">
      <c r="A9" s="2">
        <v>4.7</v>
      </c>
      <c r="B9" s="2">
        <v>3.2</v>
      </c>
      <c r="C9" s="2">
        <v>1.3</v>
      </c>
      <c r="D9" s="31">
        <v>0.2</v>
      </c>
      <c r="E9" s="4" t="s">
        <v>5</v>
      </c>
      <c r="H9" s="31" t="str">
        <v>Iris-setosa</v>
      </c>
      <c r="I9" s="31">
        <v>1</v>
      </c>
      <c r="J9" s="31">
        <v>4.4665778100310986E-17</v>
      </c>
      <c r="K9" s="31">
        <v>0</v>
      </c>
    </row>
    <row r="10" spans="1:21" x14ac:dyDescent="0.4">
      <c r="A10" s="3">
        <v>4.5999999999999996</v>
      </c>
      <c r="B10" s="3">
        <v>3.1</v>
      </c>
      <c r="C10" s="3">
        <v>1.5</v>
      </c>
      <c r="D10" s="31">
        <v>0.2</v>
      </c>
      <c r="E10" s="5" t="s">
        <v>5</v>
      </c>
      <c r="H10" s="31" t="str">
        <v>Iris-setosa</v>
      </c>
      <c r="I10" s="31">
        <v>0.99999999999215961</v>
      </c>
      <c r="J10" s="31">
        <v>7.8403500931451404E-12</v>
      </c>
      <c r="K10" s="31">
        <v>0</v>
      </c>
    </row>
    <row r="11" spans="1:21" x14ac:dyDescent="0.4">
      <c r="A11" s="2">
        <v>5</v>
      </c>
      <c r="B11" s="2">
        <v>3.6</v>
      </c>
      <c r="C11" s="2">
        <v>1.4</v>
      </c>
      <c r="D11" s="31">
        <v>0.2</v>
      </c>
      <c r="E11" s="4" t="s">
        <v>5</v>
      </c>
    </row>
    <row r="12" spans="1:21" x14ac:dyDescent="0.4">
      <c r="A12" s="3">
        <v>5.4</v>
      </c>
      <c r="B12" s="3">
        <v>3.9</v>
      </c>
      <c r="C12" s="3">
        <v>1.7</v>
      </c>
      <c r="D12" s="31">
        <v>0.4</v>
      </c>
      <c r="E12" s="5" t="s">
        <v>5</v>
      </c>
    </row>
    <row r="13" spans="1:21" x14ac:dyDescent="0.4">
      <c r="A13" s="2">
        <v>4.5999999999999996</v>
      </c>
      <c r="B13" s="2">
        <v>3.4</v>
      </c>
      <c r="C13" s="2">
        <v>1.4</v>
      </c>
      <c r="D13" s="31">
        <v>0.3</v>
      </c>
      <c r="E13" s="4" t="s">
        <v>5</v>
      </c>
    </row>
    <row r="14" spans="1:21" x14ac:dyDescent="0.4">
      <c r="A14" s="3">
        <v>5</v>
      </c>
      <c r="B14" s="3">
        <v>3.4</v>
      </c>
      <c r="C14" s="3">
        <v>1.5</v>
      </c>
      <c r="D14" s="31">
        <v>0.2</v>
      </c>
      <c r="E14" s="5" t="s">
        <v>5</v>
      </c>
      <c r="H14" s="34"/>
      <c r="I14" s="34"/>
      <c r="J14" s="34"/>
      <c r="K14" s="34"/>
      <c r="L14" s="34"/>
      <c r="M14" s="34"/>
      <c r="N14" s="34"/>
      <c r="O14" s="34"/>
      <c r="P14" s="34"/>
      <c r="Q14" s="34"/>
      <c r="R14" s="34"/>
      <c r="S14" s="34"/>
      <c r="T14" s="34"/>
      <c r="U14" s="34"/>
    </row>
    <row r="15" spans="1:21" x14ac:dyDescent="0.4">
      <c r="A15" s="2">
        <v>4.4000000000000004</v>
      </c>
      <c r="B15" s="2">
        <v>2.9</v>
      </c>
      <c r="C15" s="2">
        <v>1.4</v>
      </c>
      <c r="D15" s="31">
        <v>0.2</v>
      </c>
      <c r="E15" s="4" t="s">
        <v>5</v>
      </c>
      <c r="H15" s="34"/>
      <c r="I15" s="34"/>
      <c r="J15" s="34"/>
      <c r="K15" s="34"/>
      <c r="L15" s="34"/>
      <c r="M15" s="34"/>
      <c r="N15" s="34"/>
      <c r="O15" s="34"/>
      <c r="P15" s="34"/>
      <c r="Q15" s="34"/>
      <c r="R15" s="34"/>
      <c r="S15" s="34"/>
      <c r="T15" s="34"/>
      <c r="U15" s="34"/>
    </row>
    <row r="16" spans="1:21" x14ac:dyDescent="0.4">
      <c r="A16" s="3">
        <v>4.9000000000000004</v>
      </c>
      <c r="B16" s="3">
        <v>3.1</v>
      </c>
      <c r="C16" s="3">
        <v>1.5</v>
      </c>
      <c r="D16" s="31">
        <v>0.1</v>
      </c>
      <c r="E16" s="5" t="s">
        <v>5</v>
      </c>
      <c r="H16" s="34"/>
      <c r="I16" s="34"/>
      <c r="J16" s="34"/>
      <c r="K16" s="34"/>
      <c r="L16" s="34"/>
      <c r="M16" s="34"/>
      <c r="N16" s="34"/>
      <c r="O16" s="34"/>
      <c r="P16" s="34"/>
      <c r="Q16" s="34"/>
      <c r="R16" s="34"/>
      <c r="S16" s="34"/>
      <c r="T16" s="34"/>
      <c r="U16" s="34"/>
    </row>
    <row r="17" spans="1:21" x14ac:dyDescent="0.4">
      <c r="A17" s="2">
        <v>5.4</v>
      </c>
      <c r="B17" s="2">
        <v>3.7</v>
      </c>
      <c r="C17" s="2">
        <v>1.5</v>
      </c>
      <c r="D17" s="31">
        <v>0.2</v>
      </c>
      <c r="E17" s="4" t="s">
        <v>5</v>
      </c>
      <c r="H17" s="34"/>
      <c r="I17" s="34"/>
      <c r="J17" s="34"/>
      <c r="K17" s="34"/>
      <c r="L17" s="34"/>
      <c r="M17" s="34"/>
      <c r="N17" s="34"/>
      <c r="O17" s="34"/>
      <c r="P17" s="34"/>
      <c r="Q17" s="34"/>
      <c r="R17" s="34"/>
      <c r="S17" s="34"/>
      <c r="T17" s="34"/>
      <c r="U17" s="34"/>
    </row>
    <row r="18" spans="1:21" x14ac:dyDescent="0.4">
      <c r="A18" s="3">
        <v>4.8</v>
      </c>
      <c r="B18" s="3">
        <v>3.4</v>
      </c>
      <c r="C18" s="3">
        <v>1.6</v>
      </c>
      <c r="D18" s="31">
        <v>0.2</v>
      </c>
      <c r="E18" s="5" t="s">
        <v>5</v>
      </c>
      <c r="H18" s="34"/>
      <c r="I18" s="34"/>
      <c r="J18" s="34"/>
      <c r="K18" s="34"/>
      <c r="L18" s="34"/>
      <c r="M18" s="34"/>
      <c r="N18" s="34"/>
      <c r="O18" s="34"/>
      <c r="P18" s="34"/>
      <c r="Q18" s="34"/>
      <c r="R18" s="34"/>
      <c r="S18" s="34"/>
      <c r="T18" s="34"/>
      <c r="U18" s="34"/>
    </row>
    <row r="19" spans="1:21" x14ac:dyDescent="0.4">
      <c r="A19" s="2">
        <v>4.8</v>
      </c>
      <c r="B19" s="2">
        <v>3</v>
      </c>
      <c r="C19" s="2">
        <v>1.4</v>
      </c>
      <c r="D19" s="31">
        <v>0.1</v>
      </c>
      <c r="E19" s="4" t="s">
        <v>5</v>
      </c>
      <c r="H19" s="34"/>
      <c r="I19" s="34"/>
      <c r="J19" s="34"/>
      <c r="K19" s="34"/>
      <c r="L19" s="34"/>
      <c r="M19" s="34"/>
      <c r="N19" s="34"/>
      <c r="O19" s="34"/>
      <c r="P19" s="34"/>
      <c r="Q19" s="34"/>
      <c r="R19" s="34"/>
      <c r="S19" s="34"/>
      <c r="T19" s="34"/>
      <c r="U19" s="34"/>
    </row>
    <row r="20" spans="1:21" x14ac:dyDescent="0.4">
      <c r="A20" s="3">
        <v>4.3</v>
      </c>
      <c r="B20" s="3">
        <v>3</v>
      </c>
      <c r="C20" s="3">
        <v>1.1000000000000001</v>
      </c>
      <c r="D20" s="31">
        <v>0.1</v>
      </c>
      <c r="E20" s="5" t="s">
        <v>5</v>
      </c>
    </row>
    <row r="21" spans="1:21" x14ac:dyDescent="0.4">
      <c r="A21" s="2">
        <v>5.8</v>
      </c>
      <c r="B21" s="2">
        <v>4</v>
      </c>
      <c r="C21" s="2">
        <v>1.2</v>
      </c>
      <c r="D21" s="31">
        <v>0.2</v>
      </c>
      <c r="E21" s="4" t="s">
        <v>5</v>
      </c>
    </row>
    <row r="22" spans="1:21" x14ac:dyDescent="0.4">
      <c r="A22" s="3">
        <v>5.7</v>
      </c>
      <c r="B22" s="3">
        <v>4.4000000000000004</v>
      </c>
      <c r="C22" s="3">
        <v>1.5</v>
      </c>
      <c r="D22" s="31">
        <v>0.4</v>
      </c>
      <c r="E22" s="5" t="s">
        <v>5</v>
      </c>
    </row>
    <row r="23" spans="1:21" x14ac:dyDescent="0.4">
      <c r="A23" s="2">
        <v>5.4</v>
      </c>
      <c r="B23" s="2">
        <v>3.9</v>
      </c>
      <c r="C23" s="2">
        <v>1.3</v>
      </c>
      <c r="D23" s="31">
        <v>0.4</v>
      </c>
      <c r="E23" s="4" t="s">
        <v>5</v>
      </c>
    </row>
    <row r="24" spans="1:21" x14ac:dyDescent="0.4">
      <c r="A24" s="3">
        <v>5.0999999999999996</v>
      </c>
      <c r="B24" s="3">
        <v>3.5</v>
      </c>
      <c r="C24" s="3">
        <v>1.4</v>
      </c>
      <c r="D24" s="31">
        <v>0.3</v>
      </c>
      <c r="E24" s="5" t="s">
        <v>5</v>
      </c>
    </row>
    <row r="25" spans="1:21" x14ac:dyDescent="0.4">
      <c r="A25" s="2">
        <v>5.7</v>
      </c>
      <c r="B25" s="2">
        <v>3.8</v>
      </c>
      <c r="C25" s="2">
        <v>1.7</v>
      </c>
      <c r="D25" s="31">
        <v>0.3</v>
      </c>
      <c r="E25" s="4" t="s">
        <v>5</v>
      </c>
    </row>
    <row r="26" spans="1:21" x14ac:dyDescent="0.4">
      <c r="A26" s="3">
        <v>5.0999999999999996</v>
      </c>
      <c r="B26" s="3">
        <v>3.8</v>
      </c>
      <c r="C26" s="3">
        <v>1.5</v>
      </c>
      <c r="D26" s="31">
        <v>0.3</v>
      </c>
      <c r="E26" s="5" t="s">
        <v>5</v>
      </c>
    </row>
    <row r="27" spans="1:21" x14ac:dyDescent="0.4">
      <c r="A27" s="2">
        <v>5.4</v>
      </c>
      <c r="B27" s="2">
        <v>3.4</v>
      </c>
      <c r="C27" s="2">
        <v>1.7</v>
      </c>
      <c r="D27" s="31">
        <v>0.2</v>
      </c>
      <c r="E27" s="4" t="s">
        <v>5</v>
      </c>
    </row>
    <row r="28" spans="1:21" x14ac:dyDescent="0.4">
      <c r="A28" s="3">
        <v>5.0999999999999996</v>
      </c>
      <c r="B28" s="3">
        <v>3.7</v>
      </c>
      <c r="C28" s="3">
        <v>1.5</v>
      </c>
      <c r="D28" s="31">
        <v>0.4</v>
      </c>
      <c r="E28" s="5" t="s">
        <v>5</v>
      </c>
    </row>
    <row r="29" spans="1:21" x14ac:dyDescent="0.4">
      <c r="A29" s="2">
        <v>4.5999999999999996</v>
      </c>
      <c r="B29" s="2">
        <v>3.6</v>
      </c>
      <c r="C29" s="2">
        <v>1</v>
      </c>
      <c r="D29" s="31">
        <v>0.2</v>
      </c>
      <c r="E29" s="4" t="s">
        <v>5</v>
      </c>
    </row>
    <row r="30" spans="1:21" x14ac:dyDescent="0.4">
      <c r="A30" s="3">
        <v>5.0999999999999996</v>
      </c>
      <c r="B30" s="3">
        <v>3.3</v>
      </c>
      <c r="C30" s="3">
        <v>1.7</v>
      </c>
      <c r="D30" s="31">
        <v>0.5</v>
      </c>
      <c r="E30" s="5" t="s">
        <v>5</v>
      </c>
    </row>
    <row r="31" spans="1:21" x14ac:dyDescent="0.4">
      <c r="A31" s="2">
        <v>4.8</v>
      </c>
      <c r="B31" s="2">
        <v>3.4</v>
      </c>
      <c r="C31" s="2">
        <v>1.9</v>
      </c>
      <c r="D31" s="31">
        <v>0.2</v>
      </c>
      <c r="E31" s="4" t="s">
        <v>5</v>
      </c>
    </row>
    <row r="32" spans="1:21" x14ac:dyDescent="0.4">
      <c r="A32" s="3">
        <v>5</v>
      </c>
      <c r="B32" s="3">
        <v>3</v>
      </c>
      <c r="C32" s="3">
        <v>1.6</v>
      </c>
      <c r="D32" s="31">
        <v>0.2</v>
      </c>
      <c r="E32" s="5" t="s">
        <v>5</v>
      </c>
    </row>
    <row r="33" spans="1:5" x14ac:dyDescent="0.4">
      <c r="A33" s="2">
        <v>5</v>
      </c>
      <c r="B33" s="2">
        <v>3.4</v>
      </c>
      <c r="C33" s="2">
        <v>1.6</v>
      </c>
      <c r="D33" s="31">
        <v>0.4</v>
      </c>
      <c r="E33" s="4" t="s">
        <v>5</v>
      </c>
    </row>
    <row r="34" spans="1:5" x14ac:dyDescent="0.4">
      <c r="A34" s="3">
        <v>5.2</v>
      </c>
      <c r="B34" s="3">
        <v>3.5</v>
      </c>
      <c r="C34" s="3">
        <v>1.5</v>
      </c>
      <c r="D34" s="31">
        <v>0.2</v>
      </c>
      <c r="E34" s="5" t="s">
        <v>5</v>
      </c>
    </row>
    <row r="35" spans="1:5" x14ac:dyDescent="0.4">
      <c r="A35" s="2">
        <v>5.2</v>
      </c>
      <c r="B35" s="2">
        <v>3.4</v>
      </c>
      <c r="C35" s="2">
        <v>1.4</v>
      </c>
      <c r="D35" s="31">
        <v>0.2</v>
      </c>
      <c r="E35" s="4" t="s">
        <v>5</v>
      </c>
    </row>
    <row r="36" spans="1:5" x14ac:dyDescent="0.4">
      <c r="A36" s="3">
        <v>4.7</v>
      </c>
      <c r="B36" s="3">
        <v>3.2</v>
      </c>
      <c r="C36" s="3">
        <v>1.6</v>
      </c>
      <c r="D36" s="31">
        <v>0.2</v>
      </c>
      <c r="E36" s="5" t="s">
        <v>5</v>
      </c>
    </row>
    <row r="37" spans="1:5" x14ac:dyDescent="0.4">
      <c r="A37" s="2">
        <v>4.8</v>
      </c>
      <c r="B37" s="2">
        <v>3.1</v>
      </c>
      <c r="C37" s="2">
        <v>1.6</v>
      </c>
      <c r="D37" s="31">
        <v>0.2</v>
      </c>
      <c r="E37" s="4" t="s">
        <v>5</v>
      </c>
    </row>
    <row r="38" spans="1:5" x14ac:dyDescent="0.4">
      <c r="A38" s="3">
        <v>5.4</v>
      </c>
      <c r="B38" s="3">
        <v>3.4</v>
      </c>
      <c r="C38" s="3">
        <v>1.5</v>
      </c>
      <c r="D38" s="31">
        <v>0.4</v>
      </c>
      <c r="E38" s="5" t="s">
        <v>5</v>
      </c>
    </row>
    <row r="39" spans="1:5" x14ac:dyDescent="0.4">
      <c r="A39" s="2">
        <v>5.2</v>
      </c>
      <c r="B39" s="2">
        <v>4.0999999999999996</v>
      </c>
      <c r="C39" s="2">
        <v>1.5</v>
      </c>
      <c r="D39" s="31">
        <v>0.1</v>
      </c>
      <c r="E39" s="4" t="s">
        <v>5</v>
      </c>
    </row>
    <row r="40" spans="1:5" x14ac:dyDescent="0.4">
      <c r="A40" s="3">
        <v>5.5</v>
      </c>
      <c r="B40" s="3">
        <v>4.2</v>
      </c>
      <c r="C40" s="3">
        <v>1.4</v>
      </c>
      <c r="D40" s="31">
        <v>0.2</v>
      </c>
      <c r="E40" s="5" t="s">
        <v>5</v>
      </c>
    </row>
    <row r="41" spans="1:5" x14ac:dyDescent="0.4">
      <c r="A41" s="2">
        <v>4.9000000000000004</v>
      </c>
      <c r="B41" s="2">
        <v>3.1</v>
      </c>
      <c r="C41" s="2">
        <v>1.5</v>
      </c>
      <c r="D41" s="31">
        <v>0.1</v>
      </c>
      <c r="E41" s="4" t="s">
        <v>5</v>
      </c>
    </row>
    <row r="42" spans="1:5" x14ac:dyDescent="0.4">
      <c r="A42" s="3">
        <v>5</v>
      </c>
      <c r="B42" s="3">
        <v>3.2</v>
      </c>
      <c r="C42" s="3">
        <v>1.2</v>
      </c>
      <c r="D42" s="31">
        <v>0.2</v>
      </c>
      <c r="E42" s="5" t="s">
        <v>5</v>
      </c>
    </row>
    <row r="43" spans="1:5" x14ac:dyDescent="0.4">
      <c r="A43" s="2">
        <v>5.5</v>
      </c>
      <c r="B43" s="2">
        <v>3.5</v>
      </c>
      <c r="C43" s="2">
        <v>1.3</v>
      </c>
      <c r="D43" s="31">
        <v>0.2</v>
      </c>
      <c r="E43" s="4" t="s">
        <v>5</v>
      </c>
    </row>
    <row r="44" spans="1:5" x14ac:dyDescent="0.4">
      <c r="A44" s="3">
        <v>4.9000000000000004</v>
      </c>
      <c r="B44" s="3">
        <v>3.1</v>
      </c>
      <c r="C44" s="3">
        <v>1.5</v>
      </c>
      <c r="D44" s="31">
        <v>0.1</v>
      </c>
      <c r="E44" s="5" t="s">
        <v>5</v>
      </c>
    </row>
    <row r="45" spans="1:5" x14ac:dyDescent="0.4">
      <c r="A45" s="2">
        <v>4.4000000000000004</v>
      </c>
      <c r="B45" s="2">
        <v>3</v>
      </c>
      <c r="C45" s="2">
        <v>1.3</v>
      </c>
      <c r="D45" s="31">
        <v>0.2</v>
      </c>
      <c r="E45" s="4" t="s">
        <v>5</v>
      </c>
    </row>
    <row r="46" spans="1:5" x14ac:dyDescent="0.4">
      <c r="A46" s="3">
        <v>5.0999999999999996</v>
      </c>
      <c r="B46" s="3">
        <v>3.4</v>
      </c>
      <c r="C46" s="3">
        <v>1.5</v>
      </c>
      <c r="D46" s="31">
        <v>0.2</v>
      </c>
      <c r="E46" s="5" t="s">
        <v>5</v>
      </c>
    </row>
    <row r="47" spans="1:5" x14ac:dyDescent="0.4">
      <c r="A47" s="2">
        <v>5</v>
      </c>
      <c r="B47" s="2">
        <v>3.5</v>
      </c>
      <c r="C47" s="2">
        <v>1.3</v>
      </c>
      <c r="D47" s="31">
        <v>0.3</v>
      </c>
      <c r="E47" s="4" t="s">
        <v>5</v>
      </c>
    </row>
    <row r="48" spans="1:5" x14ac:dyDescent="0.4">
      <c r="A48" s="3">
        <v>4.5</v>
      </c>
      <c r="B48" s="3">
        <v>2.2999999999999998</v>
      </c>
      <c r="C48" s="3">
        <v>1.3</v>
      </c>
      <c r="D48" s="31">
        <v>0.3</v>
      </c>
      <c r="E48" s="5" t="s">
        <v>5</v>
      </c>
    </row>
    <row r="49" spans="1:5" x14ac:dyDescent="0.4">
      <c r="A49" s="2">
        <v>4.4000000000000004</v>
      </c>
      <c r="B49" s="2">
        <v>3.2</v>
      </c>
      <c r="C49" s="2">
        <v>1.3</v>
      </c>
      <c r="D49" s="31">
        <v>0.2</v>
      </c>
      <c r="E49" s="4" t="s">
        <v>5</v>
      </c>
    </row>
    <row r="50" spans="1:5" x14ac:dyDescent="0.4">
      <c r="A50" s="3">
        <v>5</v>
      </c>
      <c r="B50" s="3">
        <v>3.5</v>
      </c>
      <c r="C50" s="3">
        <v>1.6</v>
      </c>
      <c r="D50" s="31">
        <v>0.6</v>
      </c>
      <c r="E50" s="5" t="s">
        <v>5</v>
      </c>
    </row>
    <row r="51" spans="1:5" x14ac:dyDescent="0.4">
      <c r="A51" s="2">
        <v>5.0999999999999996</v>
      </c>
      <c r="B51" s="2">
        <v>3.8</v>
      </c>
      <c r="C51" s="2">
        <v>1.9</v>
      </c>
      <c r="D51" s="31">
        <v>0.4</v>
      </c>
      <c r="E51" s="4" t="s">
        <v>5</v>
      </c>
    </row>
    <row r="52" spans="1:5" x14ac:dyDescent="0.4">
      <c r="A52" s="3">
        <v>4.8</v>
      </c>
      <c r="B52" s="3">
        <v>3</v>
      </c>
      <c r="C52" s="3">
        <v>1.4</v>
      </c>
      <c r="D52" s="31">
        <v>0.3</v>
      </c>
      <c r="E52" s="5" t="s">
        <v>5</v>
      </c>
    </row>
    <row r="53" spans="1:5" x14ac:dyDescent="0.4">
      <c r="A53" s="2">
        <v>5.0999999999999996</v>
      </c>
      <c r="B53" s="2">
        <v>3.8</v>
      </c>
      <c r="C53" s="2">
        <v>1.6</v>
      </c>
      <c r="D53" s="31">
        <v>0.2</v>
      </c>
      <c r="E53" s="4" t="s">
        <v>5</v>
      </c>
    </row>
    <row r="54" spans="1:5" x14ac:dyDescent="0.4">
      <c r="A54" s="3">
        <v>4.5999999999999996</v>
      </c>
      <c r="B54" s="3">
        <v>3.2</v>
      </c>
      <c r="C54" s="3">
        <v>1.4</v>
      </c>
      <c r="D54" s="31">
        <v>0.2</v>
      </c>
      <c r="E54" s="5" t="s">
        <v>5</v>
      </c>
    </row>
    <row r="55" spans="1:5" x14ac:dyDescent="0.4">
      <c r="A55" s="2">
        <v>5.3</v>
      </c>
      <c r="B55" s="2">
        <v>3.7</v>
      </c>
      <c r="C55" s="2">
        <v>1.5</v>
      </c>
      <c r="D55" s="31">
        <v>0.2</v>
      </c>
      <c r="E55" s="4" t="s">
        <v>5</v>
      </c>
    </row>
    <row r="56" spans="1:5" x14ac:dyDescent="0.4">
      <c r="A56" s="3">
        <v>5</v>
      </c>
      <c r="B56" s="3">
        <v>3.3</v>
      </c>
      <c r="C56" s="3">
        <v>1.4</v>
      </c>
      <c r="D56" s="31">
        <v>0.2</v>
      </c>
      <c r="E56" s="5" t="s">
        <v>5</v>
      </c>
    </row>
    <row r="57" spans="1:5" x14ac:dyDescent="0.4">
      <c r="A57" s="2">
        <v>7</v>
      </c>
      <c r="B57" s="2">
        <v>3.2</v>
      </c>
      <c r="C57" s="2">
        <v>4.7</v>
      </c>
      <c r="D57" s="31">
        <v>1.4</v>
      </c>
      <c r="E57" s="4" t="s">
        <v>6</v>
      </c>
    </row>
    <row r="58" spans="1:5" x14ac:dyDescent="0.4">
      <c r="A58" s="3">
        <v>6.4</v>
      </c>
      <c r="B58" s="3">
        <v>3.2</v>
      </c>
      <c r="C58" s="3">
        <v>4.5</v>
      </c>
      <c r="D58" s="31">
        <v>1.5</v>
      </c>
      <c r="E58" s="5" t="s">
        <v>6</v>
      </c>
    </row>
    <row r="59" spans="1:5" x14ac:dyDescent="0.4">
      <c r="A59" s="2">
        <v>6.9</v>
      </c>
      <c r="B59" s="2">
        <v>3.1</v>
      </c>
      <c r="C59" s="2">
        <v>4.9000000000000004</v>
      </c>
      <c r="D59" s="31">
        <v>1.5</v>
      </c>
      <c r="E59" s="4" t="s">
        <v>6</v>
      </c>
    </row>
    <row r="60" spans="1:5" x14ac:dyDescent="0.4">
      <c r="A60" s="3">
        <v>5.5</v>
      </c>
      <c r="B60" s="3">
        <v>2.2999999999999998</v>
      </c>
      <c r="C60" s="3">
        <v>4</v>
      </c>
      <c r="D60" s="31">
        <v>1.3</v>
      </c>
      <c r="E60" s="5" t="s">
        <v>6</v>
      </c>
    </row>
    <row r="61" spans="1:5" x14ac:dyDescent="0.4">
      <c r="A61" s="2">
        <v>6.5</v>
      </c>
      <c r="B61" s="2">
        <v>2.8</v>
      </c>
      <c r="C61" s="2">
        <v>4.5999999999999996</v>
      </c>
      <c r="D61" s="31">
        <v>1.5</v>
      </c>
      <c r="E61" s="4" t="s">
        <v>6</v>
      </c>
    </row>
    <row r="62" spans="1:5" x14ac:dyDescent="0.4">
      <c r="A62" s="3">
        <v>5.7</v>
      </c>
      <c r="B62" s="3">
        <v>2.8</v>
      </c>
      <c r="C62" s="3">
        <v>4.5</v>
      </c>
      <c r="D62" s="31">
        <v>1.3</v>
      </c>
      <c r="E62" s="5" t="s">
        <v>6</v>
      </c>
    </row>
    <row r="63" spans="1:5" x14ac:dyDescent="0.4">
      <c r="A63" s="2">
        <v>6.3</v>
      </c>
      <c r="B63" s="2">
        <v>3.3</v>
      </c>
      <c r="C63" s="2">
        <v>4.7</v>
      </c>
      <c r="D63" s="31">
        <v>1.6</v>
      </c>
      <c r="E63" s="4" t="s">
        <v>6</v>
      </c>
    </row>
    <row r="64" spans="1:5" x14ac:dyDescent="0.4">
      <c r="A64" s="3">
        <v>4.9000000000000004</v>
      </c>
      <c r="B64" s="3">
        <v>2.4</v>
      </c>
      <c r="C64" s="3">
        <v>3.3</v>
      </c>
      <c r="D64" s="31">
        <v>1</v>
      </c>
      <c r="E64" s="5" t="s">
        <v>6</v>
      </c>
    </row>
    <row r="65" spans="1:5" x14ac:dyDescent="0.4">
      <c r="A65" s="2">
        <v>6.6</v>
      </c>
      <c r="B65" s="2">
        <v>2.9</v>
      </c>
      <c r="C65" s="2">
        <v>4.5999999999999996</v>
      </c>
      <c r="D65" s="31">
        <v>1.3</v>
      </c>
      <c r="E65" s="4" t="s">
        <v>6</v>
      </c>
    </row>
    <row r="66" spans="1:5" x14ac:dyDescent="0.4">
      <c r="A66" s="3">
        <v>5.2</v>
      </c>
      <c r="B66" s="3">
        <v>2.7</v>
      </c>
      <c r="C66" s="3">
        <v>3.9</v>
      </c>
      <c r="D66" s="31">
        <v>1.4</v>
      </c>
      <c r="E66" s="5" t="s">
        <v>6</v>
      </c>
    </row>
    <row r="67" spans="1:5" x14ac:dyDescent="0.4">
      <c r="A67" s="2">
        <v>5</v>
      </c>
      <c r="B67" s="2">
        <v>2</v>
      </c>
      <c r="C67" s="2">
        <v>3.5</v>
      </c>
      <c r="D67" s="31">
        <v>1</v>
      </c>
      <c r="E67" s="4" t="s">
        <v>6</v>
      </c>
    </row>
    <row r="68" spans="1:5" x14ac:dyDescent="0.4">
      <c r="A68" s="3">
        <v>5.9</v>
      </c>
      <c r="B68" s="3">
        <v>3</v>
      </c>
      <c r="C68" s="3">
        <v>4.2</v>
      </c>
      <c r="D68" s="31">
        <v>1.5</v>
      </c>
      <c r="E68" s="5" t="s">
        <v>6</v>
      </c>
    </row>
    <row r="69" spans="1:5" x14ac:dyDescent="0.4">
      <c r="A69" s="2">
        <v>6</v>
      </c>
      <c r="B69" s="2">
        <v>2.2000000000000002</v>
      </c>
      <c r="C69" s="2">
        <v>4</v>
      </c>
      <c r="D69" s="31">
        <v>1</v>
      </c>
      <c r="E69" s="4" t="s">
        <v>6</v>
      </c>
    </row>
    <row r="70" spans="1:5" x14ac:dyDescent="0.4">
      <c r="A70" s="3">
        <v>6.1</v>
      </c>
      <c r="B70" s="3">
        <v>2.9</v>
      </c>
      <c r="C70" s="3">
        <v>4.7</v>
      </c>
      <c r="D70" s="31">
        <v>1.4</v>
      </c>
      <c r="E70" s="5" t="s">
        <v>6</v>
      </c>
    </row>
    <row r="71" spans="1:5" x14ac:dyDescent="0.4">
      <c r="A71" s="2">
        <v>5.6</v>
      </c>
      <c r="B71" s="2">
        <v>2.9</v>
      </c>
      <c r="C71" s="2">
        <v>3.6</v>
      </c>
      <c r="D71" s="31">
        <v>1.3</v>
      </c>
      <c r="E71" s="4" t="s">
        <v>6</v>
      </c>
    </row>
    <row r="72" spans="1:5" x14ac:dyDescent="0.4">
      <c r="A72" s="3">
        <v>6.7</v>
      </c>
      <c r="B72" s="3">
        <v>3.1</v>
      </c>
      <c r="C72" s="3">
        <v>4.4000000000000004</v>
      </c>
      <c r="D72" s="31">
        <v>1.4</v>
      </c>
      <c r="E72" s="5" t="s">
        <v>6</v>
      </c>
    </row>
    <row r="73" spans="1:5" x14ac:dyDescent="0.4">
      <c r="A73" s="2">
        <v>5.6</v>
      </c>
      <c r="B73" s="2">
        <v>3</v>
      </c>
      <c r="C73" s="2">
        <v>4.5</v>
      </c>
      <c r="D73" s="31">
        <v>1.5</v>
      </c>
      <c r="E73" s="4" t="s">
        <v>6</v>
      </c>
    </row>
    <row r="74" spans="1:5" x14ac:dyDescent="0.4">
      <c r="A74" s="3">
        <v>5.8</v>
      </c>
      <c r="B74" s="3">
        <v>2.7</v>
      </c>
      <c r="C74" s="3">
        <v>4.0999999999999996</v>
      </c>
      <c r="D74" s="31">
        <v>1</v>
      </c>
      <c r="E74" s="5" t="s">
        <v>6</v>
      </c>
    </row>
    <row r="75" spans="1:5" x14ac:dyDescent="0.4">
      <c r="A75" s="2">
        <v>6.2</v>
      </c>
      <c r="B75" s="2">
        <v>2.2000000000000002</v>
      </c>
      <c r="C75" s="2">
        <v>4.5</v>
      </c>
      <c r="D75" s="31">
        <v>1.5</v>
      </c>
      <c r="E75" s="4" t="s">
        <v>6</v>
      </c>
    </row>
    <row r="76" spans="1:5" x14ac:dyDescent="0.4">
      <c r="A76" s="3">
        <v>5.6</v>
      </c>
      <c r="B76" s="3">
        <v>2.5</v>
      </c>
      <c r="C76" s="3">
        <v>3.9</v>
      </c>
      <c r="D76" s="31">
        <v>1.1000000000000001</v>
      </c>
      <c r="E76" s="5" t="s">
        <v>6</v>
      </c>
    </row>
    <row r="77" spans="1:5" x14ac:dyDescent="0.4">
      <c r="A77" s="2">
        <v>5.9</v>
      </c>
      <c r="B77" s="2">
        <v>3.2</v>
      </c>
      <c r="C77" s="2">
        <v>4.8</v>
      </c>
      <c r="D77" s="31">
        <v>1.8</v>
      </c>
      <c r="E77" s="4" t="s">
        <v>6</v>
      </c>
    </row>
    <row r="78" spans="1:5" x14ac:dyDescent="0.4">
      <c r="A78" s="3">
        <v>6.1</v>
      </c>
      <c r="B78" s="3">
        <v>2.8</v>
      </c>
      <c r="C78" s="3">
        <v>4</v>
      </c>
      <c r="D78" s="31">
        <v>1.3</v>
      </c>
      <c r="E78" s="5" t="s">
        <v>6</v>
      </c>
    </row>
    <row r="79" spans="1:5" x14ac:dyDescent="0.4">
      <c r="A79" s="2">
        <v>6.3</v>
      </c>
      <c r="B79" s="2">
        <v>2.5</v>
      </c>
      <c r="C79" s="2">
        <v>4.9000000000000004</v>
      </c>
      <c r="D79" s="31">
        <v>1.5</v>
      </c>
      <c r="E79" s="4" t="s">
        <v>6</v>
      </c>
    </row>
    <row r="80" spans="1:5" x14ac:dyDescent="0.4">
      <c r="A80" s="3">
        <v>6.1</v>
      </c>
      <c r="B80" s="3">
        <v>2.8</v>
      </c>
      <c r="C80" s="3">
        <v>4.7</v>
      </c>
      <c r="D80" s="31">
        <v>1.2</v>
      </c>
      <c r="E80" s="5" t="s">
        <v>6</v>
      </c>
    </row>
    <row r="81" spans="1:5" x14ac:dyDescent="0.4">
      <c r="A81" s="2">
        <v>6.4</v>
      </c>
      <c r="B81" s="2">
        <v>2.9</v>
      </c>
      <c r="C81" s="2">
        <v>4.3</v>
      </c>
      <c r="D81" s="31">
        <v>1.3</v>
      </c>
      <c r="E81" s="4" t="s">
        <v>6</v>
      </c>
    </row>
    <row r="82" spans="1:5" x14ac:dyDescent="0.4">
      <c r="A82" s="3">
        <v>6.6</v>
      </c>
      <c r="B82" s="3">
        <v>3</v>
      </c>
      <c r="C82" s="3">
        <v>4.4000000000000004</v>
      </c>
      <c r="D82" s="31">
        <v>1.4</v>
      </c>
      <c r="E82" s="5" t="s">
        <v>6</v>
      </c>
    </row>
    <row r="83" spans="1:5" x14ac:dyDescent="0.4">
      <c r="A83" s="2">
        <v>6.8</v>
      </c>
      <c r="B83" s="2">
        <v>2.8</v>
      </c>
      <c r="C83" s="2">
        <v>4.8</v>
      </c>
      <c r="D83" s="31">
        <v>1.4</v>
      </c>
      <c r="E83" s="4" t="s">
        <v>6</v>
      </c>
    </row>
    <row r="84" spans="1:5" x14ac:dyDescent="0.4">
      <c r="A84" s="3">
        <v>6.7</v>
      </c>
      <c r="B84" s="3">
        <v>3</v>
      </c>
      <c r="C84" s="3">
        <v>5</v>
      </c>
      <c r="D84" s="31">
        <v>1.7</v>
      </c>
      <c r="E84" s="5" t="s">
        <v>6</v>
      </c>
    </row>
    <row r="85" spans="1:5" x14ac:dyDescent="0.4">
      <c r="A85" s="2">
        <v>6</v>
      </c>
      <c r="B85" s="2">
        <v>2.9</v>
      </c>
      <c r="C85" s="2">
        <v>4.5</v>
      </c>
      <c r="D85" s="31">
        <v>1.5</v>
      </c>
      <c r="E85" s="4" t="s">
        <v>6</v>
      </c>
    </row>
    <row r="86" spans="1:5" x14ac:dyDescent="0.4">
      <c r="A86" s="3">
        <v>5.7</v>
      </c>
      <c r="B86" s="3">
        <v>2.6</v>
      </c>
      <c r="C86" s="3">
        <v>3.5</v>
      </c>
      <c r="D86" s="31">
        <v>1</v>
      </c>
      <c r="E86" s="5" t="s">
        <v>6</v>
      </c>
    </row>
    <row r="87" spans="1:5" x14ac:dyDescent="0.4">
      <c r="A87" s="2">
        <v>5.5</v>
      </c>
      <c r="B87" s="2">
        <v>2.4</v>
      </c>
      <c r="C87" s="2">
        <v>3.8</v>
      </c>
      <c r="D87" s="31">
        <v>1.1000000000000001</v>
      </c>
      <c r="E87" s="4" t="s">
        <v>6</v>
      </c>
    </row>
    <row r="88" spans="1:5" x14ac:dyDescent="0.4">
      <c r="A88" s="3">
        <v>5.5</v>
      </c>
      <c r="B88" s="3">
        <v>2.4</v>
      </c>
      <c r="C88" s="3">
        <v>3.7</v>
      </c>
      <c r="D88" s="31">
        <v>1</v>
      </c>
      <c r="E88" s="5" t="s">
        <v>6</v>
      </c>
    </row>
    <row r="89" spans="1:5" x14ac:dyDescent="0.4">
      <c r="A89" s="2">
        <v>5.8</v>
      </c>
      <c r="B89" s="2">
        <v>2.7</v>
      </c>
      <c r="C89" s="2">
        <v>3.9</v>
      </c>
      <c r="D89" s="31">
        <v>1.2</v>
      </c>
      <c r="E89" s="4" t="s">
        <v>6</v>
      </c>
    </row>
    <row r="90" spans="1:5" x14ac:dyDescent="0.4">
      <c r="A90" s="3">
        <v>6</v>
      </c>
      <c r="B90" s="3">
        <v>2.7</v>
      </c>
      <c r="C90" s="3">
        <v>5.0999999999999996</v>
      </c>
      <c r="D90" s="31">
        <v>1.6</v>
      </c>
      <c r="E90" s="5" t="s">
        <v>6</v>
      </c>
    </row>
    <row r="91" spans="1:5" x14ac:dyDescent="0.4">
      <c r="A91" s="2">
        <v>5.4</v>
      </c>
      <c r="B91" s="2">
        <v>3</v>
      </c>
      <c r="C91" s="2">
        <v>4.5</v>
      </c>
      <c r="D91" s="31">
        <v>1.5</v>
      </c>
      <c r="E91" s="4" t="s">
        <v>6</v>
      </c>
    </row>
    <row r="92" spans="1:5" x14ac:dyDescent="0.4">
      <c r="A92" s="3">
        <v>6</v>
      </c>
      <c r="B92" s="3">
        <v>3.4</v>
      </c>
      <c r="C92" s="3">
        <v>4.5</v>
      </c>
      <c r="D92" s="31">
        <v>1.6</v>
      </c>
      <c r="E92" s="5" t="s">
        <v>6</v>
      </c>
    </row>
    <row r="93" spans="1:5" x14ac:dyDescent="0.4">
      <c r="A93" s="2">
        <v>6.7</v>
      </c>
      <c r="B93" s="2">
        <v>3.1</v>
      </c>
      <c r="C93" s="2">
        <v>4.7</v>
      </c>
      <c r="D93" s="31">
        <v>1.5</v>
      </c>
      <c r="E93" s="4" t="s">
        <v>6</v>
      </c>
    </row>
    <row r="94" spans="1:5" x14ac:dyDescent="0.4">
      <c r="A94" s="3">
        <v>6.3</v>
      </c>
      <c r="B94" s="3">
        <v>2.2999999999999998</v>
      </c>
      <c r="C94" s="3">
        <v>4.4000000000000004</v>
      </c>
      <c r="D94" s="31">
        <v>1.3</v>
      </c>
      <c r="E94" s="5" t="s">
        <v>6</v>
      </c>
    </row>
    <row r="95" spans="1:5" x14ac:dyDescent="0.4">
      <c r="A95" s="2">
        <v>5.6</v>
      </c>
      <c r="B95" s="2">
        <v>3</v>
      </c>
      <c r="C95" s="2">
        <v>4.0999999999999996</v>
      </c>
      <c r="D95" s="31">
        <v>1.3</v>
      </c>
      <c r="E95" s="4" t="s">
        <v>6</v>
      </c>
    </row>
    <row r="96" spans="1:5" x14ac:dyDescent="0.4">
      <c r="A96" s="3">
        <v>5.5</v>
      </c>
      <c r="B96" s="3">
        <v>2.5</v>
      </c>
      <c r="C96" s="3">
        <v>4</v>
      </c>
      <c r="D96" s="31">
        <v>1.3</v>
      </c>
      <c r="E96" s="5" t="s">
        <v>6</v>
      </c>
    </row>
    <row r="97" spans="1:5" x14ac:dyDescent="0.4">
      <c r="A97" s="2">
        <v>5.5</v>
      </c>
      <c r="B97" s="2">
        <v>2.6</v>
      </c>
      <c r="C97" s="2">
        <v>4.4000000000000004</v>
      </c>
      <c r="D97" s="31">
        <v>1.2</v>
      </c>
      <c r="E97" s="4" t="s">
        <v>6</v>
      </c>
    </row>
    <row r="98" spans="1:5" x14ac:dyDescent="0.4">
      <c r="A98" s="3">
        <v>6.1</v>
      </c>
      <c r="B98" s="3">
        <v>3</v>
      </c>
      <c r="C98" s="3">
        <v>4.5999999999999996</v>
      </c>
      <c r="D98" s="31">
        <v>1.4</v>
      </c>
      <c r="E98" s="5" t="s">
        <v>6</v>
      </c>
    </row>
    <row r="99" spans="1:5" x14ac:dyDescent="0.4">
      <c r="A99" s="2">
        <v>5.8</v>
      </c>
      <c r="B99" s="2">
        <v>2.6</v>
      </c>
      <c r="C99" s="2">
        <v>4</v>
      </c>
      <c r="D99" s="31">
        <v>1.2</v>
      </c>
      <c r="E99" s="4" t="s">
        <v>6</v>
      </c>
    </row>
    <row r="100" spans="1:5" x14ac:dyDescent="0.4">
      <c r="A100" s="3">
        <v>5</v>
      </c>
      <c r="B100" s="3">
        <v>2.2999999999999998</v>
      </c>
      <c r="C100" s="3">
        <v>3.3</v>
      </c>
      <c r="D100" s="31">
        <v>1</v>
      </c>
      <c r="E100" s="5" t="s">
        <v>6</v>
      </c>
    </row>
    <row r="101" spans="1:5" x14ac:dyDescent="0.4">
      <c r="A101" s="2">
        <v>5.6</v>
      </c>
      <c r="B101" s="2">
        <v>2.7</v>
      </c>
      <c r="C101" s="2">
        <v>4.2</v>
      </c>
      <c r="D101" s="31">
        <v>1.3</v>
      </c>
      <c r="E101" s="4" t="s">
        <v>6</v>
      </c>
    </row>
    <row r="102" spans="1:5" x14ac:dyDescent="0.4">
      <c r="A102" s="3">
        <v>5.7</v>
      </c>
      <c r="B102" s="3">
        <v>3</v>
      </c>
      <c r="C102" s="3">
        <v>4.2</v>
      </c>
      <c r="D102" s="31">
        <v>1.2</v>
      </c>
      <c r="E102" s="5" t="s">
        <v>6</v>
      </c>
    </row>
    <row r="103" spans="1:5" x14ac:dyDescent="0.4">
      <c r="A103" s="2">
        <v>5.7</v>
      </c>
      <c r="B103" s="2">
        <v>2.9</v>
      </c>
      <c r="C103" s="2">
        <v>4.2</v>
      </c>
      <c r="D103" s="31">
        <v>1.3</v>
      </c>
      <c r="E103" s="4" t="s">
        <v>6</v>
      </c>
    </row>
    <row r="104" spans="1:5" x14ac:dyDescent="0.4">
      <c r="A104" s="3">
        <v>6.2</v>
      </c>
      <c r="B104" s="3">
        <v>2.9</v>
      </c>
      <c r="C104" s="3">
        <v>4.3</v>
      </c>
      <c r="D104" s="31">
        <v>1.3</v>
      </c>
      <c r="E104" s="5" t="s">
        <v>6</v>
      </c>
    </row>
    <row r="105" spans="1:5" x14ac:dyDescent="0.4">
      <c r="A105" s="2">
        <v>5.0999999999999996</v>
      </c>
      <c r="B105" s="2">
        <v>2.5</v>
      </c>
      <c r="C105" s="2">
        <v>3</v>
      </c>
      <c r="D105" s="31">
        <v>1.1000000000000001</v>
      </c>
      <c r="E105" s="4" t="s">
        <v>6</v>
      </c>
    </row>
    <row r="106" spans="1:5" x14ac:dyDescent="0.4">
      <c r="A106" s="3">
        <v>5.7</v>
      </c>
      <c r="B106" s="3">
        <v>2.8</v>
      </c>
      <c r="C106" s="3">
        <v>4.0999999999999996</v>
      </c>
      <c r="D106" s="31">
        <v>1.3</v>
      </c>
      <c r="E106" s="5" t="s">
        <v>6</v>
      </c>
    </row>
    <row r="107" spans="1:5" x14ac:dyDescent="0.4">
      <c r="A107" s="2">
        <v>6.3</v>
      </c>
      <c r="B107" s="2">
        <v>3.3</v>
      </c>
      <c r="C107" s="2">
        <v>6</v>
      </c>
      <c r="D107" s="31">
        <v>2.5</v>
      </c>
      <c r="E107" s="4" t="s">
        <v>7</v>
      </c>
    </row>
    <row r="108" spans="1:5" x14ac:dyDescent="0.4">
      <c r="A108" s="3">
        <v>5.8</v>
      </c>
      <c r="B108" s="3">
        <v>2.7</v>
      </c>
      <c r="C108" s="3">
        <v>5.0999999999999996</v>
      </c>
      <c r="D108" s="31">
        <v>1.9</v>
      </c>
      <c r="E108" s="5" t="s">
        <v>7</v>
      </c>
    </row>
    <row r="109" spans="1:5" x14ac:dyDescent="0.4">
      <c r="A109" s="2">
        <v>7.1</v>
      </c>
      <c r="B109" s="2">
        <v>3</v>
      </c>
      <c r="C109" s="2">
        <v>5.9</v>
      </c>
      <c r="D109" s="31">
        <v>2.1</v>
      </c>
      <c r="E109" s="4" t="s">
        <v>7</v>
      </c>
    </row>
    <row r="110" spans="1:5" x14ac:dyDescent="0.4">
      <c r="A110" s="3">
        <v>6.3</v>
      </c>
      <c r="B110" s="3">
        <v>2.9</v>
      </c>
      <c r="C110" s="3">
        <v>5.6</v>
      </c>
      <c r="D110" s="31">
        <v>1.8</v>
      </c>
      <c r="E110" s="5" t="s">
        <v>7</v>
      </c>
    </row>
    <row r="111" spans="1:5" x14ac:dyDescent="0.4">
      <c r="A111" s="2">
        <v>6.5</v>
      </c>
      <c r="B111" s="2">
        <v>3</v>
      </c>
      <c r="C111" s="2">
        <v>5.8</v>
      </c>
      <c r="D111" s="31">
        <v>2.2000000000000002</v>
      </c>
      <c r="E111" s="4" t="s">
        <v>7</v>
      </c>
    </row>
    <row r="112" spans="1:5" x14ac:dyDescent="0.4">
      <c r="A112" s="3">
        <v>7.6</v>
      </c>
      <c r="B112" s="3">
        <v>3</v>
      </c>
      <c r="C112" s="3">
        <v>6.6</v>
      </c>
      <c r="D112" s="31">
        <v>2.1</v>
      </c>
      <c r="E112" s="5" t="s">
        <v>7</v>
      </c>
    </row>
    <row r="113" spans="1:5" x14ac:dyDescent="0.4">
      <c r="A113" s="2">
        <v>4.9000000000000004</v>
      </c>
      <c r="B113" s="2">
        <v>2.5</v>
      </c>
      <c r="C113" s="2">
        <v>4.5</v>
      </c>
      <c r="D113" s="31">
        <v>1.7</v>
      </c>
      <c r="E113" s="4" t="s">
        <v>7</v>
      </c>
    </row>
    <row r="114" spans="1:5" x14ac:dyDescent="0.4">
      <c r="A114" s="3">
        <v>7.3</v>
      </c>
      <c r="B114" s="3">
        <v>2.9</v>
      </c>
      <c r="C114" s="3">
        <v>6.3</v>
      </c>
      <c r="D114" s="31">
        <v>1.8</v>
      </c>
      <c r="E114" s="5" t="s">
        <v>7</v>
      </c>
    </row>
    <row r="115" spans="1:5" x14ac:dyDescent="0.4">
      <c r="A115" s="2">
        <v>6.7</v>
      </c>
      <c r="B115" s="2">
        <v>2.5</v>
      </c>
      <c r="C115" s="2">
        <v>5.8</v>
      </c>
      <c r="D115" s="31">
        <v>1.8</v>
      </c>
      <c r="E115" s="4" t="s">
        <v>7</v>
      </c>
    </row>
    <row r="116" spans="1:5" x14ac:dyDescent="0.4">
      <c r="A116" s="3">
        <v>7.2</v>
      </c>
      <c r="B116" s="3">
        <v>3.6</v>
      </c>
      <c r="C116" s="3">
        <v>6.1</v>
      </c>
      <c r="D116" s="31">
        <v>2.5</v>
      </c>
      <c r="E116" s="5" t="s">
        <v>7</v>
      </c>
    </row>
    <row r="117" spans="1:5" x14ac:dyDescent="0.4">
      <c r="A117" s="2">
        <v>6.5</v>
      </c>
      <c r="B117" s="2">
        <v>3.2</v>
      </c>
      <c r="C117" s="2">
        <v>5.0999999999999996</v>
      </c>
      <c r="D117" s="31">
        <v>2</v>
      </c>
      <c r="E117" s="4" t="s">
        <v>7</v>
      </c>
    </row>
    <row r="118" spans="1:5" x14ac:dyDescent="0.4">
      <c r="A118" s="3">
        <v>6.4</v>
      </c>
      <c r="B118" s="3">
        <v>2.7</v>
      </c>
      <c r="C118" s="3">
        <v>5.3</v>
      </c>
      <c r="D118" s="31">
        <v>1.9</v>
      </c>
      <c r="E118" s="5" t="s">
        <v>7</v>
      </c>
    </row>
    <row r="119" spans="1:5" x14ac:dyDescent="0.4">
      <c r="A119" s="2">
        <v>6.8</v>
      </c>
      <c r="B119" s="2">
        <v>3</v>
      </c>
      <c r="C119" s="2">
        <v>5.5</v>
      </c>
      <c r="D119" s="31">
        <v>2.1</v>
      </c>
      <c r="E119" s="4" t="s">
        <v>7</v>
      </c>
    </row>
    <row r="120" spans="1:5" x14ac:dyDescent="0.4">
      <c r="A120" s="3">
        <v>5.7</v>
      </c>
      <c r="B120" s="3">
        <v>2.5</v>
      </c>
      <c r="C120" s="3">
        <v>5</v>
      </c>
      <c r="D120" s="31">
        <v>2</v>
      </c>
      <c r="E120" s="5" t="s">
        <v>7</v>
      </c>
    </row>
    <row r="121" spans="1:5" x14ac:dyDescent="0.4">
      <c r="A121" s="2">
        <v>5.8</v>
      </c>
      <c r="B121" s="2">
        <v>2.8</v>
      </c>
      <c r="C121" s="2">
        <v>5.0999999999999996</v>
      </c>
      <c r="D121" s="31">
        <v>2.4</v>
      </c>
      <c r="E121" s="4" t="s">
        <v>7</v>
      </c>
    </row>
    <row r="122" spans="1:5" x14ac:dyDescent="0.4">
      <c r="A122" s="3">
        <v>6.4</v>
      </c>
      <c r="B122" s="3">
        <v>3.2</v>
      </c>
      <c r="C122" s="3">
        <v>5.3</v>
      </c>
      <c r="D122" s="31">
        <v>2.2999999999999998</v>
      </c>
      <c r="E122" s="5" t="s">
        <v>7</v>
      </c>
    </row>
    <row r="123" spans="1:5" x14ac:dyDescent="0.4">
      <c r="A123" s="2">
        <v>6.5</v>
      </c>
      <c r="B123" s="2">
        <v>3</v>
      </c>
      <c r="C123" s="2">
        <v>5.5</v>
      </c>
      <c r="D123" s="31">
        <v>1.8</v>
      </c>
      <c r="E123" s="4" t="s">
        <v>7</v>
      </c>
    </row>
    <row r="124" spans="1:5" x14ac:dyDescent="0.4">
      <c r="A124" s="3">
        <v>7.7</v>
      </c>
      <c r="B124" s="3">
        <v>3.8</v>
      </c>
      <c r="C124" s="3">
        <v>6.7</v>
      </c>
      <c r="D124" s="31">
        <v>2.2000000000000002</v>
      </c>
      <c r="E124" s="5" t="s">
        <v>7</v>
      </c>
    </row>
    <row r="125" spans="1:5" x14ac:dyDescent="0.4">
      <c r="A125" s="2">
        <v>7.7</v>
      </c>
      <c r="B125" s="2">
        <v>2.6</v>
      </c>
      <c r="C125" s="2">
        <v>6.9</v>
      </c>
      <c r="D125" s="31">
        <v>2.2999999999999998</v>
      </c>
      <c r="E125" s="4" t="s">
        <v>7</v>
      </c>
    </row>
    <row r="126" spans="1:5" x14ac:dyDescent="0.4">
      <c r="A126" s="3">
        <v>6</v>
      </c>
      <c r="B126" s="3">
        <v>2.2000000000000002</v>
      </c>
      <c r="C126" s="3">
        <v>5</v>
      </c>
      <c r="D126" s="31">
        <v>1.5</v>
      </c>
      <c r="E126" s="5" t="s">
        <v>7</v>
      </c>
    </row>
    <row r="127" spans="1:5" x14ac:dyDescent="0.4">
      <c r="A127" s="2">
        <v>6.9</v>
      </c>
      <c r="B127" s="2">
        <v>3.2</v>
      </c>
      <c r="C127" s="2">
        <v>5.7</v>
      </c>
      <c r="D127" s="31">
        <v>2.2999999999999998</v>
      </c>
      <c r="E127" s="4" t="s">
        <v>7</v>
      </c>
    </row>
    <row r="128" spans="1:5" x14ac:dyDescent="0.4">
      <c r="A128" s="3">
        <v>5.6</v>
      </c>
      <c r="B128" s="3">
        <v>2.8</v>
      </c>
      <c r="C128" s="3">
        <v>4.9000000000000004</v>
      </c>
      <c r="D128" s="31">
        <v>2</v>
      </c>
      <c r="E128" s="5" t="s">
        <v>7</v>
      </c>
    </row>
    <row r="129" spans="1:5" x14ac:dyDescent="0.4">
      <c r="A129" s="2">
        <v>7.7</v>
      </c>
      <c r="B129" s="2">
        <v>2.8</v>
      </c>
      <c r="C129" s="2">
        <v>6.7</v>
      </c>
      <c r="D129" s="31">
        <v>2</v>
      </c>
      <c r="E129" s="4" t="s">
        <v>7</v>
      </c>
    </row>
    <row r="130" spans="1:5" x14ac:dyDescent="0.4">
      <c r="A130" s="3">
        <v>6.3</v>
      </c>
      <c r="B130" s="3">
        <v>2.7</v>
      </c>
      <c r="C130" s="3">
        <v>4.9000000000000004</v>
      </c>
      <c r="D130" s="31">
        <v>1.8</v>
      </c>
      <c r="E130" s="5" t="s">
        <v>7</v>
      </c>
    </row>
    <row r="131" spans="1:5" x14ac:dyDescent="0.4">
      <c r="A131" s="2">
        <v>6.7</v>
      </c>
      <c r="B131" s="2">
        <v>3.3</v>
      </c>
      <c r="C131" s="2">
        <v>5.7</v>
      </c>
      <c r="D131" s="31">
        <v>2.1</v>
      </c>
      <c r="E131" s="4" t="s">
        <v>7</v>
      </c>
    </row>
    <row r="132" spans="1:5" x14ac:dyDescent="0.4">
      <c r="A132" s="3">
        <v>7.2</v>
      </c>
      <c r="B132" s="3">
        <v>3.2</v>
      </c>
      <c r="C132" s="3">
        <v>6</v>
      </c>
      <c r="D132" s="31">
        <v>1.8</v>
      </c>
      <c r="E132" s="5" t="s">
        <v>7</v>
      </c>
    </row>
    <row r="133" spans="1:5" x14ac:dyDescent="0.4">
      <c r="A133" s="2">
        <v>6.2</v>
      </c>
      <c r="B133" s="2">
        <v>2.8</v>
      </c>
      <c r="C133" s="2">
        <v>4.8</v>
      </c>
      <c r="D133" s="31">
        <v>1.8</v>
      </c>
      <c r="E133" s="4" t="s">
        <v>7</v>
      </c>
    </row>
    <row r="134" spans="1:5" x14ac:dyDescent="0.4">
      <c r="A134" s="3">
        <v>6.1</v>
      </c>
      <c r="B134" s="3">
        <v>3</v>
      </c>
      <c r="C134" s="3">
        <v>4.9000000000000004</v>
      </c>
      <c r="D134" s="31">
        <v>1.8</v>
      </c>
      <c r="E134" s="5" t="s">
        <v>7</v>
      </c>
    </row>
    <row r="135" spans="1:5" x14ac:dyDescent="0.4">
      <c r="A135" s="2">
        <v>6.4</v>
      </c>
      <c r="B135" s="2">
        <v>2.8</v>
      </c>
      <c r="C135" s="2">
        <v>5.6</v>
      </c>
      <c r="D135" s="31">
        <v>2.1</v>
      </c>
      <c r="E135" s="4" t="s">
        <v>7</v>
      </c>
    </row>
    <row r="136" spans="1:5" x14ac:dyDescent="0.4">
      <c r="A136" s="3">
        <v>7.2</v>
      </c>
      <c r="B136" s="3">
        <v>3</v>
      </c>
      <c r="C136" s="3">
        <v>5.8</v>
      </c>
      <c r="D136" s="31">
        <v>1.6</v>
      </c>
      <c r="E136" s="5" t="s">
        <v>7</v>
      </c>
    </row>
    <row r="137" spans="1:5" x14ac:dyDescent="0.4">
      <c r="A137" s="2">
        <v>7.4</v>
      </c>
      <c r="B137" s="2">
        <v>2.8</v>
      </c>
      <c r="C137" s="2">
        <v>6.1</v>
      </c>
      <c r="D137" s="31">
        <v>1.9</v>
      </c>
      <c r="E137" s="4" t="s">
        <v>7</v>
      </c>
    </row>
    <row r="138" spans="1:5" x14ac:dyDescent="0.4">
      <c r="A138" s="3">
        <v>7.9</v>
      </c>
      <c r="B138" s="3">
        <v>3.8</v>
      </c>
      <c r="C138" s="3">
        <v>6.4</v>
      </c>
      <c r="D138" s="31">
        <v>2</v>
      </c>
      <c r="E138" s="5" t="s">
        <v>7</v>
      </c>
    </row>
    <row r="139" spans="1:5" x14ac:dyDescent="0.4">
      <c r="A139" s="2">
        <v>6.4</v>
      </c>
      <c r="B139" s="2">
        <v>2.8</v>
      </c>
      <c r="C139" s="2">
        <v>5.6</v>
      </c>
      <c r="D139" s="31">
        <v>2.2000000000000002</v>
      </c>
      <c r="E139" s="4" t="s">
        <v>7</v>
      </c>
    </row>
    <row r="140" spans="1:5" x14ac:dyDescent="0.4">
      <c r="A140" s="3">
        <v>6.3</v>
      </c>
      <c r="B140" s="3">
        <v>2.8</v>
      </c>
      <c r="C140" s="3">
        <v>5.0999999999999996</v>
      </c>
      <c r="D140" s="31">
        <v>1.5</v>
      </c>
      <c r="E140" s="5" t="s">
        <v>7</v>
      </c>
    </row>
    <row r="141" spans="1:5" x14ac:dyDescent="0.4">
      <c r="A141" s="2">
        <v>6.1</v>
      </c>
      <c r="B141" s="2">
        <v>2.6</v>
      </c>
      <c r="C141" s="2">
        <v>5.6</v>
      </c>
      <c r="D141" s="31">
        <v>1.4</v>
      </c>
      <c r="E141" s="4" t="s">
        <v>7</v>
      </c>
    </row>
    <row r="142" spans="1:5" x14ac:dyDescent="0.4">
      <c r="A142" s="3">
        <v>7.7</v>
      </c>
      <c r="B142" s="3">
        <v>3</v>
      </c>
      <c r="C142" s="3">
        <v>6.1</v>
      </c>
      <c r="D142" s="31">
        <v>2.2999999999999998</v>
      </c>
      <c r="E142" s="5" t="s">
        <v>7</v>
      </c>
    </row>
    <row r="143" spans="1:5" x14ac:dyDescent="0.4">
      <c r="A143" s="2">
        <v>6.3</v>
      </c>
      <c r="B143" s="2">
        <v>3.4</v>
      </c>
      <c r="C143" s="2">
        <v>5.6</v>
      </c>
      <c r="D143" s="31">
        <v>2.4</v>
      </c>
      <c r="E143" s="4" t="s">
        <v>7</v>
      </c>
    </row>
    <row r="144" spans="1:5" x14ac:dyDescent="0.4">
      <c r="A144" s="3">
        <v>6.4</v>
      </c>
      <c r="B144" s="3">
        <v>3.1</v>
      </c>
      <c r="C144" s="3">
        <v>5.5</v>
      </c>
      <c r="D144" s="31">
        <v>1.8</v>
      </c>
      <c r="E144" s="5" t="s">
        <v>7</v>
      </c>
    </row>
    <row r="145" spans="1:5" x14ac:dyDescent="0.4">
      <c r="A145" s="2">
        <v>6</v>
      </c>
      <c r="B145" s="2">
        <v>3</v>
      </c>
      <c r="C145" s="2">
        <v>4.8</v>
      </c>
      <c r="D145" s="31">
        <v>1.8</v>
      </c>
      <c r="E145" s="4" t="s">
        <v>7</v>
      </c>
    </row>
    <row r="146" spans="1:5" x14ac:dyDescent="0.4">
      <c r="A146" s="3">
        <v>6.9</v>
      </c>
      <c r="B146" s="3">
        <v>3.1</v>
      </c>
      <c r="C146" s="3">
        <v>5.4</v>
      </c>
      <c r="D146" s="31">
        <v>2.1</v>
      </c>
      <c r="E146" s="5" t="s">
        <v>7</v>
      </c>
    </row>
    <row r="147" spans="1:5" x14ac:dyDescent="0.4">
      <c r="A147" s="2">
        <v>6.7</v>
      </c>
      <c r="B147" s="2">
        <v>3.1</v>
      </c>
      <c r="C147" s="2">
        <v>5.6</v>
      </c>
      <c r="D147" s="31">
        <v>2.4</v>
      </c>
      <c r="E147" s="4" t="s">
        <v>7</v>
      </c>
    </row>
    <row r="148" spans="1:5" x14ac:dyDescent="0.4">
      <c r="A148" s="3">
        <v>6.9</v>
      </c>
      <c r="B148" s="3">
        <v>3.1</v>
      </c>
      <c r="C148" s="3">
        <v>5.0999999999999996</v>
      </c>
      <c r="D148" s="31">
        <v>2.2999999999999998</v>
      </c>
      <c r="E148" s="5" t="s">
        <v>7</v>
      </c>
    </row>
    <row r="149" spans="1:5" x14ac:dyDescent="0.4">
      <c r="A149" s="2">
        <v>5.8</v>
      </c>
      <c r="B149" s="2">
        <v>2.7</v>
      </c>
      <c r="C149" s="2">
        <v>5.0999999999999996</v>
      </c>
      <c r="D149" s="31">
        <v>1.9</v>
      </c>
      <c r="E149" s="4" t="s">
        <v>7</v>
      </c>
    </row>
    <row r="150" spans="1:5" x14ac:dyDescent="0.4">
      <c r="A150" s="3">
        <v>6.8</v>
      </c>
      <c r="B150" s="3">
        <v>3.2</v>
      </c>
      <c r="C150" s="3">
        <v>5.9</v>
      </c>
      <c r="D150" s="31">
        <v>2.2999999999999998</v>
      </c>
      <c r="E150" s="5" t="s">
        <v>7</v>
      </c>
    </row>
    <row r="151" spans="1:5" x14ac:dyDescent="0.4">
      <c r="A151" s="2">
        <v>6.7</v>
      </c>
      <c r="B151" s="2">
        <v>3.3</v>
      </c>
      <c r="C151" s="2">
        <v>5.7</v>
      </c>
      <c r="D151" s="31">
        <v>2.5</v>
      </c>
      <c r="E151" s="4" t="s">
        <v>7</v>
      </c>
    </row>
    <row r="152" spans="1:5" x14ac:dyDescent="0.4">
      <c r="A152" s="3">
        <v>6.7</v>
      </c>
      <c r="B152" s="3">
        <v>3</v>
      </c>
      <c r="C152" s="3">
        <v>5.2</v>
      </c>
      <c r="D152" s="31">
        <v>2.2999999999999998</v>
      </c>
      <c r="E152" s="5" t="s">
        <v>7</v>
      </c>
    </row>
    <row r="153" spans="1:5" x14ac:dyDescent="0.4">
      <c r="A153" s="2">
        <v>6.3</v>
      </c>
      <c r="B153" s="2">
        <v>2.5</v>
      </c>
      <c r="C153" s="2">
        <v>5</v>
      </c>
      <c r="D153" s="31">
        <v>1.9</v>
      </c>
      <c r="E153" s="4" t="s">
        <v>7</v>
      </c>
    </row>
    <row r="154" spans="1:5" x14ac:dyDescent="0.4">
      <c r="A154" s="3">
        <v>6.5</v>
      </c>
      <c r="B154" s="3">
        <v>3</v>
      </c>
      <c r="C154" s="3">
        <v>5.2</v>
      </c>
      <c r="D154" s="31">
        <v>2</v>
      </c>
      <c r="E154" s="5" t="s">
        <v>7</v>
      </c>
    </row>
    <row r="155" spans="1:5" x14ac:dyDescent="0.4">
      <c r="A155" s="2">
        <v>6.2</v>
      </c>
      <c r="B155" s="2">
        <v>3.4</v>
      </c>
      <c r="C155" s="2">
        <v>5.4</v>
      </c>
      <c r="D155" s="31">
        <v>2.2999999999999998</v>
      </c>
      <c r="E155" s="4" t="s">
        <v>7</v>
      </c>
    </row>
    <row r="156" spans="1:5" x14ac:dyDescent="0.4">
      <c r="A156" s="3">
        <v>5.9</v>
      </c>
      <c r="B156" s="3">
        <v>3</v>
      </c>
      <c r="C156" s="3">
        <v>5.0999999999999996</v>
      </c>
      <c r="D156" s="31">
        <v>1.8</v>
      </c>
      <c r="E156" s="5" t="s">
        <v>7</v>
      </c>
    </row>
  </sheetData>
  <mergeCells count="2">
    <mergeCell ref="H2:K2"/>
    <mergeCell ref="A4:E4"/>
  </mergeCells>
  <pageMargins left="0.7" right="0.7" top="0.75" bottom="0.75" header="0.3" footer="0.3"/>
  <pageSetup orientation="portrait" horizontalDpi="1200" verticalDpi="12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E8A657-3E89-4DF6-A02E-ACD5C9F4E1A3}">
  <sheetPr codeName="Sheet1"/>
  <dimension ref="A1:T176"/>
  <sheetViews>
    <sheetView workbookViewId="0">
      <selection activeCell="B14" sqref="B14:C14"/>
    </sheetView>
  </sheetViews>
  <sheetFormatPr defaultRowHeight="14.6" x14ac:dyDescent="0.4"/>
  <cols>
    <col min="1" max="1" width="18.84375" bestFit="1" customWidth="1"/>
    <col min="2" max="2" width="58.15234375" customWidth="1"/>
    <col min="3" max="3" width="17.84375" bestFit="1" customWidth="1"/>
    <col min="4" max="4" width="13.07421875" bestFit="1" customWidth="1"/>
    <col min="5" max="5" width="11.921875" bestFit="1" customWidth="1"/>
    <col min="7" max="7" width="13.3828125" bestFit="1" customWidth="1"/>
    <col min="8" max="8" width="11.84375" bestFit="1" customWidth="1"/>
    <col min="9" max="9" width="9.23046875" style="8"/>
    <col min="10" max="10" width="23.61328125" bestFit="1" customWidth="1"/>
    <col min="11" max="11" width="19.15234375" bestFit="1" customWidth="1"/>
    <col min="12" max="12" width="22.07421875" bestFit="1" customWidth="1"/>
    <col min="13" max="13" width="20.69140625" bestFit="1" customWidth="1"/>
    <col min="14" max="15" width="7.921875" bestFit="1" customWidth="1"/>
    <col min="16" max="16" width="17.921875" bestFit="1" customWidth="1"/>
    <col min="17" max="17" width="19.15234375" bestFit="1" customWidth="1"/>
    <col min="18" max="18" width="22" bestFit="1" customWidth="1"/>
    <col min="19" max="19" width="20.69140625" bestFit="1" customWidth="1"/>
    <col min="20" max="20" width="9.3046875" bestFit="1" customWidth="1"/>
    <col min="21" max="21" width="20.3828125" bestFit="1" customWidth="1"/>
  </cols>
  <sheetData>
    <row r="1" spans="1:3" x14ac:dyDescent="0.4">
      <c r="A1" t="s">
        <v>13</v>
      </c>
      <c r="B1" t="s">
        <v>220</v>
      </c>
    </row>
    <row r="2" spans="1:3" x14ac:dyDescent="0.4">
      <c r="A2" t="s">
        <v>9</v>
      </c>
      <c r="B2" t="str" cm="1">
        <f t="array" ref="B2">fWBPath(B1)&amp;"\test\data\IrisMultinomReg.xml"</f>
        <v>D:\WDS\dev\lib\github\WDataSci\WDS-JniPMML-XLL\master\test\data\IrisMultinomReg.xml</v>
      </c>
    </row>
    <row r="3" spans="1:3" x14ac:dyDescent="0.4">
      <c r="A3" t="s">
        <v>10</v>
      </c>
      <c r="B3" s="41" t="str">
        <f>_xll.FetchFileAsString(B2)</f>
        <v xml:space="preserve">&lt;?xml version="1.0"?&gt;
&lt;PMML version="4.0" xmlns="http://www.dmg.org/PMML-4_0" xmlns:xsi="http://www.w3.org/2001/XMLSchema-instance" xsi:schemaLocation="http://www.dmg.org/PMML-4_0 http://www.dmg.org/v4-0/pmml-4-0.xsd"&gt;
 &lt;Header copyright="Copyright (c) 2012 DMG" description="Multinomial Logistic Model"&gt;
  &lt;Extension name="user" value="DMG" extender="Rattle/PMML"/&gt;
  &lt;Application name="Rattle/PMML" version="1.2.30"/&gt;
  &lt;Timestamp&gt;2012-09-27 12:49:13&lt;/Timestamp&gt;
 &lt;/Header&gt;
 &lt;DataDictionary numberOfFields="5"&gt;
  &lt;DataField name="class" optype="categorical" dataType="string"&gt;
   &lt;Value value="Iris-setosa"/&gt;
   &lt;Value value="Iris-versicolor"/&gt;
   &lt;Value value="Iris-virginica"/&gt;
  &lt;/DataField&gt;
  &lt;DataField name="sepal_length" optype="continuous" dataType="double"/&gt;
  &lt;DataField name="sepal_width" optype="continuous" dataType="double"/&gt;
  &lt;DataField name="petal_length" optype="continuous" dataType="double"/&gt;
  &lt;DataField name="petal_width" optype="continuous" dataType="double"/&gt;
 &lt;/DataDictionary&gt;
 &lt;RegressionModel modelName="Multinom_Model" functionName="classification" algorithmName="multinom" normalizationMethod="softmax" targetFieldName="class"&gt;
  &lt;MiningSchema&gt;
   &lt;MiningField name="class" usageType="predicted"/&gt;
   &lt;MiningField name="sepal_length" usageType="active"/&gt;
   &lt;MiningField name="sepal_width" usageType="active"/&gt;
   &lt;MiningField name="petal_length" usageType="active"/&gt;
   &lt;MiningField name="petal_width" usageType="active"/&gt;
  &lt;/MiningSchema&gt;
  &lt;Output&gt;
   &lt;OutputField name="class" feature="predictedValue"/&gt;
   &lt;OutputField name="Probability_Iris-setosa" optype="continuous" dataType="double" feature="probability" value="Iris-setosa"/&gt;
   &lt;OutputField name="Probability_Iris-versicolor" optype="continuous" dataType="double" feature="probability" value="Iris-versicolor"/&gt;
   &lt;OutputField name="Probability_Iris-virginica" optype="continuous" dataType="double" feature="probability" value="Iris-virginica"/&gt;
  &lt;/Output&gt;
  &lt;RegressionTable intercept="118.398053497053" targetCategory="Iris-versicolor"&gt;
   &lt;NumericPredictor name="sepal_length" exponent="1" coefficient="-21.6746786772978"/&gt;
   &lt;NumericPredictor name="sepal_width" exponent="1" coefficient="-29.9107287674408"/&gt;
   &lt;NumericPredictor name="petal_length" exponent="1" coefficient="34.5852284189657"/&gt;
   &lt;NumericPredictor name="petal_width" exponent="1" coefficient="-17.1042632934134"/&gt;
  &lt;/RegressionTable&gt;
  &lt;RegressionTable intercept="-200.09275553632" targetCategory="Iris-virginica"&gt;
   &lt;NumericPredictor name="sepal_length" exponent="1" coefficient="-112.960233867962"/&gt;
   &lt;NumericPredictor name="sepal_width" exponent="1" coefficient="-121.454521118137"/&gt;
   &lt;NumericPredictor name="petal_length" exponent="1" coefficient="216.071822112562"/&gt;
   &lt;NumericPredictor name="petal_width" exponent="1" coefficient="135.443844502435"/&gt;
  &lt;/RegressionTable&gt;
  &lt;RegressionTable intercept="0.0" targetCategory="Iris-setosa"/&gt;
 &lt;/RegressionModel&gt;
&lt;/PMML&gt;
</v>
      </c>
      <c r="C3" s="41"/>
    </row>
    <row r="4" spans="1:3" x14ac:dyDescent="0.4">
      <c r="A4" t="s">
        <v>15</v>
      </c>
      <c r="B4" s="41" t="str">
        <f>B3&amp;"  &lt;!--"&amp;B1&amp;"--&gt;"</f>
        <v>&lt;?xml version="1.0"?&gt;
&lt;PMML version="4.0" xmlns="http://www.dmg.org/PMML-4_0" xmlns:xsi="http://www.w3.org/2001/XMLSchema-instance" xsi:schemaLocation="http://www.dmg.org/PMML-4_0 http://www.dmg.org/v4-0/pmml-4-0.xsd"&gt;
 &lt;Header copyright="Copyright (c) 2012 DMG" description="Multinomial Logistic Model"&gt;
  &lt;Extension name="user" value="DMG" extender="Rattle/PMML"/&gt;
  &lt;Application name="Rattle/PMML" version="1.2.30"/&gt;
  &lt;Timestamp&gt;2012-09-27 12:49:13&lt;/Timestamp&gt;
 &lt;/Header&gt;
 &lt;DataDictionary numberOfFields="5"&gt;
  &lt;DataField name="class" optype="categorical" dataType="string"&gt;
   &lt;Value value="Iris-setosa"/&gt;
   &lt;Value value="Iris-versicolor"/&gt;
   &lt;Value value="Iris-virginica"/&gt;
  &lt;/DataField&gt;
  &lt;DataField name="sepal_length" optype="continuous" dataType="double"/&gt;
  &lt;DataField name="sepal_width" optype="continuous" dataType="double"/&gt;
  &lt;DataField name="petal_length" optype="continuous" dataType="double"/&gt;
  &lt;DataField name="petal_width" optype="continuous" dataType="double"/&gt;
 &lt;/DataDictionary&gt;
 &lt;RegressionModel modelName="Multinom_Model" functionName="classification" algorithmName="multinom" normalizationMethod="softmax" targetFieldName="class"&gt;
  &lt;MiningSchema&gt;
   &lt;MiningField name="class" usageType="predicted"/&gt;
   &lt;MiningField name="sepal_length" usageType="active"/&gt;
   &lt;MiningField name="sepal_width" usageType="active"/&gt;
   &lt;MiningField name="petal_length" usageType="active"/&gt;
   &lt;MiningField name="petal_width" usageType="active"/&gt;
  &lt;/MiningSchema&gt;
  &lt;Output&gt;
   &lt;OutputField name="class" feature="predictedValue"/&gt;
   &lt;OutputField name="Probability_Iris-setosa" optype="continuous" dataType="double" feature="probability" value="Iris-setosa"/&gt;
   &lt;OutputField name="Probability_Iris-versicolor" optype="continuous" dataType="double" feature="probability" value="Iris-versicolor"/&gt;
   &lt;OutputField name="Probability_Iris-virginica" optype="continuous" dataType="double" feature="probability" value="Iris-virginica"/&gt;
  &lt;/Output&gt;
  &lt;RegressionTable intercept="118.398053497053" targetCategory="Iris-versicolor"&gt;
   &lt;NumericPredictor name="sepal_length" exponent="1" coefficient="-21.6746786772978"/&gt;
   &lt;NumericPredictor name="sepal_width" exponent="1" coefficient="-29.9107287674408"/&gt;
   &lt;NumericPredictor name="petal_length" exponent="1" coefficient="34.5852284189657"/&gt;
   &lt;NumericPredictor name="petal_width" exponent="1" coefficient="-17.1042632934134"/&gt;
  &lt;/RegressionTable&gt;
  &lt;RegressionTable intercept="-200.09275553632" targetCategory="Iris-virginica"&gt;
   &lt;NumericPredictor name="sepal_length" exponent="1" coefficient="-112.960233867962"/&gt;
   &lt;NumericPredictor name="sepal_width" exponent="1" coefficient="-121.454521118137"/&gt;
   &lt;NumericPredictor name="petal_length" exponent="1" coefficient="216.071822112562"/&gt;
   &lt;NumericPredictor name="petal_width" exponent="1" coefficient="135.443844502435"/&gt;
  &lt;/RegressionTable&gt;
  &lt;RegressionTable intercept="0.0" targetCategory="Iris-setosa"/&gt;
 &lt;/RegressionModel&gt;
&lt;/PMML&gt;
  &lt;!--DEF--&gt;</v>
      </c>
      <c r="C4" s="41"/>
    </row>
    <row r="5" spans="1:3" x14ac:dyDescent="0.4">
      <c r="A5" t="s">
        <v>14</v>
      </c>
      <c r="B5" t="str" cm="1">
        <f t="array" ref="B5">_xll.JniPMML_CreateHandle("JniPMML",B1,B4)</f>
        <v>3.0</v>
      </c>
    </row>
    <row r="6" spans="1:3" x14ac:dyDescent="0.4">
      <c r="A6" t="s">
        <v>11</v>
      </c>
      <c r="B6" cm="1">
        <f t="array" ref="B6">_xll.JniPMML_HandleMajorFrom(B5)</f>
        <v>3</v>
      </c>
    </row>
    <row r="7" spans="1:3" x14ac:dyDescent="0.4">
      <c r="A7" t="s">
        <v>10</v>
      </c>
      <c r="B7" s="41" t="str">
        <f>_xll.FetchFileAsString(B2)</f>
        <v xml:space="preserve">&lt;?xml version="1.0"?&gt;
&lt;PMML version="4.0" xmlns="http://www.dmg.org/PMML-4_0" xmlns:xsi="http://www.w3.org/2001/XMLSchema-instance" xsi:schemaLocation="http://www.dmg.org/PMML-4_0 http://www.dmg.org/v4-0/pmml-4-0.xsd"&gt;
 &lt;Header copyright="Copyright (c) 2012 DMG" description="Multinomial Logistic Model"&gt;
  &lt;Extension name="user" value="DMG" extender="Rattle/PMML"/&gt;
  &lt;Application name="Rattle/PMML" version="1.2.30"/&gt;
  &lt;Timestamp&gt;2012-09-27 12:49:13&lt;/Timestamp&gt;
 &lt;/Header&gt;
 &lt;DataDictionary numberOfFields="5"&gt;
  &lt;DataField name="class" optype="categorical" dataType="string"&gt;
   &lt;Value value="Iris-setosa"/&gt;
   &lt;Value value="Iris-versicolor"/&gt;
   &lt;Value value="Iris-virginica"/&gt;
  &lt;/DataField&gt;
  &lt;DataField name="sepal_length" optype="continuous" dataType="double"/&gt;
  &lt;DataField name="sepal_width" optype="continuous" dataType="double"/&gt;
  &lt;DataField name="petal_length" optype="continuous" dataType="double"/&gt;
  &lt;DataField name="petal_width" optype="continuous" dataType="double"/&gt;
 &lt;/DataDictionary&gt;
 &lt;RegressionModel modelName="Multinom_Model" functionName="classification" algorithmName="multinom" normalizationMethod="softmax" targetFieldName="class"&gt;
  &lt;MiningSchema&gt;
   &lt;MiningField name="class" usageType="predicted"/&gt;
   &lt;MiningField name="sepal_length" usageType="active"/&gt;
   &lt;MiningField name="sepal_width" usageType="active"/&gt;
   &lt;MiningField name="petal_length" usageType="active"/&gt;
   &lt;MiningField name="petal_width" usageType="active"/&gt;
  &lt;/MiningSchema&gt;
  &lt;Output&gt;
   &lt;OutputField name="class" feature="predictedValue"/&gt;
   &lt;OutputField name="Probability_Iris-setosa" optype="continuous" dataType="double" feature="probability" value="Iris-setosa"/&gt;
   &lt;OutputField name="Probability_Iris-versicolor" optype="continuous" dataType="double" feature="probability" value="Iris-versicolor"/&gt;
   &lt;OutputField name="Probability_Iris-virginica" optype="continuous" dataType="double" feature="probability" value="Iris-virginica"/&gt;
  &lt;/Output&gt;
  &lt;RegressionTable intercept="118.398053497053" targetCategory="Iris-versicolor"&gt;
   &lt;NumericPredictor name="sepal_length" exponent="1" coefficient="-21.6746786772978"/&gt;
   &lt;NumericPredictor name="sepal_width" exponent="1" coefficient="-29.9107287674408"/&gt;
   &lt;NumericPredictor name="petal_length" exponent="1" coefficient="34.5852284189657"/&gt;
   &lt;NumericPredictor name="petal_width" exponent="1" coefficient="-17.1042632934134"/&gt;
  &lt;/RegressionTable&gt;
  &lt;RegressionTable intercept="-200.09275553632" targetCategory="Iris-virginica"&gt;
   &lt;NumericPredictor name="sepal_length" exponent="1" coefficient="-112.960233867962"/&gt;
   &lt;NumericPredictor name="sepal_width" exponent="1" coefficient="-121.454521118137"/&gt;
   &lt;NumericPredictor name="petal_length" exponent="1" coefficient="216.071822112562"/&gt;
   &lt;NumericPredictor name="petal_width" exponent="1" coefficient="135.443844502435"/&gt;
  &lt;/RegressionTable&gt;
  &lt;RegressionTable intercept="0.0" targetCategory="Iris-setosa"/&gt;
 &lt;/RegressionModel&gt;
&lt;/PMML&gt;
</v>
      </c>
      <c r="C7" s="41"/>
    </row>
    <row r="10" spans="1:3" x14ac:dyDescent="0.4">
      <c r="A10" t="s">
        <v>16</v>
      </c>
      <c r="B10" t="str">
        <f>JniPMML_Eval_CacheHeaders(B5,A26:E26)</f>
        <v>3.15</v>
      </c>
    </row>
    <row r="11" spans="1:3" x14ac:dyDescent="0.4">
      <c r="A11" t="s">
        <v>265</v>
      </c>
      <c r="B11" s="41" t="str">
        <f>_xll.JniPMML_LoadedString(B10)</f>
        <v>&lt;?xml version="1.0"?&gt;
&lt;PMML version="4.0" xmlns="http://www.dmg.org/PMML-4_0" xmlns:xsi="http://www.w3.org/2001/XMLSchema-instance" xsi:schemaLocation="http://www.dmg.org/PMML-4_0 http://www.dmg.org/v4-0/pmml-4-0.xsd"&gt;
 &lt;Header copyright="Copyright (c) 2012 DMG" description="Multinomial Logistic Model"&gt;
  &lt;Extension name="user" value="DMG" extender="Rattle/PMML"/&gt;
  &lt;Application name="Rattle/PMML" version="1.2.30"/&gt;
  &lt;Timestamp&gt;2012-09-27 12:49:13&lt;/Timestamp&gt;
 &lt;/Header&gt;
 &lt;DataDictionary numberOfFields="5"&gt;
  &lt;DataField name="class" optype="categorical" dataType="string"&gt;
   &lt;Value value="Iris-setosa"/&gt;
   &lt;Value value="Iris-versicolor"/&gt;
   &lt;Value value="Iris-virginica"/&gt;
  &lt;/DataField&gt;
  &lt;DataField name="sepal_length" optype="continuous" dataType="double"/&gt;
  &lt;DataField name="sepal_width" optype="continuous" dataType="double"/&gt;
  &lt;DataField name="petal_length" optype="continuous" dataType="double"/&gt;
  &lt;DataField name="petal_width" optype="continuous" dataType="double"/&gt;
 &lt;/DataDictionary&gt;
 &lt;RegressionModel modelName="Multinom_Model" functionName="classification" algorithmName="multinom" normalizationMethod="softmax" targetFieldName="class"&gt;
  &lt;MiningSchema&gt;
   &lt;MiningField name="class" usageType="predicted"/&gt;
   &lt;MiningField name="sepal_length" usageType="active"/&gt;
   &lt;MiningField name="sepal_width" usageType="active"/&gt;
   &lt;MiningField name="petal_length" usageType="active"/&gt;
   &lt;MiningField name="petal_width" usageType="active"/&gt;
  &lt;/MiningSchema&gt;
  &lt;Output&gt;
   &lt;OutputField name="class" feature="predictedValue"/&gt;
   &lt;OutputField name="Probability_Iris-setosa" optype="continuous" dataType="double" feature="probability" value="Iris-setosa"/&gt;
   &lt;OutputField name="Probability_Iris-versicolor" optype="continuous" dataType="double" feature="probability" value="Iris-versicolor"/&gt;
   &lt;OutputField name="Probability_Iris-virginica" optype="continuous" dataType="double" feature="probability" value="Iris-virginica"/&gt;
  &lt;/Output&gt;
  &lt;RegressionTable intercept="118.398053497053" targetCategory="Iris-versicolor"&gt;
   &lt;NumericPredictor name="sepal_length" exponent="1" coefficient="-21.6746786772978"/&gt;
   &lt;NumericPredictor name="sepal_width" exponent="1" coefficient="-29.9107287674408"/&gt;
   &lt;NumericPredictor name="petal_length" exponent="1" coefficient="34.5852284189657"/&gt;
   &lt;NumericPredictor name="petal_width" exponent="1" coefficient="-17.1042632934134"/&gt;
  &lt;/RegressionTable&gt;
  &lt;RegressionTable intercept="-200.09275553632" targetCategory="Iris-virginica"&gt;
   &lt;NumericPredictor name="sepal_length" exponent="1" coefficient="-112.960233867962"/&gt;
   &lt;NumericPredictor name="sepal_width" exponent="1" coefficient="-121.454521118137"/&gt;
   &lt;NumericPredictor name="petal_length" exponent="1" coefficient="216.071822112562"/&gt;
   &lt;NumericPredictor name="petal_width" exponent="1" coefficient="135.443844502435"/&gt;
  &lt;/RegressionTable&gt;
  &lt;RegressionTable intercept="0.0" targetCategory="Iris-setosa"/&gt;
 &lt;/RegressionModel&gt;
&lt;/PMML&gt;
  &lt;!--DEF--&gt;</v>
      </c>
      <c r="C11" s="41"/>
    </row>
    <row r="13" spans="1:3" x14ac:dyDescent="0.4">
      <c r="A13" t="s">
        <v>12</v>
      </c>
      <c r="B13" t="str" cm="1">
        <f t="array" ref="B13">fWBPath(B1)&amp;"\test\data\Iris_Input.xsd"</f>
        <v>D:\WDS\dev\lib\github\WDataSci\WDS-JniPMML-XLL\master\test\data\Iris_Input.xsd</v>
      </c>
    </row>
    <row r="14" spans="1:3" x14ac:dyDescent="0.4">
      <c r="A14" t="s">
        <v>10</v>
      </c>
      <c r="B14" s="42" t="str">
        <f>_xll.FetchFileAsString(B13)</f>
        <v xml:space="preserve">&lt;?xml version="1.0"?&gt;
&lt;!-- Copyright 2019, Wypasek Data Science, Inc. 
Author: Christian Wypasek (CJW)
An example input schema for the ubiquitous Iris data set.
--&gt;
&lt;xs:schema 
    xmlns:xs="http://www.w3.org/2001/XMLSchema" 
    xmlns:xi="http://www.w3.org/2001/XInclude" 
    xmlns:wds="https://github.com/wdatasci/WDS-ModelSpec"
    attributeFormDefault="unqualified" elementFormDefault="qualified"&gt;
    &lt;xs:simpleType name="Nbr"&gt;
        &lt;xs:union memberTypes="xs:decimal xs:integer xs:negativeInteger xs:nonNegativeInteger xs:positiveInteger xs:nonPositiveInteger xs:long xs:int xs:short xs:byte xs:unsignedLong xs:unsignedShort xs:unsignedInt xs:unsignedByte xs:float xs:double"/&gt;
    &lt;/xs:simpleType&gt;
    &lt;xs:simpleType name="Dbl"&gt;
        &lt;xs:union memberTypes="xs:decimal xs:long xs:int xs:short xs:byte xs:unsignedLong xs:unsignedShort xs:unsignedInt xs:unsignedByte xs:float xs:double"/&gt;
    &lt;/xs:simpleType&gt;
    &lt;xs:simpleType name="Lng"&gt;
        &lt;xs:union memberTypes="xs:long"/&gt;
    &lt;/xs:simpleType&gt;
    &lt;xs:simpleType name="Int"&gt;
        &lt;xs:union memberTypes="xs:integer xs:negativeInteger xs:nonNegativeInteger xs:positiveInteger xs:nonPositiveInteger xs:int xs:short xs:unsignedShort xs:unsignedInt"/&gt;
    &lt;/xs:simpleType&gt;
    &lt;xs:simpleType name="VLS"&gt;
        &lt;xs:union memberTypes="xs:token xs:NMTOKEN xs:normalizedString xs:string"/&gt;
    &lt;/xs:simpleType&gt;
    &lt;xs:simpleType name="Str1"&gt;&lt;xs:restriction base="xs:string"&gt;&lt;xs:whiteSpace value="collapse"/&gt;&lt;xs:maxLength value="1"/&gt;&lt;/xs:restriction&gt;&lt;/xs:simpleType&gt;
    &lt;xs:simpleType name="Str2"&gt;&lt;xs:restriction base="xs:string"&gt;&lt;xs:whiteSpace value="collapse"/&gt;&lt;xs:maxLength value="2"/&gt;&lt;/xs:restriction&gt;&lt;/xs:simpleType&gt;
    &lt;xs:simpleType name="Str3"&gt;&lt;xs:restriction base="xs:string"&gt;&lt;xs:whiteSpace value="collapse"/&gt;&lt;xs:maxLength value="3"/&gt;&lt;/xs:restriction&gt;&lt;/xs:simpleType&gt;
    &lt;xs:simpleType name="Str4"&gt;&lt;xs:restriction base="xs:string"&gt;&lt;xs:whiteSpace value="collapse"/&gt;&lt;xs:maxLength value="4"/&gt;&lt;/xs:restriction&gt;&lt;/xs:simpleType&gt;
    &lt;xs:simpleType name="Str5"&gt;&lt;xs:restriction base="xs:string"&gt;&lt;xs:whiteSpace value="collapse"/&gt;&lt;xs:maxLength value="5"/&gt;&lt;/xs:restriction&gt;&lt;/xs:simpleType&gt;
    &lt;xs:simpleType name="Str6"&gt;&lt;xs:restriction base="xs:string"&gt;&lt;xs:whiteSpace value="collapse"/&gt;&lt;xs:maxLength value="6"/&gt;&lt;/xs:restriction&gt;&lt;/xs:simpleType&gt;
    &lt;xs:simpleType name="Str7"&gt;&lt;xs:restriction base="xs:string"&gt;&lt;xs:whiteSpace value="collapse"/&gt;&lt;xs:maxLength value="7"/&gt;&lt;/xs:restriction&gt;&lt;/xs:simpleType&gt;
    &lt;xs:simpleType name="Str8"&gt;&lt;xs:restriction base="xs:string"&gt;&lt;xs:whiteSpace value="collapse"/&gt;&lt;xs:maxLength value="8"/&gt;&lt;/xs:restriction&gt;&lt;/xs:simpleType&gt;
    &lt;xs:simpleType name="Str9"&gt;&lt;xs:restriction base="xs:string"&gt;&lt;xs:whiteSpace value="collapse"/&gt;&lt;xs:maxLength value="9"/&gt;&lt;/xs:restriction&gt;&lt;/xs:simpleType&gt;
    &lt;xs:simpleType name="Str10"&gt;&lt;xs:restriction base="xs:string"&gt;&lt;xs:whiteSpace value="collapse"/&gt;&lt;xs:maxLength value="10"/&gt;&lt;/xs:restriction&gt;&lt;/xs:simpleType&gt;
    &lt;xs:simpleType name="Str11"&gt;&lt;xs:restriction base="xs:string"&gt;&lt;xs:whiteSpace value="collapse"/&gt;&lt;xs:maxLength value="11"/&gt;&lt;/xs:restriction&gt;&lt;/xs:simpleType&gt;
    &lt;xs:simpleType name="Str12"&gt;&lt;xs:restriction base="xs:string"&gt;&lt;xs:whiteSpace value="collapse"/&gt;&lt;xs:maxLength value="12"/&gt;&lt;/xs:restriction&gt;&lt;/xs:simpleType&gt;
    &lt;xs:simpleType name="Str16"&gt;&lt;xs:restriction base="xs:string"&gt;&lt;xs:whiteSpace value="collapse"/&gt;&lt;xs:maxLength value="16"/&gt;&lt;/xs:restriction&gt;&lt;/xs:simpleType&gt;
    &lt;xs:simpleType name="Str32"&gt;&lt;xs:restriction base="xs:string"&gt;&lt;xs:whiteSpace value="collapse"/&gt;&lt;xs:maxLength value="32"/&gt;&lt;/xs:restriction&gt;&lt;/xs:simpleType&gt;
    &lt;xs:simpleType name="Str64"&gt;&lt;xs:restriction base="xs:string"&gt;&lt;xs:whiteSpace value="collapse"/&gt;&lt;xs:maxLength value="64"/&gt;&lt;/xs:restriction&gt;&lt;/xs:simpleType&gt;
    &lt;xs:simpleType name="Str128"&gt;&lt;xs:restriction base="xs:string"&gt;&lt;xs:whiteSpace value="collapse"/&gt;&lt;xs:maxLength value="128"/&gt;&lt;/xs:restriction&gt;&lt;/xs:simpleType&gt;
    &lt;xs:simpleType name="Str256"&gt;&lt;xs:restriction base="xs:string"&gt;&lt;xs:whiteSpace value="collapse"/&gt;&lt;xs:maxLength value="256"/&gt;&lt;/xs:restriction&gt;&lt;/xs:simpleType&gt;
    &lt;xs:simpleType name="Str512"&gt;&lt;xs:restriction base="xs:string"&gt;&lt;xs:whiteSpace value="collapse"/&gt;&lt;xs:maxLength value="512"/&gt;&lt;/xs:restriction&gt;&lt;/xs:simpleType&gt;
    &lt;xs:simpleType name="Str1024"&gt;&lt;xs:restriction base="xs:string"&gt;&lt;xs:whiteSpace value="collapse"/&gt;&lt;xs:maxLength value="1024"/&gt;&lt;/xs:restriction&gt;&lt;/xs:simpleType&gt;
    &lt;xs:simpleType name="Str"&gt;
        &lt;xs:union memberTypes="Str1 Str2 Str3 Str4 Str5 Str6 Str7 Str8 Str9 Str10 Str11 Str12 Str16 Str32 Str64 Str128 Str256 Str512 Str1024"/&gt;
    &lt;/xs:simpleType&gt;
    &lt;xs:simpleType name="Str_List"&gt;&lt;xs:list itemType="Str"/&gt;&lt;/xs:simpleType&gt;
    &lt;xs:simpleType name="VLS_List"&gt;&lt;xs:list itemType="VLS"/&gt;&lt;/xs:simpleType&gt;
    &lt;xs:simpleType name="Dbl_List"&gt;&lt;xs:list itemType="Dbl"/&gt;&lt;/xs:simpleType&gt;
    &lt;xs:simpleType name="Int_List"&gt;&lt;xs:list itemType="Int"/&gt;&lt;/xs:simpleType&gt;
    &lt;xs:simpleType name="Lng_List"&gt;&lt;xs:list itemType="Lng"/&gt;&lt;/xs:simpleType&gt;
    &lt;xs:element name="RecordSet"&gt;
        &lt;xs:complexType&gt;
            &lt;xs:sequence&gt;
                &lt;xs:element name="Record" maxOccurs="unbounded"&gt;
                    &lt;xs:complexType&gt;
                        &lt;xs:sequence&gt;
                            &lt;xs:element name="sepal_length" type="Dbl" wds:DTyp="Dbl"/&gt;
                            &lt;xs:element name="sepal_width" type="Dbl" wds:DTyp="Dbl"/&gt;
                            &lt;xs:element name="petal_length" type="Dbl" wds:DTyp="Dbl"/&gt;
                            &lt;xs:element name="petal_width" type="Dbl" wds:DTyp="Dbl"/&gt;
                            &lt;xs:element name="class" type="VLS" wds:StringMaxLength="20"/&gt;
                        &lt;/xs:sequence&gt;
                    &lt;/xs:complexType&gt;
                &lt;/xs:element&gt;
            &lt;/xs:sequence&gt;
        &lt;/xs:complexType&gt;
    &lt;/xs:element&gt;
&lt;/xs:schema&gt;
</v>
      </c>
      <c r="C14" s="42"/>
    </row>
    <row r="17" spans="1:20" x14ac:dyDescent="0.4">
      <c r="A17" s="41" t="s">
        <v>266</v>
      </c>
      <c r="B17" s="41"/>
      <c r="C17" s="41"/>
      <c r="D17" s="41"/>
    </row>
    <row r="18" spans="1:20" x14ac:dyDescent="0.4">
      <c r="A18" t="s">
        <v>17</v>
      </c>
      <c r="B18">
        <v>123</v>
      </c>
    </row>
    <row r="24" spans="1:20" x14ac:dyDescent="0.4">
      <c r="D24" t="s">
        <v>213</v>
      </c>
      <c r="G24" t="s">
        <v>117</v>
      </c>
      <c r="H24" s="1" t="s">
        <v>118</v>
      </c>
    </row>
    <row r="25" spans="1:20" x14ac:dyDescent="0.4">
      <c r="P25" t="str" cm="1">
        <f t="array" ref="P25:S25">_xll.JniPMML_Eval_OutputColumnHeadings(B10)</f>
        <v>class-predictedValue</v>
      </c>
      <c r="Q25" t="str">
        <v>Probability_Iris-setosa</v>
      </c>
      <c r="R25" t="str">
        <v>Probability_Iris-versicolor</v>
      </c>
      <c r="S25" t="str">
        <v>Probability_Iris-virginica</v>
      </c>
    </row>
    <row r="26" spans="1:20" x14ac:dyDescent="0.4">
      <c r="A26" s="6" t="s">
        <v>0</v>
      </c>
      <c r="B26" s="6" t="s">
        <v>1</v>
      </c>
      <c r="C26" s="6" t="s">
        <v>2</v>
      </c>
      <c r="D26" s="6" t="s">
        <v>3</v>
      </c>
      <c r="E26" s="10" t="s">
        <v>4</v>
      </c>
      <c r="J26" s="35" t="str" cm="1">
        <f t="array" aca="1" ref="J26:M176" ca="1">_xll.JniPMML_Eval(B10,1,A26:E176)</f>
        <v>class-predictedValue</v>
      </c>
      <c r="K26" t="str">
        <f ca="1"/>
        <v>Probability_Iris-setosa</v>
      </c>
      <c r="L26" t="str">
        <f ca="1"/>
        <v>Probability_Iris-versicolor</v>
      </c>
      <c r="M26" t="str">
        <f ca="1"/>
        <v>Probability_Iris-virginica</v>
      </c>
    </row>
    <row r="27" spans="1:20" x14ac:dyDescent="0.4">
      <c r="A27" s="2">
        <v>5.0999999999999996</v>
      </c>
      <c r="B27" s="2">
        <v>3.5</v>
      </c>
      <c r="C27" s="2">
        <v>1.4</v>
      </c>
      <c r="D27" s="2">
        <f t="shared" ref="D27:D58" ca="1" si="0">H27</f>
        <v>0.65240149102352452</v>
      </c>
      <c r="E27" s="4" t="s">
        <v>5</v>
      </c>
      <c r="G27">
        <v>0.2</v>
      </c>
      <c r="H27">
        <f ca="1">G27+RAND()</f>
        <v>0.65240149102352452</v>
      </c>
      <c r="J27" t="str">
        <f ca="1"/>
        <v>Iris-setosa</v>
      </c>
      <c r="K27">
        <f ca="1"/>
        <v>1</v>
      </c>
      <c r="L27">
        <f ca="1"/>
        <v>1.3462552991442364E-26</v>
      </c>
      <c r="M27">
        <f ca="1"/>
        <v>0</v>
      </c>
      <c r="P27" s="8" t="str" cm="1">
        <f t="array" aca="1" ref="P27:S27" ca="1">_xll.JniPMML_Eval($B$10,0,A27:E27)</f>
        <v>Iris-setosa</v>
      </c>
      <c r="Q27" s="8">
        <f ca="1"/>
        <v>1</v>
      </c>
      <c r="R27" s="8">
        <f ca="1"/>
        <v>1.3462552991442364E-26</v>
      </c>
      <c r="S27" s="8">
        <f ca="1"/>
        <v>0</v>
      </c>
    </row>
    <row r="28" spans="1:20" x14ac:dyDescent="0.4">
      <c r="A28" s="3">
        <v>4.9000000000000004</v>
      </c>
      <c r="B28" s="3">
        <v>3</v>
      </c>
      <c r="C28" s="3">
        <v>1.4</v>
      </c>
      <c r="D28" s="2">
        <f t="shared" ca="1" si="0"/>
        <v>0.622715061700295</v>
      </c>
      <c r="E28" s="5" t="s">
        <v>5</v>
      </c>
      <c r="G28">
        <v>0.2</v>
      </c>
      <c r="H28" s="8">
        <f t="shared" ref="H28:H91" ca="1" si="1">G28+RAND()</f>
        <v>0.622715061700295</v>
      </c>
      <c r="J28" t="str">
        <f ca="1"/>
        <v>Iris-setosa</v>
      </c>
      <c r="K28">
        <f ca="1"/>
        <v>1</v>
      </c>
      <c r="L28">
        <f ca="1"/>
        <v>5.3372512023215346E-18</v>
      </c>
      <c r="M28">
        <f ca="1"/>
        <v>0</v>
      </c>
      <c r="P28" s="9" t="str" cm="1">
        <f t="array" aca="1" ref="P28:S28" ca="1">_xll.JniPMML_Eval($B$10,0,A28:E28)</f>
        <v>Iris-setosa</v>
      </c>
      <c r="Q28" s="8">
        <f ca="1"/>
        <v>1</v>
      </c>
      <c r="R28" s="8">
        <f ca="1"/>
        <v>5.3372512023215346E-18</v>
      </c>
      <c r="S28" s="8">
        <f ca="1"/>
        <v>0</v>
      </c>
      <c r="T28" s="7"/>
    </row>
    <row r="29" spans="1:20" x14ac:dyDescent="0.4">
      <c r="A29" s="2">
        <v>4.7</v>
      </c>
      <c r="B29" s="2">
        <v>3.2</v>
      </c>
      <c r="C29" s="2">
        <v>1.3</v>
      </c>
      <c r="D29" s="2">
        <f t="shared" ca="1" si="0"/>
        <v>0.60748543252553189</v>
      </c>
      <c r="E29" s="4" t="s">
        <v>5</v>
      </c>
      <c r="G29">
        <v>0.2</v>
      </c>
      <c r="H29" s="8">
        <f t="shared" ca="1" si="1"/>
        <v>0.60748543252553189</v>
      </c>
      <c r="J29" t="str">
        <f ca="1"/>
        <v>Iris-setosa</v>
      </c>
      <c r="K29">
        <f ca="1"/>
        <v>1</v>
      </c>
      <c r="L29">
        <f ca="1"/>
        <v>4.1981320554179892E-20</v>
      </c>
      <c r="M29">
        <f ca="1"/>
        <v>0</v>
      </c>
      <c r="P29" s="9"/>
      <c r="Q29" s="8"/>
      <c r="R29" s="8"/>
      <c r="S29" s="8"/>
      <c r="T29" s="7"/>
    </row>
    <row r="30" spans="1:20" x14ac:dyDescent="0.4">
      <c r="A30" s="3">
        <v>4.5999999999999996</v>
      </c>
      <c r="B30" s="3">
        <v>3.1</v>
      </c>
      <c r="C30" s="3">
        <v>1.5</v>
      </c>
      <c r="D30" s="2">
        <f t="shared" ca="1" si="0"/>
        <v>1.0382489283342677</v>
      </c>
      <c r="E30" s="5" t="s">
        <v>5</v>
      </c>
      <c r="G30">
        <v>0.2</v>
      </c>
      <c r="H30" s="8">
        <f t="shared" ca="1" si="1"/>
        <v>1.0382489283342677</v>
      </c>
      <c r="J30" t="str">
        <f ca="1"/>
        <v>Iris-setosa</v>
      </c>
      <c r="K30">
        <f ca="1"/>
        <v>1</v>
      </c>
      <c r="L30">
        <f ca="1"/>
        <v>4.6513787006853563E-18</v>
      </c>
      <c r="M30">
        <f ca="1"/>
        <v>5.6081076826517535E-275</v>
      </c>
      <c r="P30" s="9"/>
      <c r="Q30" s="8"/>
      <c r="R30" s="8"/>
      <c r="S30" s="8"/>
      <c r="T30" s="7"/>
    </row>
    <row r="31" spans="1:20" x14ac:dyDescent="0.4">
      <c r="A31" s="2">
        <v>5</v>
      </c>
      <c r="B31" s="2">
        <v>3.6</v>
      </c>
      <c r="C31" s="2">
        <v>1.4</v>
      </c>
      <c r="D31" s="2">
        <f t="shared" ca="1" si="0"/>
        <v>1.0278630322659459</v>
      </c>
      <c r="E31" s="4" t="s">
        <v>5</v>
      </c>
      <c r="G31">
        <v>0.2</v>
      </c>
      <c r="H31" s="8">
        <f t="shared" ca="1" si="1"/>
        <v>1.0278630322659459</v>
      </c>
      <c r="J31" t="str">
        <f ca="1"/>
        <v>Iris-setosa</v>
      </c>
      <c r="K31">
        <f ca="1"/>
        <v>1</v>
      </c>
      <c r="L31">
        <f ca="1"/>
        <v>9.6029389352129668E-30</v>
      </c>
      <c r="M31">
        <f ca="1"/>
        <v>0</v>
      </c>
      <c r="P31" s="9"/>
      <c r="Q31" s="8"/>
      <c r="R31" s="8"/>
      <c r="S31" s="8"/>
      <c r="T31" s="7"/>
    </row>
    <row r="32" spans="1:20" x14ac:dyDescent="0.4">
      <c r="A32" s="3">
        <v>5.4</v>
      </c>
      <c r="B32" s="3">
        <v>3.9</v>
      </c>
      <c r="C32" s="3">
        <v>1.7</v>
      </c>
      <c r="D32" s="2">
        <f t="shared" ca="1" si="0"/>
        <v>1.0291099070742944</v>
      </c>
      <c r="E32" s="5" t="s">
        <v>5</v>
      </c>
      <c r="G32">
        <v>0.4</v>
      </c>
      <c r="H32" s="8">
        <f t="shared" ca="1" si="1"/>
        <v>1.0291099070742944</v>
      </c>
      <c r="J32" t="str">
        <f ca="1"/>
        <v>Iris-setosa</v>
      </c>
      <c r="K32">
        <f ca="1"/>
        <v>1</v>
      </c>
      <c r="L32">
        <f ca="1"/>
        <v>6.5599043313372741E-33</v>
      </c>
      <c r="M32">
        <f ca="1"/>
        <v>0</v>
      </c>
      <c r="P32" s="9"/>
      <c r="Q32" s="8"/>
      <c r="R32" s="8"/>
      <c r="S32" s="8"/>
      <c r="T32" s="7"/>
    </row>
    <row r="33" spans="1:20" x14ac:dyDescent="0.4">
      <c r="A33" s="2">
        <v>4.5999999999999996</v>
      </c>
      <c r="B33" s="2">
        <v>3.4</v>
      </c>
      <c r="C33" s="2">
        <v>1.4</v>
      </c>
      <c r="D33" s="2">
        <f t="shared" ca="1" si="0"/>
        <v>0.85440523815028202</v>
      </c>
      <c r="E33" s="4" t="s">
        <v>5</v>
      </c>
      <c r="G33">
        <v>0.3</v>
      </c>
      <c r="H33" s="8">
        <f t="shared" ca="1" si="1"/>
        <v>0.85440523815028202</v>
      </c>
      <c r="J33" t="str">
        <f ca="1"/>
        <v>Iris-setosa</v>
      </c>
      <c r="K33">
        <f ca="1"/>
        <v>1</v>
      </c>
      <c r="L33">
        <f ca="1"/>
        <v>4.307137162644968E-22</v>
      </c>
      <c r="M33">
        <f ca="1"/>
        <v>0</v>
      </c>
      <c r="P33" s="9"/>
      <c r="Q33" s="8"/>
      <c r="R33" s="8"/>
      <c r="S33" s="8"/>
      <c r="T33" s="7"/>
    </row>
    <row r="34" spans="1:20" x14ac:dyDescent="0.4">
      <c r="A34" s="3">
        <v>5</v>
      </c>
      <c r="B34" s="3">
        <v>3.4</v>
      </c>
      <c r="C34" s="3">
        <v>1.5</v>
      </c>
      <c r="D34" s="2">
        <f t="shared" ca="1" si="0"/>
        <v>0.88904854542423162</v>
      </c>
      <c r="E34" s="5" t="s">
        <v>5</v>
      </c>
      <c r="G34">
        <v>0.2</v>
      </c>
      <c r="H34" s="8">
        <f t="shared" ca="1" si="1"/>
        <v>0.88904854542423162</v>
      </c>
      <c r="J34" t="str">
        <f ca="1"/>
        <v>Iris-setosa</v>
      </c>
      <c r="K34">
        <f ca="1"/>
        <v>1</v>
      </c>
      <c r="L34">
        <f ca="1"/>
        <v>1.2989376784889481E-24</v>
      </c>
      <c r="M34">
        <f ca="1"/>
        <v>0</v>
      </c>
      <c r="P34" s="9"/>
      <c r="Q34" s="8"/>
      <c r="R34" s="8"/>
      <c r="S34" s="8"/>
      <c r="T34" s="7"/>
    </row>
    <row r="35" spans="1:20" x14ac:dyDescent="0.4">
      <c r="A35" s="2">
        <v>4.4000000000000004</v>
      </c>
      <c r="B35" s="2">
        <v>2.9</v>
      </c>
      <c r="C35" s="2">
        <v>1.4</v>
      </c>
      <c r="D35" s="2">
        <f t="shared" ca="1" si="0"/>
        <v>0.41732058188370674</v>
      </c>
      <c r="E35" s="4" t="s">
        <v>5</v>
      </c>
      <c r="G35">
        <v>0.2</v>
      </c>
      <c r="H35" s="8">
        <f t="shared" ca="1" si="1"/>
        <v>0.41732058188370674</v>
      </c>
      <c r="J35" t="str">
        <f ca="1"/>
        <v>Iris-setosa</v>
      </c>
      <c r="K35">
        <f ca="1"/>
        <v>0.99999999981859466</v>
      </c>
      <c r="L35">
        <f ca="1"/>
        <v>1.8140528710394325E-10</v>
      </c>
      <c r="M35">
        <f ca="1"/>
        <v>1.589925338150275E-300</v>
      </c>
      <c r="P35" s="9"/>
      <c r="Q35" s="8"/>
      <c r="R35" s="8"/>
      <c r="S35" s="8"/>
      <c r="T35" s="7"/>
    </row>
    <row r="36" spans="1:20" x14ac:dyDescent="0.4">
      <c r="A36" s="3">
        <v>4.9000000000000004</v>
      </c>
      <c r="B36" s="3">
        <v>3.1</v>
      </c>
      <c r="C36" s="3">
        <v>1.5</v>
      </c>
      <c r="D36" s="2">
        <f t="shared" ca="1" si="0"/>
        <v>0.74674845976956861</v>
      </c>
      <c r="E36" s="5" t="s">
        <v>5</v>
      </c>
      <c r="G36">
        <v>0.1</v>
      </c>
      <c r="H36" s="8">
        <f t="shared" ca="1" si="1"/>
        <v>0.74674845976956861</v>
      </c>
      <c r="J36" t="str">
        <f ca="1"/>
        <v>Iris-setosa</v>
      </c>
      <c r="K36">
        <f ca="1"/>
        <v>1</v>
      </c>
      <c r="L36">
        <f ca="1"/>
        <v>1.0208757442413612E-18</v>
      </c>
      <c r="M36">
        <f ca="1"/>
        <v>7.666974126540474E-307</v>
      </c>
      <c r="P36" s="9"/>
      <c r="Q36" s="8"/>
      <c r="R36" s="8"/>
      <c r="S36" s="8"/>
      <c r="T36" s="7"/>
    </row>
    <row r="37" spans="1:20" x14ac:dyDescent="0.4">
      <c r="A37" s="2">
        <v>5.4</v>
      </c>
      <c r="B37" s="2">
        <v>3.7</v>
      </c>
      <c r="C37" s="2">
        <v>1.5</v>
      </c>
      <c r="D37" s="2">
        <f t="shared" ca="1" si="0"/>
        <v>1.0167960695083456</v>
      </c>
      <c r="E37" s="4" t="s">
        <v>5</v>
      </c>
      <c r="G37">
        <v>0.2</v>
      </c>
      <c r="H37" s="8">
        <f t="shared" ca="1" si="1"/>
        <v>1.0167960695083456</v>
      </c>
      <c r="J37" t="str">
        <f ca="1"/>
        <v>Iris-setosa</v>
      </c>
      <c r="K37">
        <f ca="1"/>
        <v>1</v>
      </c>
      <c r="L37">
        <f ca="1"/>
        <v>3.1794086131420997E-33</v>
      </c>
      <c r="M37">
        <f ca="1"/>
        <v>0</v>
      </c>
      <c r="P37" s="9"/>
      <c r="Q37" s="8"/>
      <c r="R37" s="8"/>
      <c r="S37" s="8"/>
      <c r="T37" s="7"/>
    </row>
    <row r="38" spans="1:20" x14ac:dyDescent="0.4">
      <c r="A38" s="3">
        <v>4.8</v>
      </c>
      <c r="B38" s="3">
        <v>3.4</v>
      </c>
      <c r="C38" s="3">
        <v>1.6</v>
      </c>
      <c r="D38" s="2">
        <f t="shared" ca="1" si="0"/>
        <v>0.30118369225803915</v>
      </c>
      <c r="E38" s="5" t="s">
        <v>5</v>
      </c>
      <c r="G38">
        <v>0.2</v>
      </c>
      <c r="H38" s="8">
        <f t="shared" ca="1" si="1"/>
        <v>0.30118369225803915</v>
      </c>
      <c r="J38" t="str">
        <f ca="1"/>
        <v>Iris-setosa</v>
      </c>
      <c r="K38">
        <f ca="1"/>
        <v>1</v>
      </c>
      <c r="L38">
        <f ca="1"/>
        <v>7.3294825203134257E-17</v>
      </c>
      <c r="M38">
        <f ca="1"/>
        <v>0</v>
      </c>
      <c r="P38" s="9"/>
      <c r="Q38" s="8"/>
      <c r="R38" s="8"/>
      <c r="S38" s="8"/>
      <c r="T38" s="7"/>
    </row>
    <row r="39" spans="1:20" x14ac:dyDescent="0.4">
      <c r="A39" s="2">
        <v>4.8</v>
      </c>
      <c r="B39" s="2">
        <v>3</v>
      </c>
      <c r="C39" s="2">
        <v>1.4</v>
      </c>
      <c r="D39" s="2">
        <f t="shared" ca="1" si="0"/>
        <v>0.37559553137400881</v>
      </c>
      <c r="E39" s="4" t="s">
        <v>5</v>
      </c>
      <c r="G39">
        <v>0.1</v>
      </c>
      <c r="H39" s="8">
        <f t="shared" ca="1" si="1"/>
        <v>0.37559553137400881</v>
      </c>
      <c r="J39" t="str">
        <f ca="1"/>
        <v>Iris-setosa</v>
      </c>
      <c r="K39">
        <f ca="1"/>
        <v>0.99999999999999689</v>
      </c>
      <c r="L39">
        <f ca="1"/>
        <v>3.193830131373057E-15</v>
      </c>
      <c r="M39">
        <f ca="1"/>
        <v>0</v>
      </c>
      <c r="P39" s="9"/>
      <c r="Q39" s="8"/>
      <c r="R39" s="8"/>
      <c r="S39" s="8"/>
      <c r="T39" s="7"/>
    </row>
    <row r="40" spans="1:20" x14ac:dyDescent="0.4">
      <c r="A40" s="3">
        <v>4.3</v>
      </c>
      <c r="B40" s="3">
        <v>3</v>
      </c>
      <c r="C40" s="3">
        <v>1.1000000000000001</v>
      </c>
      <c r="D40" s="2">
        <f t="shared" ca="1" si="0"/>
        <v>0.73665326530286868</v>
      </c>
      <c r="E40" s="5" t="s">
        <v>5</v>
      </c>
      <c r="G40">
        <v>0.1</v>
      </c>
      <c r="H40" s="8">
        <f t="shared" ca="1" si="1"/>
        <v>0.73665326530286868</v>
      </c>
      <c r="J40" t="str">
        <f ca="1"/>
        <v>Iris-setosa</v>
      </c>
      <c r="K40">
        <f ca="1"/>
        <v>1</v>
      </c>
      <c r="L40">
        <f ca="1"/>
        <v>1.0539397849072286E-17</v>
      </c>
      <c r="M40">
        <f ca="1"/>
        <v>0</v>
      </c>
      <c r="P40" s="9"/>
      <c r="Q40" s="8"/>
      <c r="R40" s="8"/>
      <c r="S40" s="8"/>
      <c r="T40" s="7"/>
    </row>
    <row r="41" spans="1:20" x14ac:dyDescent="0.4">
      <c r="A41" s="2">
        <v>5.8</v>
      </c>
      <c r="B41" s="2">
        <v>4</v>
      </c>
      <c r="C41" s="2">
        <v>1.2</v>
      </c>
      <c r="D41" s="2">
        <f t="shared" ca="1" si="0"/>
        <v>1.1490845132359417</v>
      </c>
      <c r="E41" s="4" t="s">
        <v>5</v>
      </c>
      <c r="G41">
        <v>0.2</v>
      </c>
      <c r="H41" s="8">
        <f t="shared" ca="1" si="1"/>
        <v>1.1490845132359417</v>
      </c>
      <c r="J41" t="str">
        <f ca="1"/>
        <v>Iris-setosa</v>
      </c>
      <c r="K41">
        <f ca="1"/>
        <v>1</v>
      </c>
      <c r="L41">
        <f ca="1"/>
        <v>2.2455408799927147E-46</v>
      </c>
      <c r="M41">
        <f ca="1"/>
        <v>0</v>
      </c>
      <c r="P41" s="9"/>
      <c r="Q41" s="8"/>
      <c r="R41" s="8"/>
      <c r="S41" s="8"/>
      <c r="T41" s="7"/>
    </row>
    <row r="42" spans="1:20" x14ac:dyDescent="0.4">
      <c r="A42" s="3">
        <v>5.7</v>
      </c>
      <c r="B42" s="3">
        <v>4.4000000000000004</v>
      </c>
      <c r="C42" s="3">
        <v>1.5</v>
      </c>
      <c r="D42" s="2">
        <f t="shared" ca="1" si="0"/>
        <v>1.0127842826488913</v>
      </c>
      <c r="E42" s="5" t="s">
        <v>5</v>
      </c>
      <c r="G42">
        <v>0.4</v>
      </c>
      <c r="H42" s="8">
        <f t="shared" ca="1" si="1"/>
        <v>1.0127842826488913</v>
      </c>
      <c r="J42" t="str">
        <f ca="1"/>
        <v>Iris-setosa</v>
      </c>
      <c r="K42">
        <f ca="1"/>
        <v>1</v>
      </c>
      <c r="L42">
        <f ca="1"/>
        <v>4.1223411531900272E-45</v>
      </c>
      <c r="M42">
        <f ca="1"/>
        <v>0</v>
      </c>
      <c r="P42" s="9"/>
      <c r="Q42" s="8"/>
      <c r="R42" s="8"/>
      <c r="S42" s="8"/>
      <c r="T42" s="7"/>
    </row>
    <row r="43" spans="1:20" x14ac:dyDescent="0.4">
      <c r="A43" s="2">
        <v>5.4</v>
      </c>
      <c r="B43" s="2">
        <v>3.9</v>
      </c>
      <c r="C43" s="2">
        <v>1.3</v>
      </c>
      <c r="D43" s="2">
        <f t="shared" ca="1" si="0"/>
        <v>0.51016622776344833</v>
      </c>
      <c r="E43" s="4" t="s">
        <v>5</v>
      </c>
      <c r="G43">
        <v>0.4</v>
      </c>
      <c r="H43" s="8">
        <f t="shared" ca="1" si="1"/>
        <v>0.51016622776344833</v>
      </c>
      <c r="J43" t="str">
        <f ca="1"/>
        <v>Iris-setosa</v>
      </c>
      <c r="K43">
        <f ca="1"/>
        <v>1</v>
      </c>
      <c r="L43">
        <f ca="1"/>
        <v>4.6098907719112013E-35</v>
      </c>
      <c r="M43">
        <f ca="1"/>
        <v>0</v>
      </c>
      <c r="P43" s="9"/>
      <c r="Q43" s="8"/>
      <c r="R43" s="8"/>
      <c r="S43" s="8"/>
      <c r="T43" s="7"/>
    </row>
    <row r="44" spans="1:20" x14ac:dyDescent="0.4">
      <c r="A44" s="3">
        <v>5.0999999999999996</v>
      </c>
      <c r="B44" s="3">
        <v>3.5</v>
      </c>
      <c r="C44" s="3">
        <v>1.4</v>
      </c>
      <c r="D44" s="2">
        <f t="shared" ca="1" si="0"/>
        <v>0.45712646236760218</v>
      </c>
      <c r="E44" s="5" t="s">
        <v>5</v>
      </c>
      <c r="G44">
        <v>0.3</v>
      </c>
      <c r="H44" s="8">
        <f t="shared" ca="1" si="1"/>
        <v>0.45712646236760218</v>
      </c>
      <c r="J44" t="str">
        <f ca="1"/>
        <v>Iris-setosa</v>
      </c>
      <c r="K44">
        <f ca="1"/>
        <v>1</v>
      </c>
      <c r="L44">
        <f ca="1"/>
        <v>3.7991497719432683E-25</v>
      </c>
      <c r="M44">
        <f ca="1"/>
        <v>0</v>
      </c>
      <c r="P44" s="9"/>
      <c r="Q44" s="8"/>
      <c r="R44" s="8"/>
      <c r="S44" s="8"/>
      <c r="T44" s="7"/>
    </row>
    <row r="45" spans="1:20" x14ac:dyDescent="0.4">
      <c r="A45" s="2">
        <v>5.7</v>
      </c>
      <c r="B45" s="2">
        <v>3.8</v>
      </c>
      <c r="C45" s="2">
        <v>1.7</v>
      </c>
      <c r="D45" s="2">
        <f t="shared" ca="1" si="0"/>
        <v>0.95582083901564707</v>
      </c>
      <c r="E45" s="4" t="s">
        <v>5</v>
      </c>
      <c r="G45">
        <v>0.3</v>
      </c>
      <c r="H45" s="8">
        <f t="shared" ca="1" si="1"/>
        <v>0.95582083901564707</v>
      </c>
      <c r="J45" t="str">
        <f ca="1"/>
        <v>Iris-setosa</v>
      </c>
      <c r="K45">
        <f ca="1"/>
        <v>1</v>
      </c>
      <c r="L45">
        <f ca="1"/>
        <v>6.8605382610172731E-34</v>
      </c>
      <c r="M45">
        <f ca="1"/>
        <v>0</v>
      </c>
      <c r="P45" s="9"/>
      <c r="Q45" s="8"/>
      <c r="R45" s="8"/>
      <c r="S45" s="8"/>
      <c r="T45" s="7"/>
    </row>
    <row r="46" spans="1:20" x14ac:dyDescent="0.4">
      <c r="A46" s="3">
        <v>5.0999999999999996</v>
      </c>
      <c r="B46" s="3">
        <v>3.8</v>
      </c>
      <c r="C46" s="3">
        <v>1.5</v>
      </c>
      <c r="D46" s="2">
        <f t="shared" ca="1" si="0"/>
        <v>1.196500240295419</v>
      </c>
      <c r="E46" s="5" t="s">
        <v>5</v>
      </c>
      <c r="G46">
        <v>0.3</v>
      </c>
      <c r="H46" s="8">
        <f t="shared" ca="1" si="1"/>
        <v>1.196500240295419</v>
      </c>
      <c r="J46" t="str">
        <f ca="1"/>
        <v>Iris-setosa</v>
      </c>
      <c r="K46">
        <f ca="1"/>
        <v>1</v>
      </c>
      <c r="L46">
        <f ca="1"/>
        <v>4.9249714771516609E-33</v>
      </c>
      <c r="M46">
        <f ca="1"/>
        <v>0</v>
      </c>
      <c r="P46" s="9"/>
      <c r="Q46" s="8"/>
      <c r="R46" s="8"/>
      <c r="S46" s="8"/>
      <c r="T46" s="7"/>
    </row>
    <row r="47" spans="1:20" x14ac:dyDescent="0.4">
      <c r="A47" s="2">
        <v>5.4</v>
      </c>
      <c r="B47" s="2">
        <v>3.4</v>
      </c>
      <c r="C47" s="2">
        <v>1.7</v>
      </c>
      <c r="D47" s="2">
        <f t="shared" ca="1" si="0"/>
        <v>0.60483060543764977</v>
      </c>
      <c r="E47" s="4" t="s">
        <v>5</v>
      </c>
      <c r="G47">
        <v>0.2</v>
      </c>
      <c r="H47" s="8">
        <f t="shared" ca="1" si="1"/>
        <v>0.60483060543764977</v>
      </c>
      <c r="J47" t="str">
        <f ca="1"/>
        <v>Iris-setosa</v>
      </c>
      <c r="K47">
        <f ca="1"/>
        <v>1</v>
      </c>
      <c r="L47">
        <f ca="1"/>
        <v>2.9080255860326203E-23</v>
      </c>
      <c r="M47">
        <f ca="1"/>
        <v>0</v>
      </c>
      <c r="P47" s="9"/>
      <c r="Q47" s="8"/>
      <c r="R47" s="8"/>
      <c r="S47" s="8"/>
      <c r="T47" s="7"/>
    </row>
    <row r="48" spans="1:20" x14ac:dyDescent="0.4">
      <c r="A48" s="3">
        <v>5.0999999999999996</v>
      </c>
      <c r="B48" s="3">
        <v>3.7</v>
      </c>
      <c r="C48" s="3">
        <v>1.5</v>
      </c>
      <c r="D48" s="2">
        <f t="shared" ca="1" si="0"/>
        <v>1.3231385087538639</v>
      </c>
      <c r="E48" s="5" t="s">
        <v>5</v>
      </c>
      <c r="G48">
        <v>0.4</v>
      </c>
      <c r="H48" s="8">
        <f t="shared" ca="1" si="1"/>
        <v>1.3231385087538639</v>
      </c>
      <c r="J48" t="str">
        <f ca="1"/>
        <v>Iris-setosa</v>
      </c>
      <c r="K48">
        <f ca="1"/>
        <v>1</v>
      </c>
      <c r="L48">
        <f ca="1"/>
        <v>1.1238406603644472E-32</v>
      </c>
      <c r="M48">
        <f ca="1"/>
        <v>0</v>
      </c>
      <c r="P48" s="9"/>
      <c r="Q48" s="8"/>
      <c r="R48" s="8"/>
      <c r="S48" s="8"/>
      <c r="T48" s="7"/>
    </row>
    <row r="49" spans="1:20" x14ac:dyDescent="0.4">
      <c r="A49" s="2">
        <v>4.5999999999999996</v>
      </c>
      <c r="B49" s="2">
        <v>3.6</v>
      </c>
      <c r="C49" s="2">
        <v>1</v>
      </c>
      <c r="D49" s="2">
        <f t="shared" ca="1" si="0"/>
        <v>0.98983418836325865</v>
      </c>
      <c r="E49" s="4" t="s">
        <v>5</v>
      </c>
      <c r="G49">
        <v>0.2</v>
      </c>
      <c r="H49" s="8">
        <f t="shared" ca="1" si="1"/>
        <v>0.98983418836325865</v>
      </c>
      <c r="J49" t="str">
        <f ca="1"/>
        <v>Iris-setosa</v>
      </c>
      <c r="K49">
        <f ca="1"/>
        <v>1</v>
      </c>
      <c r="L49">
        <f ca="1"/>
        <v>1.0522068767550007E-31</v>
      </c>
      <c r="M49">
        <f ca="1"/>
        <v>0</v>
      </c>
      <c r="P49" s="9"/>
      <c r="Q49" s="8"/>
      <c r="R49" s="8"/>
      <c r="S49" s="8"/>
      <c r="T49" s="7"/>
    </row>
    <row r="50" spans="1:20" x14ac:dyDescent="0.4">
      <c r="A50" s="3">
        <v>5.0999999999999996</v>
      </c>
      <c r="B50" s="3">
        <v>3.3</v>
      </c>
      <c r="C50" s="3">
        <v>1.7</v>
      </c>
      <c r="D50" s="2">
        <f t="shared" ca="1" si="0"/>
        <v>1.1774048277829476</v>
      </c>
      <c r="E50" s="5" t="s">
        <v>5</v>
      </c>
      <c r="G50">
        <v>0.5</v>
      </c>
      <c r="H50" s="8">
        <f t="shared" ca="1" si="1"/>
        <v>1.1774048277829476</v>
      </c>
      <c r="J50" t="str">
        <f ca="1"/>
        <v>Iris-setosa</v>
      </c>
      <c r="K50">
        <f ca="1"/>
        <v>1</v>
      </c>
      <c r="L50">
        <f ca="1"/>
        <v>2.1543532964179407E-23</v>
      </c>
      <c r="M50">
        <f ca="1"/>
        <v>4.2040458807188795E-283</v>
      </c>
      <c r="P50" s="9"/>
      <c r="Q50" s="8"/>
      <c r="R50" s="8"/>
      <c r="S50" s="8"/>
      <c r="T50" s="7"/>
    </row>
    <row r="51" spans="1:20" x14ac:dyDescent="0.4">
      <c r="A51" s="2">
        <v>4.8</v>
      </c>
      <c r="B51" s="2">
        <v>3.4</v>
      </c>
      <c r="C51" s="2">
        <v>1.9</v>
      </c>
      <c r="D51" s="2">
        <f t="shared" ca="1" si="0"/>
        <v>0.68915646715664347</v>
      </c>
      <c r="E51" s="4" t="s">
        <v>5</v>
      </c>
      <c r="G51">
        <v>0.2</v>
      </c>
      <c r="H51" s="8">
        <f t="shared" ca="1" si="1"/>
        <v>0.68915646715664347</v>
      </c>
      <c r="J51" t="str">
        <f ca="1"/>
        <v>Iris-setosa</v>
      </c>
      <c r="K51">
        <f ca="1"/>
        <v>0.99999999999999689</v>
      </c>
      <c r="L51">
        <f ca="1"/>
        <v>3.0842692676632556E-15</v>
      </c>
      <c r="M51">
        <f ca="1"/>
        <v>1.3005598198038525E-283</v>
      </c>
      <c r="P51" s="9"/>
      <c r="Q51" s="8"/>
      <c r="R51" s="8"/>
      <c r="S51" s="8"/>
      <c r="T51" s="7"/>
    </row>
    <row r="52" spans="1:20" x14ac:dyDescent="0.4">
      <c r="A52" s="3">
        <v>5</v>
      </c>
      <c r="B52" s="3">
        <v>3</v>
      </c>
      <c r="C52" s="3">
        <v>1.6</v>
      </c>
      <c r="D52" s="2">
        <f t="shared" ca="1" si="0"/>
        <v>0.20710884936396573</v>
      </c>
      <c r="E52" s="5" t="s">
        <v>5</v>
      </c>
      <c r="G52">
        <v>0.2</v>
      </c>
      <c r="H52" s="8">
        <f t="shared" ca="1" si="1"/>
        <v>0.20710884936396573</v>
      </c>
      <c r="J52" t="str">
        <f ca="1"/>
        <v>Iris-setosa</v>
      </c>
      <c r="K52">
        <f ca="1"/>
        <v>0.99999999999924616</v>
      </c>
      <c r="L52">
        <f ca="1"/>
        <v>7.5383339615002837E-13</v>
      </c>
      <c r="M52">
        <f ca="1"/>
        <v>0</v>
      </c>
      <c r="P52" s="9"/>
      <c r="Q52" s="8"/>
      <c r="R52" s="8"/>
      <c r="S52" s="8"/>
      <c r="T52" s="7"/>
    </row>
    <row r="53" spans="1:20" x14ac:dyDescent="0.4">
      <c r="A53" s="2">
        <v>5</v>
      </c>
      <c r="B53" s="2">
        <v>3.4</v>
      </c>
      <c r="C53" s="2">
        <v>1.6</v>
      </c>
      <c r="D53" s="2">
        <f t="shared" ca="1" si="0"/>
        <v>0.70358178337779631</v>
      </c>
      <c r="E53" s="4" t="s">
        <v>5</v>
      </c>
      <c r="G53">
        <v>0.4</v>
      </c>
      <c r="H53" s="8">
        <f t="shared" ca="1" si="1"/>
        <v>0.70358178337779631</v>
      </c>
      <c r="J53" t="str">
        <f ca="1"/>
        <v>Iris-setosa</v>
      </c>
      <c r="K53">
        <f ca="1"/>
        <v>1</v>
      </c>
      <c r="L53">
        <f ca="1"/>
        <v>9.847048308226E-22</v>
      </c>
      <c r="M53">
        <f ca="1"/>
        <v>0</v>
      </c>
      <c r="P53" s="9"/>
      <c r="Q53" s="8"/>
      <c r="R53" s="8"/>
      <c r="S53" s="8"/>
      <c r="T53" s="7"/>
    </row>
    <row r="54" spans="1:20" x14ac:dyDescent="0.4">
      <c r="A54" s="3">
        <v>5.2</v>
      </c>
      <c r="B54" s="3">
        <v>3.5</v>
      </c>
      <c r="C54" s="3">
        <v>1.5</v>
      </c>
      <c r="D54" s="2">
        <f t="shared" ca="1" si="0"/>
        <v>0.50616606710515732</v>
      </c>
      <c r="E54" s="5" t="s">
        <v>5</v>
      </c>
      <c r="G54">
        <v>0.2</v>
      </c>
      <c r="H54" s="8">
        <f t="shared" ca="1" si="1"/>
        <v>0.50616606710515732</v>
      </c>
      <c r="J54" t="str">
        <f ca="1"/>
        <v>Iris-setosa</v>
      </c>
      <c r="K54">
        <f ca="1"/>
        <v>1</v>
      </c>
      <c r="L54">
        <f ca="1"/>
        <v>5.9717854939492642E-25</v>
      </c>
      <c r="M54">
        <f ca="1"/>
        <v>0</v>
      </c>
      <c r="P54" s="9"/>
      <c r="Q54" s="8"/>
      <c r="R54" s="8"/>
      <c r="S54" s="8"/>
      <c r="T54" s="7"/>
    </row>
    <row r="55" spans="1:20" x14ac:dyDescent="0.4">
      <c r="A55" s="2">
        <v>5.2</v>
      </c>
      <c r="B55" s="2">
        <v>3.4</v>
      </c>
      <c r="C55" s="2">
        <v>1.4</v>
      </c>
      <c r="D55" s="2">
        <f t="shared" ca="1" si="0"/>
        <v>1.0330573719401079</v>
      </c>
      <c r="E55" s="4" t="s">
        <v>5</v>
      </c>
      <c r="G55">
        <v>0.2</v>
      </c>
      <c r="H55" s="8">
        <f t="shared" ca="1" si="1"/>
        <v>1.0330573719401079</v>
      </c>
      <c r="J55" t="str">
        <f ca="1"/>
        <v>Iris-setosa</v>
      </c>
      <c r="K55">
        <f ca="1"/>
        <v>1</v>
      </c>
      <c r="L55">
        <f ca="1"/>
        <v>4.5623998241629661E-29</v>
      </c>
      <c r="M55">
        <f ca="1"/>
        <v>0</v>
      </c>
      <c r="P55" s="9"/>
      <c r="Q55" s="8"/>
      <c r="R55" s="8"/>
      <c r="S55" s="8"/>
      <c r="T55" s="7"/>
    </row>
    <row r="56" spans="1:20" x14ac:dyDescent="0.4">
      <c r="A56" s="3">
        <v>4.7</v>
      </c>
      <c r="B56" s="3">
        <v>3.2</v>
      </c>
      <c r="C56" s="3">
        <v>1.6</v>
      </c>
      <c r="D56" s="2">
        <f t="shared" ca="1" si="0"/>
        <v>0.77401970554015431</v>
      </c>
      <c r="E56" s="5" t="s">
        <v>5</v>
      </c>
      <c r="G56">
        <v>0.2</v>
      </c>
      <c r="H56" s="8">
        <f t="shared" ca="1" si="1"/>
        <v>0.77401970554015431</v>
      </c>
      <c r="J56" t="str">
        <f ca="1"/>
        <v>Iris-setosa</v>
      </c>
      <c r="K56">
        <f ca="1"/>
        <v>1</v>
      </c>
      <c r="L56">
        <f ca="1"/>
        <v>7.7990885268671578E-17</v>
      </c>
      <c r="M56">
        <f ca="1"/>
        <v>2.5678264110193639E-291</v>
      </c>
      <c r="P56" s="9"/>
      <c r="Q56" s="8"/>
      <c r="R56" s="8"/>
      <c r="S56" s="8"/>
      <c r="T56" s="7"/>
    </row>
    <row r="57" spans="1:20" x14ac:dyDescent="0.4">
      <c r="A57" s="2">
        <v>4.8</v>
      </c>
      <c r="B57" s="2">
        <v>3.1</v>
      </c>
      <c r="C57" s="2">
        <v>1.6</v>
      </c>
      <c r="D57" s="2">
        <f t="shared" ca="1" si="0"/>
        <v>1.1169322498699048</v>
      </c>
      <c r="E57" s="4" t="s">
        <v>5</v>
      </c>
      <c r="G57">
        <v>0.2</v>
      </c>
      <c r="H57" s="8">
        <f t="shared" ca="1" si="1"/>
        <v>1.1169322498699048</v>
      </c>
      <c r="J57" t="str">
        <f ca="1"/>
        <v>Iris-setosa</v>
      </c>
      <c r="K57">
        <f ca="1"/>
        <v>1</v>
      </c>
      <c r="L57">
        <f ca="1"/>
        <v>5.0405521089470735E-19</v>
      </c>
      <c r="M57">
        <f ca="1"/>
        <v>8.9011455670824684E-271</v>
      </c>
      <c r="P57" s="9"/>
      <c r="Q57" s="8"/>
      <c r="R57" s="8"/>
      <c r="S57" s="8"/>
      <c r="T57" s="7"/>
    </row>
    <row r="58" spans="1:20" x14ac:dyDescent="0.4">
      <c r="A58" s="3">
        <v>5.4</v>
      </c>
      <c r="B58" s="3">
        <v>3.4</v>
      </c>
      <c r="C58" s="3">
        <v>1.5</v>
      </c>
      <c r="D58" s="2">
        <f t="shared" ca="1" si="0"/>
        <v>0.94350704816390518</v>
      </c>
      <c r="E58" s="5" t="s">
        <v>5</v>
      </c>
      <c r="G58">
        <v>0.4</v>
      </c>
      <c r="H58" s="8">
        <f t="shared" ca="1" si="1"/>
        <v>0.94350704816390518</v>
      </c>
      <c r="J58" t="str">
        <f ca="1"/>
        <v>Iris-setosa</v>
      </c>
      <c r="K58">
        <f ca="1"/>
        <v>1</v>
      </c>
      <c r="L58">
        <f ca="1"/>
        <v>8.7857244672926363E-29</v>
      </c>
      <c r="M58">
        <f ca="1"/>
        <v>0</v>
      </c>
      <c r="P58" s="9"/>
      <c r="Q58" s="8"/>
      <c r="R58" s="8"/>
      <c r="S58" s="8"/>
      <c r="T58" s="7"/>
    </row>
    <row r="59" spans="1:20" x14ac:dyDescent="0.4">
      <c r="A59" s="2">
        <v>5.2</v>
      </c>
      <c r="B59" s="2">
        <v>4.0999999999999996</v>
      </c>
      <c r="C59" s="2">
        <v>1.5</v>
      </c>
      <c r="D59" s="2">
        <f t="shared" ref="D59:D90" ca="1" si="2">H59</f>
        <v>0.22305026041347956</v>
      </c>
      <c r="E59" s="4" t="s">
        <v>5</v>
      </c>
      <c r="G59">
        <v>0.1</v>
      </c>
      <c r="H59" s="8">
        <f t="shared" ca="1" si="1"/>
        <v>0.22305026041347956</v>
      </c>
      <c r="J59" t="str">
        <f ca="1"/>
        <v>Iris-setosa</v>
      </c>
      <c r="K59">
        <f ca="1"/>
        <v>1</v>
      </c>
      <c r="L59">
        <f ca="1"/>
        <v>1.2165530184747096E-30</v>
      </c>
      <c r="M59">
        <f ca="1"/>
        <v>0</v>
      </c>
      <c r="P59" s="9"/>
      <c r="Q59" s="8"/>
      <c r="R59" s="8"/>
      <c r="S59" s="8"/>
      <c r="T59" s="7"/>
    </row>
    <row r="60" spans="1:20" x14ac:dyDescent="0.4">
      <c r="A60" s="3">
        <v>5.5</v>
      </c>
      <c r="B60" s="3">
        <v>4.2</v>
      </c>
      <c r="C60" s="3">
        <v>1.4</v>
      </c>
      <c r="D60" s="2">
        <f t="shared" ca="1" si="2"/>
        <v>0.85975581416530655</v>
      </c>
      <c r="E60" s="5" t="s">
        <v>5</v>
      </c>
      <c r="G60">
        <v>0.2</v>
      </c>
      <c r="H60" s="8">
        <f t="shared" ca="1" si="1"/>
        <v>0.85975581416530655</v>
      </c>
      <c r="J60" t="str">
        <f ca="1"/>
        <v>Iris-setosa</v>
      </c>
      <c r="K60">
        <f ca="1"/>
        <v>1</v>
      </c>
      <c r="L60">
        <f ca="1"/>
        <v>5.3767211378243886E-41</v>
      </c>
      <c r="M60">
        <f ca="1"/>
        <v>0</v>
      </c>
      <c r="P60" s="9"/>
      <c r="Q60" s="8"/>
      <c r="R60" s="8"/>
      <c r="S60" s="8"/>
      <c r="T60" s="7"/>
    </row>
    <row r="61" spans="1:20" x14ac:dyDescent="0.4">
      <c r="A61" s="2">
        <v>4.9000000000000004</v>
      </c>
      <c r="B61" s="2">
        <v>3.1</v>
      </c>
      <c r="C61" s="2">
        <v>1.5</v>
      </c>
      <c r="D61" s="2">
        <f t="shared" ca="1" si="2"/>
        <v>0.31969437037131454</v>
      </c>
      <c r="E61" s="4" t="s">
        <v>5</v>
      </c>
      <c r="G61">
        <v>0.1</v>
      </c>
      <c r="H61" s="8">
        <f t="shared" ca="1" si="1"/>
        <v>0.31969437037131454</v>
      </c>
      <c r="J61" t="str">
        <f ca="1"/>
        <v>Iris-setosa</v>
      </c>
      <c r="K61">
        <f ca="1"/>
        <v>0.99999999999999845</v>
      </c>
      <c r="L61">
        <f ca="1"/>
        <v>1.5179354246822086E-15</v>
      </c>
      <c r="M61">
        <f ca="1"/>
        <v>0</v>
      </c>
      <c r="P61" s="9"/>
      <c r="Q61" s="8"/>
      <c r="R61" s="8"/>
      <c r="S61" s="8"/>
      <c r="T61" s="7"/>
    </row>
    <row r="62" spans="1:20" x14ac:dyDescent="0.4">
      <c r="A62" s="3">
        <v>5</v>
      </c>
      <c r="B62" s="3">
        <v>3.2</v>
      </c>
      <c r="C62" s="3">
        <v>1.2</v>
      </c>
      <c r="D62" s="2">
        <f t="shared" ca="1" si="2"/>
        <v>1.0734662663707339</v>
      </c>
      <c r="E62" s="5" t="s">
        <v>5</v>
      </c>
      <c r="G62">
        <v>0.2</v>
      </c>
      <c r="H62" s="8">
        <f t="shared" ca="1" si="1"/>
        <v>1.0734662663707339</v>
      </c>
      <c r="J62" t="str">
        <f ca="1"/>
        <v>Iris-setosa</v>
      </c>
      <c r="K62">
        <f ca="1"/>
        <v>1</v>
      </c>
      <c r="L62">
        <f ca="1"/>
        <v>6.8492222435690144E-28</v>
      </c>
      <c r="M62">
        <f ca="1"/>
        <v>0</v>
      </c>
      <c r="P62" s="9"/>
      <c r="Q62" s="8"/>
      <c r="R62" s="8"/>
      <c r="S62" s="8"/>
      <c r="T62" s="7"/>
    </row>
    <row r="63" spans="1:20" x14ac:dyDescent="0.4">
      <c r="A63" s="2">
        <v>5.5</v>
      </c>
      <c r="B63" s="2">
        <v>3.5</v>
      </c>
      <c r="C63" s="2">
        <v>1.3</v>
      </c>
      <c r="D63" s="2">
        <f t="shared" ca="1" si="2"/>
        <v>0.38166302899361565</v>
      </c>
      <c r="E63" s="4" t="s">
        <v>5</v>
      </c>
      <c r="G63">
        <v>0.2</v>
      </c>
      <c r="H63" s="8">
        <f t="shared" ca="1" si="1"/>
        <v>0.38166302899361565</v>
      </c>
      <c r="J63" t="str">
        <f ca="1"/>
        <v>Iris-setosa</v>
      </c>
      <c r="K63">
        <f ca="1"/>
        <v>1</v>
      </c>
      <c r="L63">
        <f ca="1"/>
        <v>7.4637269684072526E-30</v>
      </c>
      <c r="M63">
        <f ca="1"/>
        <v>0</v>
      </c>
      <c r="P63" s="9"/>
      <c r="Q63" s="8"/>
      <c r="R63" s="8"/>
      <c r="S63" s="8"/>
      <c r="T63" s="7"/>
    </row>
    <row r="64" spans="1:20" x14ac:dyDescent="0.4">
      <c r="A64" s="3">
        <v>4.9000000000000004</v>
      </c>
      <c r="B64" s="3">
        <v>3.1</v>
      </c>
      <c r="C64" s="3">
        <v>1.5</v>
      </c>
      <c r="D64" s="2">
        <f t="shared" ca="1" si="2"/>
        <v>0.61469581588808386</v>
      </c>
      <c r="E64" s="5" t="s">
        <v>5</v>
      </c>
      <c r="G64">
        <v>0.1</v>
      </c>
      <c r="H64" s="8">
        <f t="shared" ca="1" si="1"/>
        <v>0.61469581588808386</v>
      </c>
      <c r="J64" t="str">
        <f ca="1"/>
        <v>Iris-setosa</v>
      </c>
      <c r="K64">
        <f ca="1"/>
        <v>1</v>
      </c>
      <c r="L64">
        <f ca="1"/>
        <v>9.7700738146280123E-18</v>
      </c>
      <c r="M64">
        <f ca="1"/>
        <v>0</v>
      </c>
      <c r="P64" s="9"/>
      <c r="Q64" s="8"/>
      <c r="R64" s="8"/>
      <c r="S64" s="8"/>
      <c r="T64" s="7"/>
    </row>
    <row r="65" spans="1:20" x14ac:dyDescent="0.4">
      <c r="A65" s="2">
        <v>4.4000000000000004</v>
      </c>
      <c r="B65" s="2">
        <v>3</v>
      </c>
      <c r="C65" s="2">
        <v>1.3</v>
      </c>
      <c r="D65" s="2">
        <f t="shared" ca="1" si="2"/>
        <v>0.23230504045853501</v>
      </c>
      <c r="E65" s="4" t="s">
        <v>5</v>
      </c>
      <c r="G65">
        <v>0.2</v>
      </c>
      <c r="H65" s="8">
        <f t="shared" ca="1" si="1"/>
        <v>0.23230504045853501</v>
      </c>
      <c r="J65" t="str">
        <f ca="1"/>
        <v>Iris-setosa</v>
      </c>
      <c r="K65">
        <f ca="1"/>
        <v>0.99999999999320832</v>
      </c>
      <c r="L65">
        <f ca="1"/>
        <v>6.7916403717531757E-12</v>
      </c>
      <c r="M65">
        <f ca="1"/>
        <v>0</v>
      </c>
      <c r="P65" s="9"/>
      <c r="Q65" s="8"/>
      <c r="R65" s="8"/>
      <c r="S65" s="8"/>
      <c r="T65" s="7"/>
    </row>
    <row r="66" spans="1:20" x14ac:dyDescent="0.4">
      <c r="A66" s="3">
        <v>5.0999999999999996</v>
      </c>
      <c r="B66" s="3">
        <v>3.4</v>
      </c>
      <c r="C66" s="3">
        <v>1.5</v>
      </c>
      <c r="D66" s="2">
        <f t="shared" ca="1" si="2"/>
        <v>0.34581982620601065</v>
      </c>
      <c r="E66" s="5" t="s">
        <v>5</v>
      </c>
      <c r="G66">
        <v>0.2</v>
      </c>
      <c r="H66" s="8">
        <f t="shared" ca="1" si="1"/>
        <v>0.34581982620601065</v>
      </c>
      <c r="J66" t="str">
        <f ca="1"/>
        <v>Iris-setosa</v>
      </c>
      <c r="K66">
        <f ca="1"/>
        <v>1</v>
      </c>
      <c r="L66">
        <f ca="1"/>
        <v>1.6126046315231203E-21</v>
      </c>
      <c r="M66">
        <f ca="1"/>
        <v>0</v>
      </c>
      <c r="P66" s="9"/>
      <c r="Q66" s="8"/>
      <c r="R66" s="8"/>
      <c r="S66" s="8"/>
      <c r="T66" s="7"/>
    </row>
    <row r="67" spans="1:20" x14ac:dyDescent="0.4">
      <c r="A67" s="2">
        <v>5</v>
      </c>
      <c r="B67" s="2">
        <v>3.5</v>
      </c>
      <c r="C67" s="2">
        <v>1.3</v>
      </c>
      <c r="D67" s="2">
        <f t="shared" ca="1" si="2"/>
        <v>0.40358942061355912</v>
      </c>
      <c r="E67" s="4" t="s">
        <v>5</v>
      </c>
      <c r="G67">
        <v>0.3</v>
      </c>
      <c r="H67" s="8">
        <f t="shared" ca="1" si="1"/>
        <v>0.40358942061355912</v>
      </c>
      <c r="J67" t="str">
        <f ca="1"/>
        <v>Iris-setosa</v>
      </c>
      <c r="K67">
        <f ca="1"/>
        <v>1</v>
      </c>
      <c r="L67">
        <f ca="1"/>
        <v>2.6102186229715858E-25</v>
      </c>
      <c r="M67">
        <f ca="1"/>
        <v>0</v>
      </c>
      <c r="P67" s="9"/>
      <c r="Q67" s="8"/>
      <c r="R67" s="8"/>
      <c r="S67" s="8"/>
      <c r="T67" s="7"/>
    </row>
    <row r="68" spans="1:20" x14ac:dyDescent="0.4">
      <c r="A68" s="3">
        <v>4.5</v>
      </c>
      <c r="B68" s="3">
        <v>2.2999999999999998</v>
      </c>
      <c r="C68" s="3">
        <v>1.3</v>
      </c>
      <c r="D68" s="2">
        <f t="shared" ca="1" si="2"/>
        <v>0.69868575912616881</v>
      </c>
      <c r="E68" s="5" t="s">
        <v>5</v>
      </c>
      <c r="G68">
        <v>0.3</v>
      </c>
      <c r="H68" s="8">
        <f t="shared" ca="1" si="1"/>
        <v>0.69868575912616881</v>
      </c>
      <c r="J68" t="str">
        <f ca="1"/>
        <v>Iris-setosa</v>
      </c>
      <c r="K68">
        <f ca="1"/>
        <v>0.99999966940946616</v>
      </c>
      <c r="L68">
        <f ca="1"/>
        <v>3.3059053382470815E-7</v>
      </c>
      <c r="M68">
        <f ca="1"/>
        <v>1.2897932748049456E-266</v>
      </c>
      <c r="P68" s="9"/>
      <c r="Q68" s="8"/>
      <c r="R68" s="8"/>
      <c r="S68" s="8"/>
      <c r="T68" s="7"/>
    </row>
    <row r="69" spans="1:20" x14ac:dyDescent="0.4">
      <c r="A69" s="2">
        <v>4.4000000000000004</v>
      </c>
      <c r="B69" s="2">
        <v>3.2</v>
      </c>
      <c r="C69" s="2">
        <v>1.3</v>
      </c>
      <c r="D69" s="2">
        <f t="shared" ca="1" si="2"/>
        <v>0.31376614022874466</v>
      </c>
      <c r="E69" s="4" t="s">
        <v>5</v>
      </c>
      <c r="G69">
        <v>0.2</v>
      </c>
      <c r="H69" s="8">
        <f t="shared" ca="1" si="1"/>
        <v>0.31376614022874466</v>
      </c>
      <c r="J69" t="str">
        <f ca="1"/>
        <v>Iris-setosa</v>
      </c>
      <c r="K69">
        <f ca="1"/>
        <v>0.99999999999999578</v>
      </c>
      <c r="L69">
        <f ca="1"/>
        <v>4.2544688544520344E-15</v>
      </c>
      <c r="M69">
        <f ca="1"/>
        <v>0</v>
      </c>
      <c r="P69" s="9"/>
      <c r="Q69" s="8"/>
      <c r="R69" s="8"/>
      <c r="S69" s="8"/>
      <c r="T69" s="7"/>
    </row>
    <row r="70" spans="1:20" x14ac:dyDescent="0.4">
      <c r="A70" s="3">
        <v>5</v>
      </c>
      <c r="B70" s="3">
        <v>3.5</v>
      </c>
      <c r="C70" s="3">
        <v>1.6</v>
      </c>
      <c r="D70" s="2">
        <f t="shared" ca="1" si="2"/>
        <v>1.157804983778171</v>
      </c>
      <c r="E70" s="5" t="s">
        <v>5</v>
      </c>
      <c r="G70">
        <v>0.6</v>
      </c>
      <c r="H70" s="8">
        <f t="shared" ca="1" si="1"/>
        <v>1.157804983778171</v>
      </c>
      <c r="J70" t="str">
        <f ca="1"/>
        <v>Iris-setosa</v>
      </c>
      <c r="K70">
        <f ca="1"/>
        <v>1</v>
      </c>
      <c r="L70">
        <f ca="1"/>
        <v>2.0902549156371181E-26</v>
      </c>
      <c r="M70">
        <f ca="1"/>
        <v>2.7750467189224373E-299</v>
      </c>
      <c r="P70" s="9"/>
      <c r="Q70" s="8"/>
      <c r="R70" s="8"/>
      <c r="S70" s="8"/>
      <c r="T70" s="7"/>
    </row>
    <row r="71" spans="1:20" x14ac:dyDescent="0.4">
      <c r="A71" s="2">
        <v>5.0999999999999996</v>
      </c>
      <c r="B71" s="2">
        <v>3.8</v>
      </c>
      <c r="C71" s="2">
        <v>1.9</v>
      </c>
      <c r="D71" s="2">
        <f t="shared" ca="1" si="2"/>
        <v>0.85056325124931564</v>
      </c>
      <c r="E71" s="4" t="s">
        <v>5</v>
      </c>
      <c r="G71">
        <v>0.4</v>
      </c>
      <c r="H71" s="8">
        <f t="shared" ca="1" si="1"/>
        <v>0.85056325124931564</v>
      </c>
      <c r="J71" t="str">
        <f ca="1"/>
        <v>Iris-setosa</v>
      </c>
      <c r="K71">
        <f ca="1"/>
        <v>1</v>
      </c>
      <c r="L71">
        <f ca="1"/>
        <v>1.8629129361483422E-24</v>
      </c>
      <c r="M71">
        <f ca="1"/>
        <v>0</v>
      </c>
      <c r="P71" s="9"/>
      <c r="Q71" s="8"/>
      <c r="R71" s="8"/>
      <c r="S71" s="8"/>
      <c r="T71" s="7"/>
    </row>
    <row r="72" spans="1:20" x14ac:dyDescent="0.4">
      <c r="A72" s="3">
        <v>4.8</v>
      </c>
      <c r="B72" s="3">
        <v>3</v>
      </c>
      <c r="C72" s="3">
        <v>1.4</v>
      </c>
      <c r="D72" s="2">
        <f t="shared" ca="1" si="2"/>
        <v>0.575023552890642</v>
      </c>
      <c r="E72" s="5" t="s">
        <v>5</v>
      </c>
      <c r="G72">
        <v>0.3</v>
      </c>
      <c r="H72" s="8">
        <f t="shared" ca="1" si="1"/>
        <v>0.575023552890642</v>
      </c>
      <c r="J72" t="str">
        <f ca="1"/>
        <v>Iris-setosa</v>
      </c>
      <c r="K72">
        <f ca="1"/>
        <v>1</v>
      </c>
      <c r="L72">
        <f ca="1"/>
        <v>1.0541519128817276E-16</v>
      </c>
      <c r="M72">
        <f ca="1"/>
        <v>0</v>
      </c>
      <c r="P72" s="9"/>
      <c r="Q72" s="8"/>
      <c r="R72" s="8"/>
      <c r="S72" s="8"/>
      <c r="T72" s="7"/>
    </row>
    <row r="73" spans="1:20" x14ac:dyDescent="0.4">
      <c r="A73" s="2">
        <v>5.0999999999999996</v>
      </c>
      <c r="B73" s="2">
        <v>3.8</v>
      </c>
      <c r="C73" s="2">
        <v>1.6</v>
      </c>
      <c r="D73" s="2">
        <f t="shared" ca="1" si="2"/>
        <v>0.59954294032091493</v>
      </c>
      <c r="E73" s="4" t="s">
        <v>5</v>
      </c>
      <c r="G73">
        <v>0.2</v>
      </c>
      <c r="H73" s="8">
        <f t="shared" ca="1" si="1"/>
        <v>0.59954294032091493</v>
      </c>
      <c r="J73" t="str">
        <f ca="1"/>
        <v>Iris-setosa</v>
      </c>
      <c r="K73">
        <f ca="1"/>
        <v>1</v>
      </c>
      <c r="L73">
        <f ca="1"/>
        <v>4.2539399509995216E-27</v>
      </c>
      <c r="M73">
        <f ca="1"/>
        <v>0</v>
      </c>
      <c r="P73" s="9"/>
      <c r="Q73" s="8"/>
      <c r="R73" s="8"/>
      <c r="S73" s="8"/>
      <c r="T73" s="7"/>
    </row>
    <row r="74" spans="1:20" x14ac:dyDescent="0.4">
      <c r="A74" s="3">
        <v>4.5999999999999996</v>
      </c>
      <c r="B74" s="3">
        <v>3.2</v>
      </c>
      <c r="C74" s="3">
        <v>1.4</v>
      </c>
      <c r="D74" s="2">
        <f t="shared" ca="1" si="2"/>
        <v>0.77029234310129691</v>
      </c>
      <c r="E74" s="5" t="s">
        <v>5</v>
      </c>
      <c r="G74">
        <v>0.2</v>
      </c>
      <c r="H74" s="8">
        <f t="shared" ca="1" si="1"/>
        <v>0.77029234310129691</v>
      </c>
      <c r="J74" t="str">
        <f ca="1"/>
        <v>Iris-setosa</v>
      </c>
      <c r="K74">
        <f ca="1"/>
        <v>1</v>
      </c>
      <c r="L74">
        <f ca="1"/>
        <v>7.1947603347077885E-19</v>
      </c>
      <c r="M74">
        <f ca="1"/>
        <v>2.1298717235354501E-305</v>
      </c>
      <c r="P74" s="9"/>
      <c r="Q74" s="8"/>
      <c r="R74" s="8"/>
      <c r="S74" s="8"/>
      <c r="T74" s="7"/>
    </row>
    <row r="75" spans="1:20" x14ac:dyDescent="0.4">
      <c r="A75" s="2">
        <v>5.3</v>
      </c>
      <c r="B75" s="2">
        <v>3.7</v>
      </c>
      <c r="C75" s="2">
        <v>1.5</v>
      </c>
      <c r="D75" s="2">
        <f t="shared" ca="1" si="2"/>
        <v>0.6864032648299252</v>
      </c>
      <c r="E75" s="4" t="s">
        <v>5</v>
      </c>
      <c r="G75">
        <v>0.2</v>
      </c>
      <c r="H75" s="8">
        <f t="shared" ca="1" si="1"/>
        <v>0.6864032648299252</v>
      </c>
      <c r="J75" t="str">
        <f ca="1"/>
        <v>Iris-setosa</v>
      </c>
      <c r="K75">
        <f ca="1"/>
        <v>1</v>
      </c>
      <c r="L75">
        <f ca="1"/>
        <v>7.9052991968102268E-30</v>
      </c>
      <c r="M75">
        <f ca="1"/>
        <v>0</v>
      </c>
      <c r="P75" s="9"/>
      <c r="Q75" s="8"/>
      <c r="R75" s="8"/>
      <c r="S75" s="8"/>
      <c r="T75" s="7"/>
    </row>
    <row r="76" spans="1:20" x14ac:dyDescent="0.4">
      <c r="A76" s="3">
        <v>5</v>
      </c>
      <c r="B76" s="3">
        <v>3.3</v>
      </c>
      <c r="C76" s="3">
        <v>1.4</v>
      </c>
      <c r="D76" s="2">
        <f t="shared" ca="1" si="2"/>
        <v>0.33555322545606453</v>
      </c>
      <c r="E76" s="5" t="s">
        <v>5</v>
      </c>
      <c r="G76">
        <v>0.2</v>
      </c>
      <c r="H76" s="8">
        <f t="shared" ca="1" si="1"/>
        <v>0.33555322545606453</v>
      </c>
      <c r="J76" t="str">
        <f ca="1"/>
        <v>Iris-setosa</v>
      </c>
      <c r="K76">
        <f ca="1"/>
        <v>1</v>
      </c>
      <c r="L76">
        <f ca="1"/>
        <v>1.05220304819944E-20</v>
      </c>
      <c r="M76">
        <f ca="1"/>
        <v>0</v>
      </c>
      <c r="P76" s="9"/>
      <c r="Q76" s="8"/>
      <c r="R76" s="8"/>
      <c r="S76" s="8"/>
      <c r="T76" s="7"/>
    </row>
    <row r="77" spans="1:20" x14ac:dyDescent="0.4">
      <c r="A77" s="2">
        <v>7</v>
      </c>
      <c r="B77" s="2">
        <v>3.2</v>
      </c>
      <c r="C77" s="2">
        <v>4.7</v>
      </c>
      <c r="D77" s="2">
        <f t="shared" ca="1" si="2"/>
        <v>1.6563717650577443</v>
      </c>
      <c r="E77" s="4" t="s">
        <v>6</v>
      </c>
      <c r="G77">
        <v>1.4</v>
      </c>
      <c r="H77" s="8">
        <f t="shared" ca="1" si="1"/>
        <v>1.6563717650577443</v>
      </c>
      <c r="J77" t="str">
        <f ca="1"/>
        <v>Iris-versicolor</v>
      </c>
      <c r="K77">
        <f ca="1"/>
        <v>5.5935855447136794E-3</v>
      </c>
      <c r="L77">
        <f ca="1"/>
        <v>0.99440641445528632</v>
      </c>
      <c r="M77">
        <f ca="1"/>
        <v>1.337483156018583E-63</v>
      </c>
      <c r="P77" s="9"/>
      <c r="Q77" s="8"/>
      <c r="R77" s="8"/>
      <c r="S77" s="8"/>
      <c r="T77" s="7"/>
    </row>
    <row r="78" spans="1:20" x14ac:dyDescent="0.4">
      <c r="A78" s="3">
        <v>6.4</v>
      </c>
      <c r="B78" s="3">
        <v>3.2</v>
      </c>
      <c r="C78" s="3">
        <v>4.5</v>
      </c>
      <c r="D78" s="2">
        <f t="shared" ca="1" si="2"/>
        <v>2.239443199599529</v>
      </c>
      <c r="E78" s="5" t="s">
        <v>6</v>
      </c>
      <c r="G78">
        <v>1.5</v>
      </c>
      <c r="H78" s="8">
        <f t="shared" ca="1" si="1"/>
        <v>2.239443199599529</v>
      </c>
      <c r="J78" t="str">
        <f ca="1"/>
        <v>Iris-versicolor</v>
      </c>
      <c r="K78">
        <f ca="1"/>
        <v>0.21496051170829764</v>
      </c>
      <c r="L78">
        <f ca="1"/>
        <v>0.78503948829170245</v>
      </c>
      <c r="M78">
        <f ca="1"/>
        <v>4.7394532573831534E-17</v>
      </c>
      <c r="P78" s="9"/>
      <c r="Q78" s="8"/>
      <c r="R78" s="8"/>
      <c r="S78" s="8"/>
      <c r="T78" s="7"/>
    </row>
    <row r="79" spans="1:20" x14ac:dyDescent="0.4">
      <c r="A79" s="2">
        <v>6.9</v>
      </c>
      <c r="B79" s="2">
        <v>3.1</v>
      </c>
      <c r="C79" s="2">
        <v>4.9000000000000004</v>
      </c>
      <c r="D79" s="2">
        <f t="shared" ca="1" si="2"/>
        <v>2.0914377669724025</v>
      </c>
      <c r="E79" s="4" t="s">
        <v>6</v>
      </c>
      <c r="G79">
        <v>1.5</v>
      </c>
      <c r="H79" s="8">
        <f t="shared" ca="1" si="1"/>
        <v>2.0914377669724025</v>
      </c>
      <c r="J79" t="str">
        <f ca="1"/>
        <v>Iris-versicolor</v>
      </c>
      <c r="K79">
        <f ca="1"/>
        <v>5.4643345618850466E-5</v>
      </c>
      <c r="L79">
        <f ca="1"/>
        <v>0.99994535660908357</v>
      </c>
      <c r="M79">
        <f ca="1"/>
        <v>4.5297568609388868E-11</v>
      </c>
      <c r="P79" s="9"/>
      <c r="Q79" s="8"/>
      <c r="R79" s="8"/>
      <c r="S79" s="8"/>
      <c r="T79" s="7"/>
    </row>
    <row r="80" spans="1:20" x14ac:dyDescent="0.4">
      <c r="A80" s="3">
        <v>5.5</v>
      </c>
      <c r="B80" s="3">
        <v>2.2999999999999998</v>
      </c>
      <c r="C80" s="3">
        <v>4</v>
      </c>
      <c r="D80" s="2">
        <f t="shared" ca="1" si="2"/>
        <v>1.9313308135968015</v>
      </c>
      <c r="E80" s="5" t="s">
        <v>6</v>
      </c>
      <c r="G80">
        <v>1.3</v>
      </c>
      <c r="H80" s="8">
        <f t="shared" ca="1" si="1"/>
        <v>1.9313308135968015</v>
      </c>
      <c r="J80" t="str">
        <f ca="1"/>
        <v>Iris-versicolor</v>
      </c>
      <c r="K80">
        <f ca="1"/>
        <v>3.1323001888699759E-16</v>
      </c>
      <c r="L80">
        <f ca="1"/>
        <v>0.99997367194350817</v>
      </c>
      <c r="M80">
        <f ca="1"/>
        <v>2.6328056491691254E-5</v>
      </c>
      <c r="P80" s="9"/>
      <c r="Q80" s="8"/>
      <c r="R80" s="8"/>
      <c r="S80" s="8"/>
      <c r="T80" s="7"/>
    </row>
    <row r="81" spans="1:20" x14ac:dyDescent="0.4">
      <c r="A81" s="2">
        <v>6.5</v>
      </c>
      <c r="B81" s="2">
        <v>2.8</v>
      </c>
      <c r="C81" s="2">
        <v>4.5999999999999996</v>
      </c>
      <c r="D81" s="2">
        <f t="shared" ca="1" si="2"/>
        <v>2.2970851847045726</v>
      </c>
      <c r="E81" s="4" t="s">
        <v>6</v>
      </c>
      <c r="G81">
        <v>1.5</v>
      </c>
      <c r="H81" s="8">
        <f t="shared" ca="1" si="1"/>
        <v>2.2970851847045726</v>
      </c>
      <c r="J81" t="str">
        <f ca="1"/>
        <v>Iris-virginica</v>
      </c>
      <c r="K81">
        <f ca="1"/>
        <v>4.8875726467241691E-14</v>
      </c>
      <c r="L81">
        <f ca="1"/>
        <v>3.8033706908070744E-8</v>
      </c>
      <c r="M81">
        <f ca="1"/>
        <v>0.99999996196624419</v>
      </c>
      <c r="P81" s="9"/>
      <c r="Q81" s="8"/>
      <c r="R81" s="8"/>
      <c r="S81" s="8"/>
      <c r="T81" s="7"/>
    </row>
    <row r="82" spans="1:20" x14ac:dyDescent="0.4">
      <c r="A82" s="3">
        <v>5.7</v>
      </c>
      <c r="B82" s="3">
        <v>2.8</v>
      </c>
      <c r="C82" s="3">
        <v>4.5</v>
      </c>
      <c r="D82" s="2">
        <f t="shared" ca="1" si="2"/>
        <v>1.8667958888567635</v>
      </c>
      <c r="E82" s="5" t="s">
        <v>6</v>
      </c>
      <c r="G82">
        <v>1.3</v>
      </c>
      <c r="H82" s="8">
        <f t="shared" ca="1" si="1"/>
        <v>1.8667958888567635</v>
      </c>
      <c r="J82" t="str">
        <f ca="1"/>
        <v>Iris-virginica</v>
      </c>
      <c r="K82">
        <f ca="1"/>
        <v>1.3692703409098429E-18</v>
      </c>
      <c r="L82">
        <f ca="1"/>
        <v>1.7881929415464897E-3</v>
      </c>
      <c r="M82">
        <f ca="1"/>
        <v>0.99821180705845358</v>
      </c>
      <c r="P82" s="9"/>
      <c r="Q82" s="8"/>
      <c r="R82" s="8"/>
      <c r="S82" s="8"/>
      <c r="T82" s="7"/>
    </row>
    <row r="83" spans="1:20" x14ac:dyDescent="0.4">
      <c r="A83" s="2">
        <v>6.3</v>
      </c>
      <c r="B83" s="2">
        <v>3.3</v>
      </c>
      <c r="C83" s="2">
        <v>4.7</v>
      </c>
      <c r="D83" s="2">
        <f t="shared" ca="1" si="2"/>
        <v>2.5091448816973347</v>
      </c>
      <c r="E83" s="4" t="s">
        <v>6</v>
      </c>
      <c r="G83">
        <v>1.6</v>
      </c>
      <c r="H83" s="8">
        <f t="shared" ca="1" si="1"/>
        <v>2.5091448816973347</v>
      </c>
      <c r="J83" t="str">
        <f ca="1"/>
        <v>Iris-virginica</v>
      </c>
      <c r="K83">
        <f ca="1"/>
        <v>2.4730995475348793E-19</v>
      </c>
      <c r="L83">
        <f ca="1"/>
        <v>3.9691775908364194E-18</v>
      </c>
      <c r="M83">
        <f ca="1"/>
        <v>1</v>
      </c>
      <c r="P83" s="9"/>
      <c r="Q83" s="8"/>
      <c r="R83" s="8"/>
      <c r="S83" s="8"/>
      <c r="T83" s="7"/>
    </row>
    <row r="84" spans="1:20" x14ac:dyDescent="0.4">
      <c r="A84" s="3">
        <v>4.9000000000000004</v>
      </c>
      <c r="B84" s="3">
        <v>2.4</v>
      </c>
      <c r="C84" s="3">
        <v>3.3</v>
      </c>
      <c r="D84" s="2">
        <f t="shared" ca="1" si="2"/>
        <v>1.6849658737598547</v>
      </c>
      <c r="E84" s="5" t="s">
        <v>6</v>
      </c>
      <c r="G84">
        <v>1</v>
      </c>
      <c r="H84" s="8">
        <f t="shared" ca="1" si="1"/>
        <v>1.6849658737598547</v>
      </c>
      <c r="J84" t="str">
        <f ca="1"/>
        <v>Iris-versicolor</v>
      </c>
      <c r="K84">
        <f ca="1"/>
        <v>6.7766870179208948E-12</v>
      </c>
      <c r="L84">
        <f ca="1"/>
        <v>0.99999999999322342</v>
      </c>
      <c r="M84">
        <f ca="1"/>
        <v>5.4539173094991623E-57</v>
      </c>
      <c r="P84" s="9"/>
      <c r="Q84" s="8"/>
      <c r="R84" s="8"/>
      <c r="S84" s="8"/>
      <c r="T84" s="7"/>
    </row>
    <row r="85" spans="1:20" x14ac:dyDescent="0.4">
      <c r="A85" s="2">
        <v>6.6</v>
      </c>
      <c r="B85" s="2">
        <v>2.9</v>
      </c>
      <c r="C85" s="2">
        <v>4.5999999999999996</v>
      </c>
      <c r="D85" s="2">
        <f t="shared" ca="1" si="2"/>
        <v>2.1362142794347236</v>
      </c>
      <c r="E85" s="4" t="s">
        <v>6</v>
      </c>
      <c r="G85">
        <v>1.3</v>
      </c>
      <c r="H85" s="8">
        <f t="shared" ca="1" si="1"/>
        <v>2.1362142794347236</v>
      </c>
      <c r="J85" t="str">
        <f ca="1"/>
        <v>Iris-versicolor</v>
      </c>
      <c r="K85">
        <f ca="1"/>
        <v>1.426424778347656E-5</v>
      </c>
      <c r="L85">
        <f ca="1"/>
        <v>0.99998573574558192</v>
      </c>
      <c r="M85">
        <f ca="1"/>
        <v>6.6346963879816327E-12</v>
      </c>
      <c r="P85" s="9"/>
      <c r="Q85" s="8"/>
      <c r="R85" s="8"/>
      <c r="S85" s="8"/>
      <c r="T85" s="7"/>
    </row>
    <row r="86" spans="1:20" x14ac:dyDescent="0.4">
      <c r="A86" s="3">
        <v>5.2</v>
      </c>
      <c r="B86" s="3">
        <v>2.7</v>
      </c>
      <c r="C86" s="3">
        <v>3.9</v>
      </c>
      <c r="D86" s="2">
        <f t="shared" ca="1" si="2"/>
        <v>1.8212746270634437</v>
      </c>
      <c r="E86" s="5" t="s">
        <v>6</v>
      </c>
      <c r="G86">
        <v>1.4</v>
      </c>
      <c r="H86" s="8">
        <f t="shared" ca="1" si="1"/>
        <v>1.8212746270634437</v>
      </c>
      <c r="J86" t="str">
        <f ca="1"/>
        <v>Iris-versicolor</v>
      </c>
      <c r="K86">
        <f ca="1"/>
        <v>3.5680506949694288E-13</v>
      </c>
      <c r="L86">
        <f ca="1"/>
        <v>0.99999999999964317</v>
      </c>
      <c r="M86">
        <f ca="1"/>
        <v>1.7294793341522077E-24</v>
      </c>
      <c r="P86" s="9"/>
      <c r="Q86" s="8"/>
      <c r="R86" s="8"/>
      <c r="S86" s="8"/>
      <c r="T86" s="7"/>
    </row>
    <row r="87" spans="1:20" x14ac:dyDescent="0.4">
      <c r="A87" s="2">
        <v>5</v>
      </c>
      <c r="B87" s="2">
        <v>2</v>
      </c>
      <c r="C87" s="2">
        <v>3.5</v>
      </c>
      <c r="D87" s="2">
        <f t="shared" ca="1" si="2"/>
        <v>1.9483382481760421</v>
      </c>
      <c r="E87" s="4" t="s">
        <v>6</v>
      </c>
      <c r="G87">
        <v>1</v>
      </c>
      <c r="H87" s="8">
        <f t="shared" ca="1" si="1"/>
        <v>1.9483382481760421</v>
      </c>
      <c r="J87" t="str">
        <f ca="1"/>
        <v>Iris-versicolor</v>
      </c>
      <c r="K87">
        <f ca="1"/>
        <v>3.3781726265409178E-17</v>
      </c>
      <c r="L87">
        <f ca="1"/>
        <v>0.99999999999228439</v>
      </c>
      <c r="M87">
        <f ca="1"/>
        <v>7.7155861704696377E-12</v>
      </c>
      <c r="P87" s="9"/>
      <c r="Q87" s="8"/>
      <c r="R87" s="8"/>
      <c r="S87" s="8"/>
      <c r="T87" s="7"/>
    </row>
    <row r="88" spans="1:20" x14ac:dyDescent="0.4">
      <c r="A88" s="3">
        <v>5.9</v>
      </c>
      <c r="B88" s="3">
        <v>3</v>
      </c>
      <c r="C88" s="3">
        <v>4.2</v>
      </c>
      <c r="D88" s="2">
        <f t="shared" ca="1" si="2"/>
        <v>1.5480333016837957</v>
      </c>
      <c r="E88" s="5" t="s">
        <v>6</v>
      </c>
      <c r="G88">
        <v>1.5</v>
      </c>
      <c r="H88" s="8">
        <f t="shared" ca="1" si="1"/>
        <v>1.5480333016837957</v>
      </c>
      <c r="J88" t="str">
        <f ca="1"/>
        <v>Iris-versicolor</v>
      </c>
      <c r="K88">
        <f ca="1"/>
        <v>3.1836000714891502E-9</v>
      </c>
      <c r="L88">
        <f ca="1"/>
        <v>0.99999999681639995</v>
      </c>
      <c r="M88">
        <f ca="1"/>
        <v>1.2664505815746137E-58</v>
      </c>
      <c r="P88" s="9"/>
      <c r="Q88" s="8"/>
      <c r="R88" s="8"/>
      <c r="S88" s="8"/>
      <c r="T88" s="7"/>
    </row>
    <row r="89" spans="1:20" x14ac:dyDescent="0.4">
      <c r="A89" s="2">
        <v>6</v>
      </c>
      <c r="B89" s="2">
        <v>2.2000000000000002</v>
      </c>
      <c r="C89" s="2">
        <v>4</v>
      </c>
      <c r="D89" s="2">
        <f t="shared" ca="1" si="2"/>
        <v>1.7962255769994151</v>
      </c>
      <c r="E89" s="4" t="s">
        <v>6</v>
      </c>
      <c r="G89">
        <v>1</v>
      </c>
      <c r="H89" s="8">
        <f t="shared" ca="1" si="1"/>
        <v>1.7962255769994151</v>
      </c>
      <c r="J89" t="str">
        <f ca="1"/>
        <v>Iris-versicolor</v>
      </c>
      <c r="K89">
        <f ca="1"/>
        <v>7.940805230350022E-14</v>
      </c>
      <c r="L89">
        <f ca="1"/>
        <v>0.99999999999992051</v>
      </c>
      <c r="M89">
        <f ca="1"/>
        <v>4.1965265074549195E-30</v>
      </c>
      <c r="P89" s="9"/>
      <c r="Q89" s="8"/>
      <c r="R89" s="8"/>
      <c r="S89" s="8"/>
      <c r="T89" s="7"/>
    </row>
    <row r="90" spans="1:20" x14ac:dyDescent="0.4">
      <c r="A90" s="3">
        <v>6.1</v>
      </c>
      <c r="B90" s="3">
        <v>2.9</v>
      </c>
      <c r="C90" s="3">
        <v>4.7</v>
      </c>
      <c r="D90" s="2">
        <f t="shared" ca="1" si="2"/>
        <v>1.5782727847329756</v>
      </c>
      <c r="E90" s="5" t="s">
        <v>6</v>
      </c>
      <c r="G90">
        <v>1.4</v>
      </c>
      <c r="H90" s="8">
        <f t="shared" ca="1" si="1"/>
        <v>1.5782727847329756</v>
      </c>
      <c r="J90" t="str">
        <f ca="1"/>
        <v>Iris-versicolor</v>
      </c>
      <c r="K90">
        <f ca="1"/>
        <v>6.3254491105249627E-16</v>
      </c>
      <c r="L90">
        <f ca="1"/>
        <v>0.99999999999999933</v>
      </c>
      <c r="M90">
        <f ca="1"/>
        <v>3.6477505722298413E-21</v>
      </c>
      <c r="P90" s="9"/>
      <c r="Q90" s="8"/>
      <c r="R90" s="8"/>
      <c r="S90" s="8"/>
      <c r="T90" s="7"/>
    </row>
    <row r="91" spans="1:20" x14ac:dyDescent="0.4">
      <c r="A91" s="2">
        <v>5.6</v>
      </c>
      <c r="B91" s="2">
        <v>2.9</v>
      </c>
      <c r="C91" s="2">
        <v>3.6</v>
      </c>
      <c r="D91" s="2">
        <f t="shared" ref="D91:D122" ca="1" si="3">H91</f>
        <v>1.9258910258291295</v>
      </c>
      <c r="E91" s="4" t="s">
        <v>6</v>
      </c>
      <c r="G91">
        <v>1.3</v>
      </c>
      <c r="H91" s="8">
        <f t="shared" ca="1" si="1"/>
        <v>1.9258910258291295</v>
      </c>
      <c r="J91" t="str">
        <f ca="1"/>
        <v>Iris-versicolor</v>
      </c>
      <c r="K91">
        <f ca="1"/>
        <v>0.13650644469838055</v>
      </c>
      <c r="L91">
        <f ca="1"/>
        <v>0.86349355530161953</v>
      </c>
      <c r="M91">
        <f ca="1"/>
        <v>4.4687797724447288E-65</v>
      </c>
      <c r="P91" s="9"/>
      <c r="Q91" s="8"/>
      <c r="R91" s="8"/>
      <c r="S91" s="8"/>
      <c r="T91" s="7"/>
    </row>
    <row r="92" spans="1:20" x14ac:dyDescent="0.4">
      <c r="A92" s="3">
        <v>6.7</v>
      </c>
      <c r="B92" s="3">
        <v>3.1</v>
      </c>
      <c r="C92" s="3">
        <v>4.4000000000000004</v>
      </c>
      <c r="D92" s="2">
        <f t="shared" ca="1" si="3"/>
        <v>1.6059380687747273</v>
      </c>
      <c r="E92" s="5" t="s">
        <v>6</v>
      </c>
      <c r="G92">
        <v>1.4</v>
      </c>
      <c r="H92" s="8">
        <f t="shared" ref="H92:H155" ca="1" si="4">G92+RAND()</f>
        <v>1.6059380687747273</v>
      </c>
      <c r="J92" t="str">
        <f ca="1"/>
        <v>Iris-versicolor</v>
      </c>
      <c r="K92">
        <f ca="1"/>
        <v>5.7028805827664033E-3</v>
      </c>
      <c r="L92">
        <f ca="1"/>
        <v>0.99429711941723364</v>
      </c>
      <c r="M92">
        <f ca="1"/>
        <v>1.0198121668679632E-74</v>
      </c>
      <c r="P92" s="9"/>
      <c r="Q92" s="8"/>
      <c r="R92" s="8"/>
      <c r="S92" s="8"/>
      <c r="T92" s="7"/>
    </row>
    <row r="93" spans="1:20" x14ac:dyDescent="0.4">
      <c r="A93" s="2">
        <v>5.6</v>
      </c>
      <c r="B93" s="2">
        <v>3</v>
      </c>
      <c r="C93" s="2">
        <v>4.5</v>
      </c>
      <c r="D93" s="2">
        <f t="shared" ca="1" si="3"/>
        <v>2.0600753444307305</v>
      </c>
      <c r="E93" s="4" t="s">
        <v>6</v>
      </c>
      <c r="G93">
        <v>1.5</v>
      </c>
      <c r="H93" s="8">
        <f t="shared" ca="1" si="4"/>
        <v>2.0600753444307305</v>
      </c>
      <c r="J93" t="str">
        <f ca="1"/>
        <v>Iris-virginica</v>
      </c>
      <c r="K93">
        <f ca="1"/>
        <v>2.5804057713073014E-24</v>
      </c>
      <c r="L93">
        <f ca="1"/>
        <v>2.7238571295321161E-12</v>
      </c>
      <c r="M93">
        <f ca="1"/>
        <v>0.99999999999727618</v>
      </c>
      <c r="P93" s="9"/>
      <c r="Q93" s="8"/>
      <c r="R93" s="8"/>
      <c r="S93" s="8"/>
      <c r="T93" s="7"/>
    </row>
    <row r="94" spans="1:20" x14ac:dyDescent="0.4">
      <c r="A94" s="3">
        <v>5.8</v>
      </c>
      <c r="B94" s="3">
        <v>2.7</v>
      </c>
      <c r="C94" s="3">
        <v>4.0999999999999996</v>
      </c>
      <c r="D94" s="2">
        <f t="shared" ca="1" si="3"/>
        <v>1.902316257702747</v>
      </c>
      <c r="E94" s="5" t="s">
        <v>6</v>
      </c>
      <c r="G94">
        <v>1</v>
      </c>
      <c r="H94" s="8">
        <f t="shared" ca="1" si="4"/>
        <v>1.902316257702747</v>
      </c>
      <c r="J94" t="str">
        <f ca="1"/>
        <v>Iris-versicolor</v>
      </c>
      <c r="K94">
        <f ca="1"/>
        <v>6.2851081781211469E-10</v>
      </c>
      <c r="L94">
        <f ca="1"/>
        <v>0.9999999993714892</v>
      </c>
      <c r="M94">
        <f ca="1"/>
        <v>3.835534156303097E-27</v>
      </c>
      <c r="P94" s="9"/>
      <c r="Q94" s="8"/>
      <c r="R94" s="8"/>
      <c r="S94" s="8"/>
      <c r="T94" s="7"/>
    </row>
    <row r="95" spans="1:20" x14ac:dyDescent="0.4">
      <c r="A95" s="2">
        <v>6.2</v>
      </c>
      <c r="B95" s="2">
        <v>2.2000000000000002</v>
      </c>
      <c r="C95" s="2">
        <v>4.5</v>
      </c>
      <c r="D95" s="2">
        <f t="shared" ca="1" si="3"/>
        <v>1.7869867659551688</v>
      </c>
      <c r="E95" s="4" t="s">
        <v>6</v>
      </c>
      <c r="G95">
        <v>1.5</v>
      </c>
      <c r="H95" s="8">
        <f t="shared" ca="1" si="4"/>
        <v>1.7869867659551688</v>
      </c>
      <c r="J95" t="str">
        <f ca="1"/>
        <v>Iris-virginica</v>
      </c>
      <c r="K95">
        <f ca="1"/>
        <v>4.9984041237241353E-21</v>
      </c>
      <c r="L95">
        <f ca="1"/>
        <v>3.1263933861655796E-2</v>
      </c>
      <c r="M95">
        <f ca="1"/>
        <v>0.96873606613834418</v>
      </c>
      <c r="P95" s="9"/>
      <c r="Q95" s="8"/>
      <c r="R95" s="8"/>
      <c r="S95" s="8"/>
      <c r="T95" s="7"/>
    </row>
    <row r="96" spans="1:20" x14ac:dyDescent="0.4">
      <c r="A96" s="3">
        <v>5.6</v>
      </c>
      <c r="B96" s="3">
        <v>2.5</v>
      </c>
      <c r="C96" s="3">
        <v>3.9</v>
      </c>
      <c r="D96" s="2">
        <f t="shared" ca="1" si="3"/>
        <v>1.3283257349311399</v>
      </c>
      <c r="E96" s="5" t="s">
        <v>6</v>
      </c>
      <c r="G96">
        <v>1.1000000000000001</v>
      </c>
      <c r="H96" s="8">
        <f t="shared" ca="1" si="4"/>
        <v>1.3283257349311399</v>
      </c>
      <c r="J96" t="str">
        <f ca="1"/>
        <v>Iris-versicolor</v>
      </c>
      <c r="K96">
        <f ca="1"/>
        <v>1.1426929174184421E-15</v>
      </c>
      <c r="L96">
        <f ca="1"/>
        <v>0.99999999999999889</v>
      </c>
      <c r="M96">
        <f ca="1"/>
        <v>4.7111162329342088E-65</v>
      </c>
      <c r="P96" s="9"/>
      <c r="Q96" s="8"/>
      <c r="R96" s="8"/>
      <c r="S96" s="8"/>
      <c r="T96" s="7"/>
    </row>
    <row r="97" spans="1:20" x14ac:dyDescent="0.4">
      <c r="A97" s="2">
        <v>5.9</v>
      </c>
      <c r="B97" s="2">
        <v>3.2</v>
      </c>
      <c r="C97" s="2">
        <v>4.8</v>
      </c>
      <c r="D97" s="2">
        <f t="shared" ca="1" si="3"/>
        <v>2.3812099889997373</v>
      </c>
      <c r="E97" s="4" t="s">
        <v>6</v>
      </c>
      <c r="G97">
        <v>1.8</v>
      </c>
      <c r="H97" s="8">
        <f t="shared" ca="1" si="4"/>
        <v>2.3812099889997373</v>
      </c>
      <c r="J97" t="str">
        <f ca="1"/>
        <v>Iris-virginica</v>
      </c>
      <c r="K97">
        <f ca="1"/>
        <v>4.3341936991245062E-46</v>
      </c>
      <c r="L97">
        <f ca="1"/>
        <v>2.2856279613329177E-37</v>
      </c>
      <c r="M97">
        <f ca="1"/>
        <v>1</v>
      </c>
      <c r="P97" s="9"/>
      <c r="Q97" s="8"/>
      <c r="R97" s="8"/>
      <c r="S97" s="8"/>
      <c r="T97" s="7"/>
    </row>
    <row r="98" spans="1:20" x14ac:dyDescent="0.4">
      <c r="A98" s="3">
        <v>6.1</v>
      </c>
      <c r="B98" s="3">
        <v>2.8</v>
      </c>
      <c r="C98" s="3">
        <v>4</v>
      </c>
      <c r="D98" s="2">
        <f t="shared" ca="1" si="3"/>
        <v>2.2413347278455582</v>
      </c>
      <c r="E98" s="5" t="s">
        <v>6</v>
      </c>
      <c r="G98">
        <v>1.3</v>
      </c>
      <c r="H98" s="8">
        <f t="shared" ca="1" si="4"/>
        <v>2.2413347278455582</v>
      </c>
      <c r="J98" t="str">
        <f ca="1"/>
        <v>Iris-versicolor</v>
      </c>
      <c r="K98">
        <f ca="1"/>
        <v>8.0393881125677399E-2</v>
      </c>
      <c r="L98">
        <f ca="1"/>
        <v>0.91960611887432253</v>
      </c>
      <c r="M98">
        <f ca="1"/>
        <v>1.8058022222984142E-28</v>
      </c>
      <c r="P98" s="9"/>
      <c r="Q98" s="8"/>
      <c r="R98" s="8"/>
      <c r="S98" s="8"/>
      <c r="T98" s="7"/>
    </row>
    <row r="99" spans="1:20" x14ac:dyDescent="0.4">
      <c r="A99" s="2">
        <v>6.3</v>
      </c>
      <c r="B99" s="2">
        <v>2.5</v>
      </c>
      <c r="C99" s="2">
        <v>4.9000000000000004</v>
      </c>
      <c r="D99" s="2">
        <f t="shared" ca="1" si="3"/>
        <v>2.2367347217123479</v>
      </c>
      <c r="E99" s="4" t="s">
        <v>6</v>
      </c>
      <c r="G99">
        <v>1.5</v>
      </c>
      <c r="H99" s="8">
        <f t="shared" ca="1" si="4"/>
        <v>2.2367347217123479</v>
      </c>
      <c r="J99" t="str">
        <f ca="1"/>
        <v>Iris-virginica</v>
      </c>
      <c r="K99">
        <f ca="1"/>
        <v>2.8294984196772986E-64</v>
      </c>
      <c r="L99">
        <f ca="1"/>
        <v>1.1934263371943135E-47</v>
      </c>
      <c r="M99">
        <f ca="1"/>
        <v>1</v>
      </c>
      <c r="P99" s="9"/>
      <c r="Q99" s="8"/>
      <c r="R99" s="8"/>
      <c r="S99" s="8"/>
      <c r="T99" s="7"/>
    </row>
    <row r="100" spans="1:20" x14ac:dyDescent="0.4">
      <c r="A100" s="3">
        <v>6.1</v>
      </c>
      <c r="B100" s="3">
        <v>2.8</v>
      </c>
      <c r="C100" s="3">
        <v>4.7</v>
      </c>
      <c r="D100" s="2">
        <f t="shared" ca="1" si="3"/>
        <v>1.3767144484931406</v>
      </c>
      <c r="E100" s="5" t="s">
        <v>6</v>
      </c>
      <c r="G100">
        <v>1.2</v>
      </c>
      <c r="H100" s="8">
        <f t="shared" ca="1" si="4"/>
        <v>1.3767144484931406</v>
      </c>
      <c r="J100" t="str">
        <f ca="1"/>
        <v>Iris-versicolor</v>
      </c>
      <c r="K100">
        <f ca="1"/>
        <v>1.0112341290961937E-18</v>
      </c>
      <c r="L100">
        <f ca="1"/>
        <v>1</v>
      </c>
      <c r="M100">
        <f ca="1"/>
        <v>1.5286927588079801E-30</v>
      </c>
      <c r="P100" s="9"/>
      <c r="Q100" s="8"/>
      <c r="R100" s="8"/>
      <c r="S100" s="8"/>
      <c r="T100" s="7"/>
    </row>
    <row r="101" spans="1:20" x14ac:dyDescent="0.4">
      <c r="A101" s="2">
        <v>6.4</v>
      </c>
      <c r="B101" s="2">
        <v>2.9</v>
      </c>
      <c r="C101" s="2">
        <v>4.3</v>
      </c>
      <c r="D101" s="2">
        <f t="shared" ca="1" si="3"/>
        <v>2.20601813815348</v>
      </c>
      <c r="E101" s="4" t="s">
        <v>6</v>
      </c>
      <c r="G101">
        <v>1.3</v>
      </c>
      <c r="H101" s="8">
        <f t="shared" ca="1" si="4"/>
        <v>2.20601813815348</v>
      </c>
      <c r="J101" t="str">
        <f ca="1"/>
        <v>Iris-versicolor</v>
      </c>
      <c r="K101">
        <f ca="1"/>
        <v>1.9394824151361977E-2</v>
      </c>
      <c r="L101">
        <f ca="1"/>
        <v>0.98060517584863793</v>
      </c>
      <c r="M101">
        <f ca="1"/>
        <v>5.2632953226570997E-23</v>
      </c>
      <c r="P101" s="9"/>
      <c r="Q101" s="8"/>
      <c r="R101" s="8"/>
      <c r="S101" s="8"/>
      <c r="T101" s="7"/>
    </row>
    <row r="102" spans="1:20" x14ac:dyDescent="0.4">
      <c r="A102" s="3">
        <v>6.6</v>
      </c>
      <c r="B102" s="3">
        <v>3</v>
      </c>
      <c r="C102" s="3">
        <v>4.4000000000000004</v>
      </c>
      <c r="D102" s="2">
        <f t="shared" ca="1" si="3"/>
        <v>1.6996658419174588</v>
      </c>
      <c r="E102" s="5" t="s">
        <v>6</v>
      </c>
      <c r="G102">
        <v>1.4</v>
      </c>
      <c r="H102" s="8">
        <f t="shared" ca="1" si="4"/>
        <v>1.6996658419174588</v>
      </c>
      <c r="J102" t="str">
        <f ca="1"/>
        <v>Iris-versicolor</v>
      </c>
      <c r="K102">
        <f ca="1"/>
        <v>1.6383925721599065E-4</v>
      </c>
      <c r="L102">
        <f ca="1"/>
        <v>0.99983616074278414</v>
      </c>
      <c r="M102">
        <f ca="1"/>
        <v>1.4476067921252021E-60</v>
      </c>
      <c r="P102" s="9"/>
      <c r="Q102" s="8"/>
      <c r="R102" s="8"/>
      <c r="S102" s="8"/>
      <c r="T102" s="7"/>
    </row>
    <row r="103" spans="1:20" x14ac:dyDescent="0.4">
      <c r="A103" s="2">
        <v>6.8</v>
      </c>
      <c r="B103" s="2">
        <v>2.8</v>
      </c>
      <c r="C103" s="2">
        <v>4.8</v>
      </c>
      <c r="D103" s="2">
        <f t="shared" ca="1" si="3"/>
        <v>1.4648215627086367</v>
      </c>
      <c r="E103" s="4" t="s">
        <v>6</v>
      </c>
      <c r="G103">
        <v>1.4</v>
      </c>
      <c r="H103" s="8">
        <f t="shared" ca="1" si="4"/>
        <v>1.4648215627086367</v>
      </c>
      <c r="J103" t="str">
        <f ca="1"/>
        <v>Iris-versicolor</v>
      </c>
      <c r="K103">
        <f ca="1"/>
        <v>5.578977644251517E-13</v>
      </c>
      <c r="L103">
        <f ca="1"/>
        <v>0.999999999999442</v>
      </c>
      <c r="M103">
        <f ca="1"/>
        <v>1.4189945521044911E-44</v>
      </c>
      <c r="P103" s="9"/>
      <c r="Q103" s="8"/>
      <c r="R103" s="8"/>
      <c r="S103" s="8"/>
      <c r="T103" s="7"/>
    </row>
    <row r="104" spans="1:20" x14ac:dyDescent="0.4">
      <c r="A104" s="3">
        <v>6.7</v>
      </c>
      <c r="B104" s="3">
        <v>3</v>
      </c>
      <c r="C104" s="3">
        <v>5</v>
      </c>
      <c r="D104" s="2">
        <f t="shared" ca="1" si="3"/>
        <v>2.0898891276788394</v>
      </c>
      <c r="E104" s="5" t="s">
        <v>6</v>
      </c>
      <c r="G104">
        <v>1.7</v>
      </c>
      <c r="H104" s="8">
        <f t="shared" ca="1" si="4"/>
        <v>2.0898891276788394</v>
      </c>
      <c r="J104" t="str">
        <f ca="1"/>
        <v>Iris-virginica</v>
      </c>
      <c r="K104">
        <f ca="1"/>
        <v>5.0393342143703236E-19</v>
      </c>
      <c r="L104">
        <f ca="1"/>
        <v>4.5706544205099527E-10</v>
      </c>
      <c r="M104">
        <f ca="1"/>
        <v>0.9999999995429345</v>
      </c>
      <c r="P104" s="9"/>
      <c r="Q104" s="8"/>
      <c r="R104" s="8"/>
      <c r="S104" s="8"/>
      <c r="T104" s="7"/>
    </row>
    <row r="105" spans="1:20" x14ac:dyDescent="0.4">
      <c r="A105" s="2">
        <v>6</v>
      </c>
      <c r="B105" s="2">
        <v>2.9</v>
      </c>
      <c r="C105" s="2">
        <v>4.5</v>
      </c>
      <c r="D105" s="2">
        <f t="shared" ca="1" si="3"/>
        <v>2.068374964924045</v>
      </c>
      <c r="E105" s="4" t="s">
        <v>6</v>
      </c>
      <c r="G105">
        <v>1.5</v>
      </c>
      <c r="H105" s="8">
        <f t="shared" ca="1" si="4"/>
        <v>2.068374964924045</v>
      </c>
      <c r="J105" t="str">
        <f ca="1"/>
        <v>Iris-virginica</v>
      </c>
      <c r="K105">
        <f ca="1"/>
        <v>1.1797932710890318E-10</v>
      </c>
      <c r="L105">
        <f ca="1"/>
        <v>0.36930005900976054</v>
      </c>
      <c r="M105">
        <f ca="1"/>
        <v>0.63069994087226011</v>
      </c>
      <c r="P105" s="9"/>
      <c r="Q105" s="8"/>
      <c r="R105" s="8"/>
      <c r="S105" s="8"/>
      <c r="T105" s="7"/>
    </row>
    <row r="106" spans="1:20" x14ac:dyDescent="0.4">
      <c r="A106" s="3">
        <v>5.7</v>
      </c>
      <c r="B106" s="3">
        <v>2.6</v>
      </c>
      <c r="C106" s="3">
        <v>3.5</v>
      </c>
      <c r="D106" s="2">
        <f t="shared" ca="1" si="3"/>
        <v>1.3857722635681349</v>
      </c>
      <c r="E106" s="5" t="s">
        <v>6</v>
      </c>
      <c r="G106">
        <v>1</v>
      </c>
      <c r="H106" s="8">
        <f t="shared" ca="1" si="4"/>
        <v>1.3857722635681349</v>
      </c>
      <c r="J106" t="str">
        <f ca="1"/>
        <v>Iris-versicolor</v>
      </c>
      <c r="K106">
        <f ca="1"/>
        <v>5.4082148353661292E-7</v>
      </c>
      <c r="L106">
        <f ca="1"/>
        <v>0.9999994591785164</v>
      </c>
      <c r="M106">
        <f ca="1"/>
        <v>1.026535558589026E-100</v>
      </c>
      <c r="P106" s="9"/>
      <c r="Q106" s="8"/>
      <c r="R106" s="8"/>
      <c r="S106" s="8"/>
      <c r="T106" s="7"/>
    </row>
    <row r="107" spans="1:20" x14ac:dyDescent="0.4">
      <c r="A107" s="2">
        <v>5.5</v>
      </c>
      <c r="B107" s="2">
        <v>2.4</v>
      </c>
      <c r="C107" s="2">
        <v>3.8</v>
      </c>
      <c r="D107" s="2">
        <f t="shared" ca="1" si="3"/>
        <v>1.9871858958420812</v>
      </c>
      <c r="E107" s="4" t="s">
        <v>6</v>
      </c>
      <c r="G107">
        <v>1.1000000000000001</v>
      </c>
      <c r="H107" s="8">
        <f t="shared" ca="1" si="4"/>
        <v>1.9871858958420812</v>
      </c>
      <c r="J107" t="str">
        <f ca="1"/>
        <v>Iris-versicolor</v>
      </c>
      <c r="K107">
        <f ca="1"/>
        <v>1.6361518901023801E-11</v>
      </c>
      <c r="L107">
        <f ca="1"/>
        <v>0.99999999998363842</v>
      </c>
      <c r="M107">
        <f ca="1"/>
        <v>2.406869677317009E-21</v>
      </c>
      <c r="P107" s="9"/>
      <c r="Q107" s="8"/>
      <c r="R107" s="8"/>
      <c r="S107" s="8"/>
      <c r="T107" s="7"/>
    </row>
    <row r="108" spans="1:20" x14ac:dyDescent="0.4">
      <c r="A108" s="3">
        <v>5.5</v>
      </c>
      <c r="B108" s="3">
        <v>2.4</v>
      </c>
      <c r="C108" s="3">
        <v>3.7</v>
      </c>
      <c r="D108" s="2">
        <f t="shared" ca="1" si="3"/>
        <v>1.5628412959015523</v>
      </c>
      <c r="E108" s="5" t="s">
        <v>6</v>
      </c>
      <c r="G108">
        <v>1</v>
      </c>
      <c r="H108" s="8">
        <f t="shared" ca="1" si="4"/>
        <v>1.5628412959015523</v>
      </c>
      <c r="J108" t="str">
        <f ca="1"/>
        <v>Iris-versicolor</v>
      </c>
      <c r="K108">
        <f ca="1"/>
        <v>3.6617396167389906E-13</v>
      </c>
      <c r="L108">
        <f ca="1"/>
        <v>0.99999999999963385</v>
      </c>
      <c r="M108">
        <f ca="1"/>
        <v>2.4345579944303811E-57</v>
      </c>
      <c r="P108" s="9"/>
      <c r="Q108" s="8"/>
      <c r="R108" s="8"/>
      <c r="S108" s="8"/>
      <c r="T108" s="7"/>
    </row>
    <row r="109" spans="1:20" x14ac:dyDescent="0.4">
      <c r="A109" s="2">
        <v>5.8</v>
      </c>
      <c r="B109" s="2">
        <v>2.7</v>
      </c>
      <c r="C109" s="2">
        <v>3.9</v>
      </c>
      <c r="D109" s="2">
        <f t="shared" ca="1" si="3"/>
        <v>1.9730206544000692</v>
      </c>
      <c r="E109" s="4" t="s">
        <v>6</v>
      </c>
      <c r="G109">
        <v>1.2</v>
      </c>
      <c r="H109" s="8">
        <f t="shared" ca="1" si="4"/>
        <v>1.9730206544000692</v>
      </c>
      <c r="J109" t="str">
        <f ca="1"/>
        <v>Iris-versicolor</v>
      </c>
      <c r="K109">
        <f ca="1"/>
        <v>2.1259799682039183E-6</v>
      </c>
      <c r="L109">
        <f ca="1"/>
        <v>0.99999787402003182</v>
      </c>
      <c r="M109">
        <f ca="1"/>
        <v>3.1939097636722035E-38</v>
      </c>
      <c r="P109" s="9"/>
      <c r="Q109" s="8"/>
      <c r="R109" s="8"/>
      <c r="S109" s="8"/>
      <c r="T109" s="7"/>
    </row>
    <row r="110" spans="1:20" x14ac:dyDescent="0.4">
      <c r="A110" s="3">
        <v>6</v>
      </c>
      <c r="B110" s="3">
        <v>2.7</v>
      </c>
      <c r="C110" s="3">
        <v>5.0999999999999996</v>
      </c>
      <c r="D110" s="2">
        <f t="shared" ca="1" si="3"/>
        <v>1.8319792599998079</v>
      </c>
      <c r="E110" s="5" t="s">
        <v>6</v>
      </c>
      <c r="G110">
        <v>1.6</v>
      </c>
      <c r="H110" s="8">
        <f t="shared" ca="1" si="4"/>
        <v>1.8319792599998079</v>
      </c>
      <c r="J110" t="str">
        <f ca="1"/>
        <v>Iris-virginica</v>
      </c>
      <c r="K110">
        <f ca="1"/>
        <v>2.111967176980671E-63</v>
      </c>
      <c r="L110">
        <f ca="1"/>
        <v>1.5360063555574156E-40</v>
      </c>
      <c r="M110">
        <f ca="1"/>
        <v>1</v>
      </c>
      <c r="P110" s="9"/>
      <c r="Q110" s="8"/>
      <c r="R110" s="8"/>
      <c r="S110" s="8"/>
      <c r="T110" s="7"/>
    </row>
    <row r="111" spans="1:20" x14ac:dyDescent="0.4">
      <c r="A111" s="2">
        <v>5.4</v>
      </c>
      <c r="B111" s="2">
        <v>3</v>
      </c>
      <c r="C111" s="2">
        <v>4.5</v>
      </c>
      <c r="D111" s="2">
        <f t="shared" ca="1" si="3"/>
        <v>2.4756674276890021</v>
      </c>
      <c r="E111" s="4" t="s">
        <v>6</v>
      </c>
      <c r="G111">
        <v>1.5</v>
      </c>
      <c r="H111" s="8">
        <f t="shared" ca="1" si="4"/>
        <v>2.4756674276890021</v>
      </c>
      <c r="J111" t="str">
        <f ca="1"/>
        <v>Iris-virginica</v>
      </c>
      <c r="K111">
        <f ca="1"/>
        <v>1.4253302613219847E-58</v>
      </c>
      <c r="L111">
        <f ca="1"/>
        <v>9.3953541882283839E-48</v>
      </c>
      <c r="M111">
        <f ca="1"/>
        <v>1</v>
      </c>
      <c r="P111" s="9"/>
      <c r="Q111" s="8"/>
      <c r="R111" s="8"/>
      <c r="S111" s="8"/>
      <c r="T111" s="7"/>
    </row>
    <row r="112" spans="1:20" x14ac:dyDescent="0.4">
      <c r="A112" s="3">
        <v>6</v>
      </c>
      <c r="B112" s="3">
        <v>3.4</v>
      </c>
      <c r="C112" s="3">
        <v>4.5</v>
      </c>
      <c r="D112" s="2">
        <f t="shared" ca="1" si="3"/>
        <v>2.1746764237347822</v>
      </c>
      <c r="E112" s="5" t="s">
        <v>6</v>
      </c>
      <c r="G112">
        <v>1.6</v>
      </c>
      <c r="H112" s="8">
        <f t="shared" ca="1" si="4"/>
        <v>2.1746764237347822</v>
      </c>
      <c r="J112" t="str">
        <f ca="1"/>
        <v>Iris-versicolor</v>
      </c>
      <c r="K112">
        <f ca="1"/>
        <v>6.1155066312220284E-3</v>
      </c>
      <c r="L112">
        <f ca="1"/>
        <v>0.99388449336853046</v>
      </c>
      <c r="M112">
        <f ca="1"/>
        <v>2.4765906747098752E-13</v>
      </c>
      <c r="P112" s="9"/>
      <c r="Q112" s="8"/>
      <c r="R112" s="8"/>
      <c r="S112" s="8"/>
      <c r="T112" s="7"/>
    </row>
    <row r="113" spans="1:20" x14ac:dyDescent="0.4">
      <c r="A113" s="2">
        <v>6.7</v>
      </c>
      <c r="B113" s="2">
        <v>3.1</v>
      </c>
      <c r="C113" s="2">
        <v>4.7</v>
      </c>
      <c r="D113" s="2">
        <f t="shared" ca="1" si="3"/>
        <v>2.0105053661090793</v>
      </c>
      <c r="E113" s="4" t="s">
        <v>6</v>
      </c>
      <c r="G113">
        <v>1.5</v>
      </c>
      <c r="H113" s="8">
        <f t="shared" ca="1" si="4"/>
        <v>2.0105053661090793</v>
      </c>
      <c r="J113" t="str">
        <f ca="1"/>
        <v>Iris-versicolor</v>
      </c>
      <c r="K113">
        <f ca="1"/>
        <v>1.8100450538678962E-4</v>
      </c>
      <c r="L113">
        <f ca="1"/>
        <v>0.99981899549461317</v>
      </c>
      <c r="M113">
        <f ca="1"/>
        <v>2.8801886233709849E-24</v>
      </c>
      <c r="P113" s="9"/>
      <c r="Q113" s="8"/>
      <c r="R113" s="8"/>
      <c r="S113" s="8"/>
      <c r="T113" s="7"/>
    </row>
    <row r="114" spans="1:20" x14ac:dyDescent="0.4">
      <c r="A114" s="3">
        <v>6.3</v>
      </c>
      <c r="B114" s="3">
        <v>2.2999999999999998</v>
      </c>
      <c r="C114" s="3">
        <v>4.4000000000000004</v>
      </c>
      <c r="D114" s="2">
        <f t="shared" ca="1" si="3"/>
        <v>1.995831464320323</v>
      </c>
      <c r="E114" s="5" t="s">
        <v>6</v>
      </c>
      <c r="G114">
        <v>1.3</v>
      </c>
      <c r="H114" s="8">
        <f t="shared" ca="1" si="4"/>
        <v>1.995831464320323</v>
      </c>
      <c r="J114" t="str">
        <f ca="1"/>
        <v>Iris-versicolor</v>
      </c>
      <c r="K114">
        <f ca="1"/>
        <v>2.3817220258858201E-14</v>
      </c>
      <c r="L114">
        <f ca="1"/>
        <v>0.75753337574812374</v>
      </c>
      <c r="M114">
        <f ca="1"/>
        <v>0.24246662425185239</v>
      </c>
      <c r="P114" s="9"/>
      <c r="Q114" s="8"/>
      <c r="R114" s="8"/>
      <c r="S114" s="8"/>
      <c r="T114" s="7"/>
    </row>
    <row r="115" spans="1:20" x14ac:dyDescent="0.4">
      <c r="A115" s="2">
        <v>5.6</v>
      </c>
      <c r="B115" s="2">
        <v>3</v>
      </c>
      <c r="C115" s="2">
        <v>4.0999999999999996</v>
      </c>
      <c r="D115" s="2">
        <f t="shared" ca="1" si="3"/>
        <v>1.8904912694612253</v>
      </c>
      <c r="E115" s="4" t="s">
        <v>6</v>
      </c>
      <c r="G115">
        <v>1.3</v>
      </c>
      <c r="H115" s="8">
        <f t="shared" ca="1" si="4"/>
        <v>1.8904912694612253</v>
      </c>
      <c r="J115" t="str">
        <f ca="1"/>
        <v>Iris-versicolor</v>
      </c>
      <c r="K115">
        <f ca="1"/>
        <v>5.3070599385404121E-8</v>
      </c>
      <c r="L115">
        <f ca="1"/>
        <v>0.99999994692940064</v>
      </c>
      <c r="M115">
        <f ca="1"/>
        <v>6.3428479698298187E-32</v>
      </c>
      <c r="P115" s="9"/>
      <c r="Q115" s="8"/>
      <c r="R115" s="8"/>
      <c r="S115" s="8"/>
      <c r="T115" s="7"/>
    </row>
    <row r="116" spans="1:20" x14ac:dyDescent="0.4">
      <c r="A116" s="3">
        <v>5.5</v>
      </c>
      <c r="B116" s="3">
        <v>2.5</v>
      </c>
      <c r="C116" s="3">
        <v>4</v>
      </c>
      <c r="D116" s="2">
        <f t="shared" ca="1" si="3"/>
        <v>2.0802146757149793</v>
      </c>
      <c r="E116" s="5" t="s">
        <v>6</v>
      </c>
      <c r="G116">
        <v>1.3</v>
      </c>
      <c r="H116" s="8">
        <f t="shared" ca="1" si="4"/>
        <v>2.0802146757149793</v>
      </c>
      <c r="J116" t="str">
        <f ca="1"/>
        <v>Iris-versicolor</v>
      </c>
      <c r="K116">
        <f ca="1"/>
        <v>1.580907517079416E-12</v>
      </c>
      <c r="L116">
        <f ca="1"/>
        <v>0.99785326058928558</v>
      </c>
      <c r="M116">
        <f ca="1"/>
        <v>2.1467394091334883E-3</v>
      </c>
      <c r="P116" s="9"/>
      <c r="Q116" s="8"/>
      <c r="R116" s="8"/>
      <c r="S116" s="8"/>
      <c r="T116" s="7"/>
    </row>
    <row r="117" spans="1:20" x14ac:dyDescent="0.4">
      <c r="A117" s="2">
        <v>5.5</v>
      </c>
      <c r="B117" s="2">
        <v>2.6</v>
      </c>
      <c r="C117" s="2">
        <v>4.4000000000000004</v>
      </c>
      <c r="D117" s="2">
        <f t="shared" ca="1" si="3"/>
        <v>1.9467032758213476</v>
      </c>
      <c r="E117" s="4" t="s">
        <v>6</v>
      </c>
      <c r="G117">
        <v>1.2</v>
      </c>
      <c r="H117" s="8">
        <f t="shared" ca="1" si="4"/>
        <v>1.9467032758213476</v>
      </c>
      <c r="J117" t="str">
        <f ca="1"/>
        <v>Iris-virginica</v>
      </c>
      <c r="K117">
        <f ca="1"/>
        <v>2.8826119236044745E-34</v>
      </c>
      <c r="L117">
        <f ca="1"/>
        <v>9.1363033519517009E-17</v>
      </c>
      <c r="M117">
        <f ca="1"/>
        <v>1</v>
      </c>
      <c r="P117" s="9"/>
      <c r="Q117" s="8"/>
      <c r="R117" s="8"/>
      <c r="S117" s="8"/>
      <c r="T117" s="7"/>
    </row>
    <row r="118" spans="1:20" x14ac:dyDescent="0.4">
      <c r="A118" s="3">
        <v>6.1</v>
      </c>
      <c r="B118" s="3">
        <v>3</v>
      </c>
      <c r="C118" s="3">
        <v>4.5999999999999996</v>
      </c>
      <c r="D118" s="2">
        <f t="shared" ca="1" si="3"/>
        <v>1.4917014505822954</v>
      </c>
      <c r="E118" s="5" t="s">
        <v>6</v>
      </c>
      <c r="G118">
        <v>1.4</v>
      </c>
      <c r="H118" s="8">
        <f t="shared" ca="1" si="4"/>
        <v>1.4917014505822954</v>
      </c>
      <c r="J118" t="str">
        <f ca="1"/>
        <v>Iris-versicolor</v>
      </c>
      <c r="K118">
        <f ca="1"/>
        <v>9.0999387013670108E-14</v>
      </c>
      <c r="L118">
        <f ca="1"/>
        <v>0.99999999999990896</v>
      </c>
      <c r="M118">
        <f ca="1"/>
        <v>9.3120620224066239E-39</v>
      </c>
      <c r="P118" s="9"/>
      <c r="Q118" s="8"/>
      <c r="R118" s="8"/>
      <c r="S118" s="8"/>
      <c r="T118" s="7"/>
    </row>
    <row r="119" spans="1:20" x14ac:dyDescent="0.4">
      <c r="A119" s="2">
        <v>5.8</v>
      </c>
      <c r="B119" s="2">
        <v>2.6</v>
      </c>
      <c r="C119" s="2">
        <v>4</v>
      </c>
      <c r="D119" s="2">
        <f t="shared" ca="1" si="3"/>
        <v>1.854938334713226</v>
      </c>
      <c r="E119" s="4" t="s">
        <v>6</v>
      </c>
      <c r="G119">
        <v>1.2</v>
      </c>
      <c r="H119" s="8">
        <f t="shared" ca="1" si="4"/>
        <v>1.854938334713226</v>
      </c>
      <c r="J119" t="str">
        <f ca="1"/>
        <v>Iris-versicolor</v>
      </c>
      <c r="K119">
        <f ca="1"/>
        <v>4.4605342695331994E-10</v>
      </c>
      <c r="L119">
        <f ca="1"/>
        <v>0.99999999955394658</v>
      </c>
      <c r="M119">
        <f ca="1"/>
        <v>3.4580737804153107E-34</v>
      </c>
      <c r="P119" s="9"/>
      <c r="Q119" s="8"/>
      <c r="R119" s="8"/>
      <c r="S119" s="8"/>
      <c r="T119" s="7"/>
    </row>
    <row r="120" spans="1:20" x14ac:dyDescent="0.4">
      <c r="A120" s="3">
        <v>5</v>
      </c>
      <c r="B120" s="3">
        <v>2.2999999999999998</v>
      </c>
      <c r="C120" s="3">
        <v>3.3</v>
      </c>
      <c r="D120" s="2">
        <f t="shared" ca="1" si="3"/>
        <v>1.776022069640848</v>
      </c>
      <c r="E120" s="5" t="s">
        <v>6</v>
      </c>
      <c r="G120">
        <v>1</v>
      </c>
      <c r="H120" s="8">
        <f t="shared" ca="1" si="4"/>
        <v>1.776022069640848</v>
      </c>
      <c r="J120" t="str">
        <f ca="1"/>
        <v>Iris-versicolor</v>
      </c>
      <c r="K120">
        <f ca="1"/>
        <v>1.4116332804355686E-11</v>
      </c>
      <c r="L120">
        <f ca="1"/>
        <v>0.99999999998588374</v>
      </c>
      <c r="M120">
        <f ca="1"/>
        <v>6.0321148197714658E-51</v>
      </c>
      <c r="P120" s="9"/>
      <c r="Q120" s="8"/>
      <c r="R120" s="8"/>
      <c r="S120" s="8"/>
      <c r="T120" s="7"/>
    </row>
    <row r="121" spans="1:20" x14ac:dyDescent="0.4">
      <c r="A121" s="2">
        <v>5.6</v>
      </c>
      <c r="B121" s="2">
        <v>2.7</v>
      </c>
      <c r="C121" s="2">
        <v>4.2</v>
      </c>
      <c r="D121" s="2">
        <f t="shared" ca="1" si="3"/>
        <v>2.2685298839199088</v>
      </c>
      <c r="E121" s="4" t="s">
        <v>6</v>
      </c>
      <c r="G121">
        <v>1.3</v>
      </c>
      <c r="H121" s="8">
        <f t="shared" ca="1" si="4"/>
        <v>2.2685298839199088</v>
      </c>
      <c r="J121" t="str">
        <f ca="1"/>
        <v>Iris-virginica</v>
      </c>
      <c r="K121">
        <f ca="1"/>
        <v>3.0019219339675381E-24</v>
      </c>
      <c r="L121">
        <f ca="1"/>
        <v>2.2049701391395085E-14</v>
      </c>
      <c r="M121">
        <f ca="1"/>
        <v>0.99999999999997802</v>
      </c>
      <c r="P121" s="9"/>
      <c r="Q121" s="8"/>
      <c r="R121" s="8"/>
      <c r="S121" s="8"/>
      <c r="T121" s="7"/>
    </row>
    <row r="122" spans="1:20" x14ac:dyDescent="0.4">
      <c r="A122" s="3">
        <v>5.7</v>
      </c>
      <c r="B122" s="3">
        <v>3</v>
      </c>
      <c r="C122" s="3">
        <v>4.2</v>
      </c>
      <c r="D122" s="2">
        <f t="shared" ca="1" si="3"/>
        <v>1.3869295805247948</v>
      </c>
      <c r="E122" s="5" t="s">
        <v>6</v>
      </c>
      <c r="G122">
        <v>1.2</v>
      </c>
      <c r="H122" s="8">
        <f t="shared" ca="1" si="4"/>
        <v>1.3869295805247948</v>
      </c>
      <c r="J122" t="str">
        <f ca="1"/>
        <v>Iris-versicolor</v>
      </c>
      <c r="K122">
        <f ca="1"/>
        <v>2.6518877287172396E-12</v>
      </c>
      <c r="L122">
        <f ca="1"/>
        <v>0.99999999999734812</v>
      </c>
      <c r="M122">
        <f ca="1"/>
        <v>2.281918801491211E-61</v>
      </c>
      <c r="P122" s="9"/>
      <c r="Q122" s="8"/>
      <c r="R122" s="8"/>
      <c r="S122" s="8"/>
      <c r="T122" s="7"/>
    </row>
    <row r="123" spans="1:20" x14ac:dyDescent="0.4">
      <c r="A123" s="2">
        <v>5.7</v>
      </c>
      <c r="B123" s="2">
        <v>2.9</v>
      </c>
      <c r="C123" s="2">
        <v>4.2</v>
      </c>
      <c r="D123" s="2">
        <f t="shared" ref="D123:D154" ca="1" si="5">H123</f>
        <v>1.4110957775436006</v>
      </c>
      <c r="E123" s="4" t="s">
        <v>6</v>
      </c>
      <c r="G123">
        <v>1.3</v>
      </c>
      <c r="H123" s="8">
        <f t="shared" ca="1" si="4"/>
        <v>1.4110957775436006</v>
      </c>
      <c r="J123" t="str">
        <f ca="1"/>
        <v>Iris-versicolor</v>
      </c>
      <c r="K123">
        <f ca="1"/>
        <v>2.0140123970591206E-13</v>
      </c>
      <c r="L123">
        <f ca="1"/>
        <v>0.99999999999979861</v>
      </c>
      <c r="M123">
        <f ca="1"/>
        <v>8.6104627839302738E-56</v>
      </c>
      <c r="P123" s="9"/>
      <c r="Q123" s="8"/>
      <c r="R123" s="8"/>
      <c r="S123" s="8"/>
      <c r="T123" s="7"/>
    </row>
    <row r="124" spans="1:20" x14ac:dyDescent="0.4">
      <c r="A124" s="3">
        <v>6.2</v>
      </c>
      <c r="B124" s="3">
        <v>2.9</v>
      </c>
      <c r="C124" s="3">
        <v>4.3</v>
      </c>
      <c r="D124" s="2">
        <f t="shared" ca="1" si="5"/>
        <v>1.4696553495594435</v>
      </c>
      <c r="E124" s="5" t="s">
        <v>6</v>
      </c>
      <c r="G124">
        <v>1.3</v>
      </c>
      <c r="H124" s="8">
        <f t="shared" ca="1" si="4"/>
        <v>1.4696553495594435</v>
      </c>
      <c r="J124" t="str">
        <f ca="1"/>
        <v>Iris-versicolor</v>
      </c>
      <c r="K124">
        <f ca="1"/>
        <v>8.7829162965165811E-10</v>
      </c>
      <c r="L124">
        <f ca="1"/>
        <v>0.99999999912170834</v>
      </c>
      <c r="M124">
        <f ca="1"/>
        <v>7.4834393168949421E-64</v>
      </c>
      <c r="P124" s="9"/>
      <c r="Q124" s="8"/>
      <c r="R124" s="8"/>
      <c r="S124" s="8"/>
      <c r="T124" s="7"/>
    </row>
    <row r="125" spans="1:20" x14ac:dyDescent="0.4">
      <c r="A125" s="2">
        <v>5.0999999999999996</v>
      </c>
      <c r="B125" s="2">
        <v>2.5</v>
      </c>
      <c r="C125" s="2">
        <v>3</v>
      </c>
      <c r="D125" s="2">
        <f t="shared" ca="1" si="5"/>
        <v>1.1380943312435452</v>
      </c>
      <c r="E125" s="4" t="s">
        <v>6</v>
      </c>
      <c r="G125">
        <v>1.1000000000000001</v>
      </c>
      <c r="H125" s="8">
        <f t="shared" ca="1" si="4"/>
        <v>1.1380943312435452</v>
      </c>
      <c r="J125" t="str">
        <f ca="1"/>
        <v>Iris-versicolor</v>
      </c>
      <c r="K125">
        <f ca="1"/>
        <v>2.8601962133699907E-8</v>
      </c>
      <c r="L125">
        <f ca="1"/>
        <v>0.99999997139803776</v>
      </c>
      <c r="M125">
        <f ca="1"/>
        <v>9.031996057125062E-129</v>
      </c>
      <c r="P125" s="9"/>
      <c r="Q125" s="8"/>
      <c r="R125" s="8"/>
      <c r="S125" s="8"/>
      <c r="T125" s="7"/>
    </row>
    <row r="126" spans="1:20" x14ac:dyDescent="0.4">
      <c r="A126" s="3">
        <v>5.7</v>
      </c>
      <c r="B126" s="3">
        <v>2.8</v>
      </c>
      <c r="C126" s="3">
        <v>4.0999999999999996</v>
      </c>
      <c r="D126" s="2">
        <f t="shared" ca="1" si="5"/>
        <v>2.2999423967552666</v>
      </c>
      <c r="E126" s="5" t="s">
        <v>6</v>
      </c>
      <c r="G126">
        <v>1.3</v>
      </c>
      <c r="H126" s="8">
        <f t="shared" ca="1" si="4"/>
        <v>2.2999423967552666</v>
      </c>
      <c r="J126" t="str">
        <f ca="1"/>
        <v>Iris-versicolor</v>
      </c>
      <c r="K126">
        <f ca="1"/>
        <v>7.0595342584189974E-7</v>
      </c>
      <c r="L126">
        <f ca="1"/>
        <v>0.54839695759306384</v>
      </c>
      <c r="M126">
        <f ca="1"/>
        <v>0.45160233645351028</v>
      </c>
      <c r="P126" s="9"/>
      <c r="Q126" s="8"/>
      <c r="R126" s="8"/>
      <c r="S126" s="8"/>
      <c r="T126" s="7"/>
    </row>
    <row r="127" spans="1:20" x14ac:dyDescent="0.4">
      <c r="A127" s="2">
        <v>6.3</v>
      </c>
      <c r="B127" s="2">
        <v>3.3</v>
      </c>
      <c r="C127" s="2">
        <v>6</v>
      </c>
      <c r="D127" s="2">
        <f t="shared" ca="1" si="5"/>
        <v>3.3403961440132166</v>
      </c>
      <c r="E127" s="4" t="s">
        <v>7</v>
      </c>
      <c r="G127">
        <v>2.5</v>
      </c>
      <c r="H127" s="8">
        <f t="shared" ca="1" si="4"/>
        <v>3.3403961440132166</v>
      </c>
      <c r="J127" t="str">
        <f ca="1"/>
        <v>Iris-virginica</v>
      </c>
      <c r="K127">
        <f ca="1"/>
        <v>3.2100537500635599E-190</v>
      </c>
      <c r="L127">
        <f ca="1"/>
        <v>1.1572419519807519E-175</v>
      </c>
      <c r="M127">
        <f ca="1"/>
        <v>1</v>
      </c>
      <c r="P127" s="9"/>
      <c r="Q127" s="8"/>
      <c r="R127" s="8"/>
      <c r="S127" s="8"/>
      <c r="T127" s="7"/>
    </row>
    <row r="128" spans="1:20" x14ac:dyDescent="0.4">
      <c r="A128" s="3">
        <v>5.8</v>
      </c>
      <c r="B128" s="3">
        <v>2.7</v>
      </c>
      <c r="C128" s="3">
        <v>5.0999999999999996</v>
      </c>
      <c r="D128" s="2">
        <f t="shared" ca="1" si="5"/>
        <v>1.9274241343056842</v>
      </c>
      <c r="E128" s="5" t="s">
        <v>7</v>
      </c>
      <c r="G128">
        <v>1.9</v>
      </c>
      <c r="H128" s="8">
        <f t="shared" ca="1" si="4"/>
        <v>1.9274241343056842</v>
      </c>
      <c r="J128" t="str">
        <f ca="1"/>
        <v>Iris-virginica</v>
      </c>
      <c r="K128">
        <f ca="1"/>
        <v>7.9209712017626521E-79</v>
      </c>
      <c r="L128">
        <f ca="1"/>
        <v>8.59272706248817E-55</v>
      </c>
      <c r="M128">
        <f ca="1"/>
        <v>1</v>
      </c>
      <c r="P128" s="9"/>
      <c r="Q128" s="8"/>
      <c r="R128" s="8"/>
      <c r="S128" s="8"/>
      <c r="T128" s="7"/>
    </row>
    <row r="129" spans="1:20" x14ac:dyDescent="0.4">
      <c r="A129" s="2">
        <v>7.1</v>
      </c>
      <c r="B129" s="2">
        <v>3</v>
      </c>
      <c r="C129" s="2">
        <v>5.9</v>
      </c>
      <c r="D129" s="2">
        <f t="shared" ca="1" si="5"/>
        <v>3.0796113163371852</v>
      </c>
      <c r="E129" s="4" t="s">
        <v>7</v>
      </c>
      <c r="G129">
        <v>2.1</v>
      </c>
      <c r="H129" s="8">
        <f t="shared" ca="1" si="4"/>
        <v>3.0796113163371852</v>
      </c>
      <c r="J129" t="str">
        <f ca="1"/>
        <v>Iris-virginica</v>
      </c>
      <c r="K129">
        <f ca="1"/>
        <v>4.4947760128238344E-142</v>
      </c>
      <c r="L129">
        <f ca="1"/>
        <v>1.0262467164990842E-130</v>
      </c>
      <c r="M129">
        <f ca="1"/>
        <v>1</v>
      </c>
      <c r="P129" s="9"/>
      <c r="Q129" s="8"/>
      <c r="R129" s="8"/>
      <c r="S129" s="8"/>
      <c r="T129" s="7"/>
    </row>
    <row r="130" spans="1:20" x14ac:dyDescent="0.4">
      <c r="A130" s="3">
        <v>6.3</v>
      </c>
      <c r="B130" s="3">
        <v>2.9</v>
      </c>
      <c r="C130" s="3">
        <v>5.6</v>
      </c>
      <c r="D130" s="2">
        <f t="shared" ca="1" si="5"/>
        <v>1.8133706022899929</v>
      </c>
      <c r="E130" s="5" t="s">
        <v>7</v>
      </c>
      <c r="G130">
        <v>1.8</v>
      </c>
      <c r="H130" s="8">
        <f t="shared" ca="1" si="4"/>
        <v>1.8133706022899929</v>
      </c>
      <c r="J130" t="str">
        <f ca="1"/>
        <v>Iris-virginica</v>
      </c>
      <c r="K130">
        <f ca="1"/>
        <v>5.8438992064173322E-84</v>
      </c>
      <c r="L130">
        <f ca="1"/>
        <v>7.1573961034816075E-59</v>
      </c>
      <c r="M130">
        <f ca="1"/>
        <v>1</v>
      </c>
      <c r="P130" s="9"/>
      <c r="Q130" s="8"/>
      <c r="R130" s="8"/>
      <c r="S130" s="8"/>
      <c r="T130" s="7"/>
    </row>
    <row r="131" spans="1:20" x14ac:dyDescent="0.4">
      <c r="A131" s="2">
        <v>6.5</v>
      </c>
      <c r="B131" s="2">
        <v>3</v>
      </c>
      <c r="C131" s="2">
        <v>5.8</v>
      </c>
      <c r="D131" s="2">
        <f t="shared" ca="1" si="5"/>
        <v>2.9766731471379506</v>
      </c>
      <c r="E131" s="4" t="s">
        <v>7</v>
      </c>
      <c r="G131">
        <v>2.2000000000000002</v>
      </c>
      <c r="H131" s="8">
        <f t="shared" ca="1" si="4"/>
        <v>2.9766731471379506</v>
      </c>
      <c r="J131" t="str">
        <f ca="1"/>
        <v>Iris-virginica</v>
      </c>
      <c r="K131">
        <f ca="1"/>
        <v>4.5380182646303831E-156</v>
      </c>
      <c r="L131">
        <f ca="1"/>
        <v>8.4326265772061561E-140</v>
      </c>
      <c r="M131">
        <f ca="1"/>
        <v>1</v>
      </c>
      <c r="P131" s="9"/>
      <c r="Q131" s="8"/>
      <c r="R131" s="8"/>
      <c r="S131" s="8"/>
      <c r="T131" s="7"/>
    </row>
    <row r="132" spans="1:20" x14ac:dyDescent="0.4">
      <c r="A132" s="3">
        <v>7.6</v>
      </c>
      <c r="B132" s="3">
        <v>3</v>
      </c>
      <c r="C132" s="3">
        <v>6.6</v>
      </c>
      <c r="D132" s="2">
        <f t="shared" ca="1" si="5"/>
        <v>2.8253951733246128</v>
      </c>
      <c r="E132" s="5" t="s">
        <v>7</v>
      </c>
      <c r="G132">
        <v>2.1</v>
      </c>
      <c r="H132" s="8">
        <f t="shared" ca="1" si="4"/>
        <v>2.8253951733246128</v>
      </c>
      <c r="J132" t="str">
        <f ca="1"/>
        <v>Iris-virginica</v>
      </c>
      <c r="K132">
        <f ca="1"/>
        <v>2.8066215190949664E-168</v>
      </c>
      <c r="L132">
        <f ca="1"/>
        <v>3.181581966051059E-149</v>
      </c>
      <c r="M132">
        <f ca="1"/>
        <v>1</v>
      </c>
      <c r="P132" s="9"/>
      <c r="Q132" s="8"/>
      <c r="R132" s="8"/>
      <c r="S132" s="8"/>
      <c r="T132" s="7"/>
    </row>
    <row r="133" spans="1:20" x14ac:dyDescent="0.4">
      <c r="A133" s="2">
        <v>4.9000000000000004</v>
      </c>
      <c r="B133" s="2">
        <v>2.5</v>
      </c>
      <c r="C133" s="2">
        <v>4.5</v>
      </c>
      <c r="D133" s="2">
        <f t="shared" ca="1" si="5"/>
        <v>2.161985713728932</v>
      </c>
      <c r="E133" s="4" t="s">
        <v>7</v>
      </c>
      <c r="G133">
        <v>1.7</v>
      </c>
      <c r="H133" s="8">
        <f t="shared" ca="1" si="4"/>
        <v>2.161985713728932</v>
      </c>
      <c r="J133" t="str">
        <f ca="1"/>
        <v>Iris-virginica</v>
      </c>
      <c r="K133">
        <f ca="1"/>
        <v>5.0459776139719508E-91</v>
      </c>
      <c r="L133">
        <f ca="1"/>
        <v>1.1315916141296791E-66</v>
      </c>
      <c r="M133">
        <f ca="1"/>
        <v>1</v>
      </c>
      <c r="P133" s="9"/>
      <c r="Q133" s="8"/>
      <c r="R133" s="8"/>
      <c r="S133" s="8"/>
      <c r="T133" s="7"/>
    </row>
    <row r="134" spans="1:20" x14ac:dyDescent="0.4">
      <c r="A134" s="3">
        <v>7.3</v>
      </c>
      <c r="B134" s="3">
        <v>2.9</v>
      </c>
      <c r="C134" s="3">
        <v>6.3</v>
      </c>
      <c r="D134" s="2">
        <f t="shared" ca="1" si="5"/>
        <v>2.0759794495024457</v>
      </c>
      <c r="E134" s="5" t="s">
        <v>7</v>
      </c>
      <c r="G134">
        <v>1.8</v>
      </c>
      <c r="H134" s="8">
        <f t="shared" ca="1" si="4"/>
        <v>2.0759794495024457</v>
      </c>
      <c r="J134" t="str">
        <f ca="1"/>
        <v>Iris-virginica</v>
      </c>
      <c r="K134">
        <f ca="1"/>
        <v>4.9004534642000282E-116</v>
      </c>
      <c r="L134">
        <f ca="1"/>
        <v>8.4817023915098955E-92</v>
      </c>
      <c r="M134">
        <f ca="1"/>
        <v>1</v>
      </c>
      <c r="P134" s="9"/>
      <c r="Q134" s="8"/>
      <c r="R134" s="8"/>
      <c r="S134" s="8"/>
      <c r="T134" s="7"/>
    </row>
    <row r="135" spans="1:20" x14ac:dyDescent="0.4">
      <c r="A135" s="2">
        <v>6.7</v>
      </c>
      <c r="B135" s="2">
        <v>2.5</v>
      </c>
      <c r="C135" s="2">
        <v>5.8</v>
      </c>
      <c r="D135" s="2">
        <f t="shared" ca="1" si="5"/>
        <v>2.2293411902911164</v>
      </c>
      <c r="E135" s="4" t="s">
        <v>7</v>
      </c>
      <c r="G135">
        <v>1.8</v>
      </c>
      <c r="H135" s="8">
        <f t="shared" ca="1" si="4"/>
        <v>2.2293411902911164</v>
      </c>
      <c r="J135" t="str">
        <f ca="1"/>
        <v>Iris-virginica</v>
      </c>
      <c r="K135">
        <f ca="1"/>
        <v>1.1347443425685007E-128</v>
      </c>
      <c r="L135">
        <f ca="1"/>
        <v>3.0745714935080623E-102</v>
      </c>
      <c r="M135">
        <f ca="1"/>
        <v>1</v>
      </c>
      <c r="P135" s="9"/>
      <c r="Q135" s="8"/>
      <c r="R135" s="8"/>
      <c r="S135" s="8"/>
      <c r="T135" s="7"/>
    </row>
    <row r="136" spans="1:20" x14ac:dyDescent="0.4">
      <c r="A136" s="3">
        <v>7.2</v>
      </c>
      <c r="B136" s="3">
        <v>3.6</v>
      </c>
      <c r="C136" s="3">
        <v>6.1</v>
      </c>
      <c r="D136" s="2">
        <f t="shared" ca="1" si="5"/>
        <v>2.5095319862686227</v>
      </c>
      <c r="E136" s="5" t="s">
        <v>7</v>
      </c>
      <c r="G136">
        <v>2.5</v>
      </c>
      <c r="H136" s="8">
        <f t="shared" ca="1" si="4"/>
        <v>2.5095319862686227</v>
      </c>
      <c r="J136" t="str">
        <f ca="1"/>
        <v>Iris-virginica</v>
      </c>
      <c r="K136">
        <f ca="1"/>
        <v>9.3856681858286155E-91</v>
      </c>
      <c r="L136">
        <f ca="1"/>
        <v>6.8296533058675637E-81</v>
      </c>
      <c r="M136">
        <f ca="1"/>
        <v>1</v>
      </c>
      <c r="P136" s="9"/>
      <c r="Q136" s="8"/>
      <c r="R136" s="8"/>
      <c r="S136" s="8"/>
      <c r="T136" s="7"/>
    </row>
    <row r="137" spans="1:20" x14ac:dyDescent="0.4">
      <c r="A137" s="2">
        <v>6.5</v>
      </c>
      <c r="B137" s="2">
        <v>3.2</v>
      </c>
      <c r="C137" s="2">
        <v>5.0999999999999996</v>
      </c>
      <c r="D137" s="2">
        <f t="shared" ca="1" si="5"/>
        <v>2.8856898431920452</v>
      </c>
      <c r="E137" s="4" t="s">
        <v>7</v>
      </c>
      <c r="G137">
        <v>2</v>
      </c>
      <c r="H137" s="8">
        <f t="shared" ca="1" si="4"/>
        <v>2.8856898431920452</v>
      </c>
      <c r="J137" t="str">
        <f ca="1"/>
        <v>Iris-virginica</v>
      </c>
      <c r="K137">
        <f ca="1"/>
        <v>1.7591327994684209E-74</v>
      </c>
      <c r="L137">
        <f ca="1"/>
        <v>1.1970458171762731E-70</v>
      </c>
      <c r="M137">
        <f ca="1"/>
        <v>1</v>
      </c>
      <c r="P137" s="9"/>
      <c r="Q137" s="8"/>
      <c r="R137" s="8"/>
      <c r="S137" s="8"/>
      <c r="T137" s="7"/>
    </row>
    <row r="138" spans="1:20" x14ac:dyDescent="0.4">
      <c r="A138" s="3">
        <v>6.4</v>
      </c>
      <c r="B138" s="3">
        <v>2.7</v>
      </c>
      <c r="C138" s="3">
        <v>5.3</v>
      </c>
      <c r="D138" s="2">
        <f t="shared" ca="1" si="5"/>
        <v>1.9508891473946188</v>
      </c>
      <c r="E138" s="5" t="s">
        <v>7</v>
      </c>
      <c r="G138">
        <v>1.9</v>
      </c>
      <c r="H138" s="8">
        <f t="shared" ca="1" si="4"/>
        <v>1.9508891473946188</v>
      </c>
      <c r="J138" t="str">
        <f ca="1"/>
        <v>Iris-virginica</v>
      </c>
      <c r="K138">
        <f ca="1"/>
        <v>1.5330315941723909E-69</v>
      </c>
      <c r="L138">
        <f ca="1"/>
        <v>2.5276538327290493E-48</v>
      </c>
      <c r="M138">
        <f ca="1"/>
        <v>1</v>
      </c>
      <c r="P138" s="9"/>
      <c r="Q138" s="8"/>
      <c r="R138" s="8"/>
      <c r="S138" s="8"/>
      <c r="T138" s="7"/>
    </row>
    <row r="139" spans="1:20" x14ac:dyDescent="0.4">
      <c r="A139" s="2">
        <v>6.8</v>
      </c>
      <c r="B139" s="2">
        <v>3</v>
      </c>
      <c r="C139" s="2">
        <v>5.5</v>
      </c>
      <c r="D139" s="2">
        <f t="shared" ca="1" si="5"/>
        <v>2.3115468288676926</v>
      </c>
      <c r="E139" s="4" t="s">
        <v>7</v>
      </c>
      <c r="G139">
        <v>2.1</v>
      </c>
      <c r="H139" s="8">
        <f t="shared" ca="1" si="4"/>
        <v>2.3115468288676926</v>
      </c>
      <c r="J139" t="str">
        <f ca="1"/>
        <v>Iris-virginica</v>
      </c>
      <c r="K139">
        <f ca="1"/>
        <v>4.4700303847632108E-74</v>
      </c>
      <c r="L139">
        <f ca="1"/>
        <v>3.3895827173238075E-60</v>
      </c>
      <c r="M139">
        <f ca="1"/>
        <v>1</v>
      </c>
      <c r="P139" s="9"/>
      <c r="Q139" s="8"/>
      <c r="R139" s="8"/>
      <c r="S139" s="8"/>
      <c r="T139" s="7"/>
    </row>
    <row r="140" spans="1:20" x14ac:dyDescent="0.4">
      <c r="A140" s="3">
        <v>5.7</v>
      </c>
      <c r="B140" s="3">
        <v>2.5</v>
      </c>
      <c r="C140" s="3">
        <v>5</v>
      </c>
      <c r="D140" s="2">
        <f t="shared" ca="1" si="5"/>
        <v>2.5843547030646432</v>
      </c>
      <c r="E140" s="5" t="s">
        <v>7</v>
      </c>
      <c r="G140">
        <v>2</v>
      </c>
      <c r="H140" s="8">
        <f t="shared" ca="1" si="4"/>
        <v>2.5843547030646432</v>
      </c>
      <c r="J140" t="str">
        <f ca="1"/>
        <v>Iris-virginica</v>
      </c>
      <c r="K140">
        <f ca="1"/>
        <v>1.5315965889136629E-123</v>
      </c>
      <c r="L140">
        <f ca="1"/>
        <v>2.3874973621119687E-102</v>
      </c>
      <c r="M140">
        <f ca="1"/>
        <v>1</v>
      </c>
      <c r="P140" s="9"/>
      <c r="Q140" s="8"/>
      <c r="R140" s="8"/>
      <c r="S140" s="8"/>
      <c r="T140" s="7"/>
    </row>
    <row r="141" spans="1:20" x14ac:dyDescent="0.4">
      <c r="A141" s="2">
        <v>5.8</v>
      </c>
      <c r="B141" s="2">
        <v>2.8</v>
      </c>
      <c r="C141" s="2">
        <v>5.0999999999999996</v>
      </c>
      <c r="D141" s="2">
        <f t="shared" ca="1" si="5"/>
        <v>3.3734550824499734</v>
      </c>
      <c r="E141" s="4" t="s">
        <v>7</v>
      </c>
      <c r="G141">
        <v>2.4</v>
      </c>
      <c r="H141" s="8">
        <f t="shared" ca="1" si="4"/>
        <v>3.3734550824499734</v>
      </c>
      <c r="J141" t="str">
        <f ca="1"/>
        <v>Iris-virginica</v>
      </c>
      <c r="K141">
        <f ca="1"/>
        <v>1.3010835235540213E-158</v>
      </c>
      <c r="L141">
        <f ca="1"/>
        <v>1.2856364646225464E-146</v>
      </c>
      <c r="M141">
        <f ca="1"/>
        <v>1</v>
      </c>
      <c r="P141" s="9"/>
      <c r="Q141" s="8"/>
      <c r="R141" s="8"/>
      <c r="S141" s="8"/>
      <c r="T141" s="7"/>
    </row>
    <row r="142" spans="1:20" x14ac:dyDescent="0.4">
      <c r="A142" s="3">
        <v>6.4</v>
      </c>
      <c r="B142" s="3">
        <v>3.2</v>
      </c>
      <c r="C142" s="3">
        <v>5.3</v>
      </c>
      <c r="D142" s="2">
        <f t="shared" ca="1" si="5"/>
        <v>2.3848890346815743</v>
      </c>
      <c r="E142" s="5" t="s">
        <v>7</v>
      </c>
      <c r="G142">
        <v>2.2999999999999998</v>
      </c>
      <c r="H142" s="8">
        <f t="shared" ca="1" si="4"/>
        <v>2.3848890346815743</v>
      </c>
      <c r="J142" t="str">
        <f ca="1"/>
        <v>Iris-virginica</v>
      </c>
      <c r="K142">
        <f ca="1"/>
        <v>1.0717677921218013E-68</v>
      </c>
      <c r="L142">
        <f ca="1"/>
        <v>3.375663699552159E-57</v>
      </c>
      <c r="M142">
        <f ca="1"/>
        <v>1</v>
      </c>
      <c r="P142" s="9"/>
      <c r="Q142" s="8"/>
      <c r="R142" s="8"/>
      <c r="S142" s="8"/>
      <c r="T142" s="7"/>
    </row>
    <row r="143" spans="1:20" x14ac:dyDescent="0.4">
      <c r="A143" s="2">
        <v>6.5</v>
      </c>
      <c r="B143" s="2">
        <v>3</v>
      </c>
      <c r="C143" s="2">
        <v>5.5</v>
      </c>
      <c r="D143" s="2">
        <f t="shared" ca="1" si="5"/>
        <v>1.9060550930769704</v>
      </c>
      <c r="E143" s="4" t="s">
        <v>7</v>
      </c>
      <c r="G143">
        <v>1.8</v>
      </c>
      <c r="H143" s="8">
        <f t="shared" ca="1" si="4"/>
        <v>1.9060550930769704</v>
      </c>
      <c r="J143" t="str">
        <f ca="1"/>
        <v>Iris-virginica</v>
      </c>
      <c r="K143">
        <f ca="1"/>
        <v>6.0946955945396892E-65</v>
      </c>
      <c r="L143">
        <f ca="1"/>
        <v>3.1685082426038544E-45</v>
      </c>
      <c r="M143">
        <f ca="1"/>
        <v>1</v>
      </c>
      <c r="P143" s="9"/>
      <c r="Q143" s="8"/>
      <c r="R143" s="8"/>
      <c r="S143" s="8"/>
      <c r="T143" s="7"/>
    </row>
    <row r="144" spans="1:20" x14ac:dyDescent="0.4">
      <c r="A144" s="3">
        <v>7.7</v>
      </c>
      <c r="B144" s="3">
        <v>3.8</v>
      </c>
      <c r="C144" s="3">
        <v>6.7</v>
      </c>
      <c r="D144" s="2">
        <f t="shared" ca="1" si="5"/>
        <v>2.4939639120956425</v>
      </c>
      <c r="E144" s="5" t="s">
        <v>7</v>
      </c>
      <c r="G144">
        <v>2.2000000000000002</v>
      </c>
      <c r="H144" s="8">
        <f t="shared" ca="1" si="4"/>
        <v>2.4939639120956425</v>
      </c>
      <c r="J144" t="str">
        <f ca="1"/>
        <v>Iris-virginica</v>
      </c>
      <c r="K144">
        <f ca="1"/>
        <v>4.606247029888327E-111</v>
      </c>
      <c r="L144">
        <f ca="1"/>
        <v>2.2305890356196034E-99</v>
      </c>
      <c r="M144">
        <f ca="1"/>
        <v>1</v>
      </c>
      <c r="P144" s="9"/>
      <c r="Q144" s="8"/>
      <c r="R144" s="8"/>
      <c r="S144" s="8"/>
      <c r="T144" s="7"/>
    </row>
    <row r="145" spans="1:20" x14ac:dyDescent="0.4">
      <c r="A145" s="2">
        <v>7.7</v>
      </c>
      <c r="B145" s="2">
        <v>2.6</v>
      </c>
      <c r="C145" s="2">
        <v>6.9</v>
      </c>
      <c r="D145" s="2">
        <f t="shared" ca="1" si="5"/>
        <v>2.5900864013644616</v>
      </c>
      <c r="E145" s="4" t="s">
        <v>7</v>
      </c>
      <c r="G145">
        <v>2.2999999999999998</v>
      </c>
      <c r="H145" s="8">
        <f t="shared" ca="1" si="4"/>
        <v>2.5900864013644616</v>
      </c>
      <c r="J145" t="str">
        <f ca="1"/>
        <v>Iris-virginica</v>
      </c>
      <c r="K145">
        <f ca="1"/>
        <v>8.8102195628541775E-199</v>
      </c>
      <c r="L145">
        <f ca="1"/>
        <v>3.222149835554049E-169</v>
      </c>
      <c r="M145">
        <f ca="1"/>
        <v>1</v>
      </c>
      <c r="P145" s="9"/>
      <c r="Q145" s="8"/>
      <c r="R145" s="8"/>
      <c r="S145" s="8"/>
      <c r="T145" s="7"/>
    </row>
    <row r="146" spans="1:20" x14ac:dyDescent="0.4">
      <c r="A146" s="3">
        <v>6</v>
      </c>
      <c r="B146" s="3">
        <v>2.2000000000000002</v>
      </c>
      <c r="C146" s="3">
        <v>5</v>
      </c>
      <c r="D146" s="2">
        <f t="shared" ca="1" si="5"/>
        <v>1.8106823813719042</v>
      </c>
      <c r="E146" s="5" t="s">
        <v>7</v>
      </c>
      <c r="G146">
        <v>1.5</v>
      </c>
      <c r="H146" s="8">
        <f t="shared" ca="1" si="4"/>
        <v>1.8106823813719042</v>
      </c>
      <c r="J146" t="str">
        <f ca="1"/>
        <v>Iris-virginica</v>
      </c>
      <c r="K146">
        <f ca="1"/>
        <v>3.8706950170189055E-79</v>
      </c>
      <c r="L146">
        <f ca="1"/>
        <v>3.9875759942160245E-51</v>
      </c>
      <c r="M146">
        <f ca="1"/>
        <v>1</v>
      </c>
      <c r="P146" s="9"/>
      <c r="Q146" s="8"/>
      <c r="R146" s="8"/>
      <c r="S146" s="8"/>
      <c r="T146" s="7"/>
    </row>
    <row r="147" spans="1:20" x14ac:dyDescent="0.4">
      <c r="A147" s="2">
        <v>6.9</v>
      </c>
      <c r="B147" s="2">
        <v>3.2</v>
      </c>
      <c r="C147" s="2">
        <v>5.7</v>
      </c>
      <c r="D147" s="2">
        <f t="shared" ca="1" si="5"/>
        <v>3.2266682806473543</v>
      </c>
      <c r="E147" s="4" t="s">
        <v>7</v>
      </c>
      <c r="G147">
        <v>2.2999999999999998</v>
      </c>
      <c r="H147" s="8">
        <f t="shared" ca="1" si="4"/>
        <v>3.2266682806473543</v>
      </c>
      <c r="J147" t="str">
        <f ca="1"/>
        <v>Iris-virginica</v>
      </c>
      <c r="K147">
        <f ca="1"/>
        <v>3.2211585048788748E-131</v>
      </c>
      <c r="L147">
        <f ca="1"/>
        <v>1.1343980426098572E-124</v>
      </c>
      <c r="M147">
        <f ca="1"/>
        <v>1</v>
      </c>
      <c r="P147" s="9"/>
      <c r="Q147" s="8"/>
      <c r="R147" s="8"/>
      <c r="S147" s="8"/>
      <c r="T147" s="7"/>
    </row>
    <row r="148" spans="1:20" x14ac:dyDescent="0.4">
      <c r="A148" s="3">
        <v>5.6</v>
      </c>
      <c r="B148" s="3">
        <v>2.8</v>
      </c>
      <c r="C148" s="3">
        <v>4.9000000000000004</v>
      </c>
      <c r="D148" s="2">
        <f t="shared" ca="1" si="5"/>
        <v>2.8274410225346545</v>
      </c>
      <c r="E148" s="5" t="s">
        <v>7</v>
      </c>
      <c r="G148">
        <v>2</v>
      </c>
      <c r="H148" s="8">
        <f t="shared" ca="1" si="4"/>
        <v>2.8274410225346545</v>
      </c>
      <c r="J148" t="str">
        <f ca="1"/>
        <v>Iris-virginica</v>
      </c>
      <c r="K148">
        <f ca="1"/>
        <v>1.5430633986510032E-117</v>
      </c>
      <c r="L148">
        <f ca="1"/>
        <v>1.3114444689444172E-102</v>
      </c>
      <c r="M148">
        <f ca="1"/>
        <v>1</v>
      </c>
      <c r="P148" s="9"/>
      <c r="Q148" s="8"/>
      <c r="R148" s="8"/>
      <c r="S148" s="8"/>
      <c r="T148" s="7"/>
    </row>
    <row r="149" spans="1:20" x14ac:dyDescent="0.4">
      <c r="A149" s="2">
        <v>7.7</v>
      </c>
      <c r="B149" s="2">
        <v>2.8</v>
      </c>
      <c r="C149" s="2">
        <v>6.7</v>
      </c>
      <c r="D149" s="2">
        <f t="shared" ca="1" si="5"/>
        <v>2.9245046432913897</v>
      </c>
      <c r="E149" s="4" t="s">
        <v>7</v>
      </c>
      <c r="G149">
        <v>2</v>
      </c>
      <c r="H149" s="8">
        <f t="shared" ca="1" si="4"/>
        <v>2.9245046432913897</v>
      </c>
      <c r="J149" t="str">
        <f ca="1"/>
        <v>Iris-virginica</v>
      </c>
      <c r="K149">
        <f ca="1"/>
        <v>3.8978991149331277E-189</v>
      </c>
      <c r="L149">
        <f ca="1"/>
        <v>1.1689264834144301E-167</v>
      </c>
      <c r="M149">
        <f ca="1"/>
        <v>1</v>
      </c>
      <c r="P149" s="9"/>
      <c r="Q149" s="8"/>
      <c r="R149" s="8"/>
      <c r="S149" s="8"/>
      <c r="T149" s="7"/>
    </row>
    <row r="150" spans="1:20" x14ac:dyDescent="0.4">
      <c r="A150" s="3">
        <v>6.3</v>
      </c>
      <c r="B150" s="3">
        <v>2.7</v>
      </c>
      <c r="C150" s="3">
        <v>4.9000000000000004</v>
      </c>
      <c r="D150" s="2">
        <f t="shared" ca="1" si="5"/>
        <v>2.4860560715862734</v>
      </c>
      <c r="E150" s="5" t="s">
        <v>7</v>
      </c>
      <c r="G150">
        <v>1.8</v>
      </c>
      <c r="H150" s="8">
        <f t="shared" ca="1" si="4"/>
        <v>2.4860560715862734</v>
      </c>
      <c r="J150" t="str">
        <f ca="1"/>
        <v>Iris-virginica</v>
      </c>
      <c r="K150">
        <f ca="1"/>
        <v>2.1647435704430867E-68</v>
      </c>
      <c r="L150">
        <f ca="1"/>
        <v>3.2392849001553521E-56</v>
      </c>
      <c r="M150">
        <f ca="1"/>
        <v>1</v>
      </c>
      <c r="P150" s="9"/>
      <c r="Q150" s="8"/>
      <c r="R150" s="8"/>
      <c r="S150" s="8"/>
      <c r="T150" s="7"/>
    </row>
    <row r="151" spans="1:20" x14ac:dyDescent="0.4">
      <c r="A151" s="2">
        <v>6.7</v>
      </c>
      <c r="B151" s="2">
        <v>3.3</v>
      </c>
      <c r="C151" s="2">
        <v>5.7</v>
      </c>
      <c r="D151" s="2">
        <f t="shared" ca="1" si="5"/>
        <v>2.6834499641498462</v>
      </c>
      <c r="E151" s="4" t="s">
        <v>7</v>
      </c>
      <c r="G151">
        <v>2.1</v>
      </c>
      <c r="H151" s="8">
        <f t="shared" ca="1" si="4"/>
        <v>2.6834499641498462</v>
      </c>
      <c r="J151" t="str">
        <f ca="1"/>
        <v>Iris-virginica</v>
      </c>
      <c r="K151">
        <f ca="1"/>
        <v>8.4058349106009565E-104</v>
      </c>
      <c r="L151">
        <f ca="1"/>
        <v>1.2306883834547693E-92</v>
      </c>
      <c r="M151">
        <f ca="1"/>
        <v>1</v>
      </c>
      <c r="P151" s="9"/>
      <c r="Q151" s="8"/>
      <c r="R151" s="8"/>
      <c r="S151" s="8"/>
      <c r="T151" s="7"/>
    </row>
    <row r="152" spans="1:20" x14ac:dyDescent="0.4">
      <c r="A152" s="3">
        <v>7.2</v>
      </c>
      <c r="B152" s="3">
        <v>3.2</v>
      </c>
      <c r="C152" s="3">
        <v>6</v>
      </c>
      <c r="D152" s="2">
        <f t="shared" ca="1" si="5"/>
        <v>1.9574132996740978</v>
      </c>
      <c r="E152" s="5" t="s">
        <v>7</v>
      </c>
      <c r="G152">
        <v>1.8</v>
      </c>
      <c r="H152" s="8">
        <f t="shared" ca="1" si="4"/>
        <v>1.9574132996740978</v>
      </c>
      <c r="J152" t="str">
        <f ca="1"/>
        <v>Iris-virginica</v>
      </c>
      <c r="K152">
        <f ca="1"/>
        <v>5.42679222996939E-70</v>
      </c>
      <c r="L152">
        <f ca="1"/>
        <v>2.464797275125205E-52</v>
      </c>
      <c r="M152">
        <f ca="1"/>
        <v>1</v>
      </c>
      <c r="P152" s="9"/>
      <c r="Q152" s="8"/>
      <c r="R152" s="8"/>
      <c r="S152" s="8"/>
      <c r="T152" s="7"/>
    </row>
    <row r="153" spans="1:20" x14ac:dyDescent="0.4">
      <c r="A153" s="2">
        <v>6.2</v>
      </c>
      <c r="B153" s="2">
        <v>2.8</v>
      </c>
      <c r="C153" s="2">
        <v>4.8</v>
      </c>
      <c r="D153" s="2">
        <f t="shared" ca="1" si="5"/>
        <v>2.6406197775411147</v>
      </c>
      <c r="E153" s="4" t="s">
        <v>7</v>
      </c>
      <c r="G153">
        <v>1.8</v>
      </c>
      <c r="H153" s="8">
        <f t="shared" ca="1" si="4"/>
        <v>2.6406197775411147</v>
      </c>
      <c r="J153" t="str">
        <f ca="1"/>
        <v>Iris-virginica</v>
      </c>
      <c r="K153">
        <f ca="1"/>
        <v>9.9166017038749689E-68</v>
      </c>
      <c r="L153">
        <f ca="1"/>
        <v>1.4573285357933312E-58</v>
      </c>
      <c r="M153">
        <f ca="1"/>
        <v>1</v>
      </c>
      <c r="P153" s="9"/>
      <c r="Q153" s="8"/>
      <c r="R153" s="8"/>
      <c r="S153" s="8"/>
      <c r="T153" s="7"/>
    </row>
    <row r="154" spans="1:20" x14ac:dyDescent="0.4">
      <c r="A154" s="3">
        <v>6.1</v>
      </c>
      <c r="B154" s="3">
        <v>3</v>
      </c>
      <c r="C154" s="3">
        <v>4.9000000000000004</v>
      </c>
      <c r="D154" s="2">
        <f t="shared" ca="1" si="5"/>
        <v>2.2257983576483147</v>
      </c>
      <c r="E154" s="5" t="s">
        <v>7</v>
      </c>
      <c r="G154">
        <v>1.8</v>
      </c>
      <c r="H154" s="8">
        <f t="shared" ca="1" si="4"/>
        <v>2.2257983576483147</v>
      </c>
      <c r="J154" t="str">
        <f ca="1"/>
        <v>Iris-virginica</v>
      </c>
      <c r="K154">
        <f ca="1"/>
        <v>4.5386511181708725E-47</v>
      </c>
      <c r="L154">
        <f ca="1"/>
        <v>5.634532104995636E-35</v>
      </c>
      <c r="M154">
        <f ca="1"/>
        <v>1</v>
      </c>
      <c r="P154" s="9"/>
      <c r="Q154" s="8"/>
      <c r="R154" s="8"/>
      <c r="S154" s="8"/>
      <c r="T154" s="7"/>
    </row>
    <row r="155" spans="1:20" x14ac:dyDescent="0.4">
      <c r="A155" s="2">
        <v>6.4</v>
      </c>
      <c r="B155" s="2">
        <v>2.8</v>
      </c>
      <c r="C155" s="2">
        <v>5.6</v>
      </c>
      <c r="D155" s="2">
        <f t="shared" ref="D155:D176" ca="1" si="6">H155</f>
        <v>2.2065470636719811</v>
      </c>
      <c r="E155" s="4" t="s">
        <v>7</v>
      </c>
      <c r="G155">
        <v>2.1</v>
      </c>
      <c r="H155" s="8">
        <f t="shared" ca="1" si="4"/>
        <v>2.2065470636719811</v>
      </c>
      <c r="J155" t="str">
        <f ca="1"/>
        <v>Iris-virginica</v>
      </c>
      <c r="K155">
        <f ca="1"/>
        <v>1.862826881622951E-107</v>
      </c>
      <c r="L155">
        <f ca="1"/>
        <v>6.2414325433101989E-85</v>
      </c>
      <c r="M155">
        <f ca="1"/>
        <v>1</v>
      </c>
      <c r="P155" s="9"/>
      <c r="Q155" s="8"/>
      <c r="R155" s="8"/>
      <c r="S155" s="8"/>
      <c r="T155" s="7"/>
    </row>
    <row r="156" spans="1:20" x14ac:dyDescent="0.4">
      <c r="A156" s="3">
        <v>7.2</v>
      </c>
      <c r="B156" s="3">
        <v>3</v>
      </c>
      <c r="C156" s="3">
        <v>5.8</v>
      </c>
      <c r="D156" s="2">
        <f t="shared" ca="1" si="6"/>
        <v>2.3603847909130167</v>
      </c>
      <c r="E156" s="5" t="s">
        <v>7</v>
      </c>
      <c r="G156">
        <v>1.6</v>
      </c>
      <c r="H156" s="8">
        <f t="shared" ref="H156:H176" ca="1" si="7">G156+RAND()</f>
        <v>2.3603847909130167</v>
      </c>
      <c r="J156" t="str">
        <f ca="1"/>
        <v>Iris-virginica</v>
      </c>
      <c r="K156">
        <f ca="1"/>
        <v>1.7746031231875521E-85</v>
      </c>
      <c r="L156">
        <f ca="1"/>
        <v>3.2131382710527397E-71</v>
      </c>
      <c r="M156">
        <f ca="1"/>
        <v>1</v>
      </c>
      <c r="P156" s="9"/>
      <c r="Q156" s="8"/>
      <c r="R156" s="8"/>
      <c r="S156" s="8"/>
      <c r="T156" s="7"/>
    </row>
    <row r="157" spans="1:20" x14ac:dyDescent="0.4">
      <c r="A157" s="2">
        <v>7.4</v>
      </c>
      <c r="B157" s="2">
        <v>2.8</v>
      </c>
      <c r="C157" s="2">
        <v>6.1</v>
      </c>
      <c r="D157" s="2">
        <f t="shared" ca="1" si="6"/>
        <v>2.2251768999245511</v>
      </c>
      <c r="E157" s="4" t="s">
        <v>7</v>
      </c>
      <c r="G157">
        <v>1.9</v>
      </c>
      <c r="H157" s="8">
        <f t="shared" ca="1" si="7"/>
        <v>2.2251768999245511</v>
      </c>
      <c r="J157" t="str">
        <f ca="1"/>
        <v>Iris-virginica</v>
      </c>
      <c r="K157">
        <f ca="1"/>
        <v>2.055535169116735E-106</v>
      </c>
      <c r="L157">
        <f ca="1"/>
        <v>6.2595412411537029E-86</v>
      </c>
      <c r="M157">
        <f ca="1"/>
        <v>1</v>
      </c>
      <c r="P157" s="9"/>
      <c r="Q157" s="8"/>
      <c r="R157" s="8"/>
      <c r="S157" s="8"/>
      <c r="T157" s="7"/>
    </row>
    <row r="158" spans="1:20" x14ac:dyDescent="0.4">
      <c r="A158" s="3">
        <v>7.9</v>
      </c>
      <c r="B158" s="3">
        <v>3.8</v>
      </c>
      <c r="C158" s="3">
        <v>6.4</v>
      </c>
      <c r="D158" s="2">
        <f t="shared" ca="1" si="6"/>
        <v>2.3849232499793196</v>
      </c>
      <c r="E158" s="5" t="s">
        <v>7</v>
      </c>
      <c r="G158">
        <v>2</v>
      </c>
      <c r="H158" s="8">
        <f t="shared" ca="1" si="7"/>
        <v>2.3849232499793196</v>
      </c>
      <c r="J158" t="str">
        <f ca="1"/>
        <v>Iris-virginica</v>
      </c>
      <c r="K158">
        <f ca="1"/>
        <v>1.0980810308028497E-66</v>
      </c>
      <c r="L158">
        <f ca="1"/>
        <v>1.4028177468480855E-60</v>
      </c>
      <c r="M158">
        <f ca="1"/>
        <v>1</v>
      </c>
      <c r="P158" s="9"/>
      <c r="Q158" s="8"/>
      <c r="R158" s="8"/>
      <c r="S158" s="8"/>
      <c r="T158" s="7"/>
    </row>
    <row r="159" spans="1:20" x14ac:dyDescent="0.4">
      <c r="A159" s="2">
        <v>6.4</v>
      </c>
      <c r="B159" s="2">
        <v>2.8</v>
      </c>
      <c r="C159" s="2">
        <v>5.6</v>
      </c>
      <c r="D159" s="2">
        <f t="shared" ca="1" si="6"/>
        <v>2.9054618195731852</v>
      </c>
      <c r="E159" s="4" t="s">
        <v>7</v>
      </c>
      <c r="G159">
        <v>2.2000000000000002</v>
      </c>
      <c r="H159" s="8">
        <f t="shared" ca="1" si="7"/>
        <v>2.9054618195731852</v>
      </c>
      <c r="J159" t="str">
        <f ca="1"/>
        <v>Iris-virginica</v>
      </c>
      <c r="K159">
        <f ca="1"/>
        <v>1.4396247031387914E-148</v>
      </c>
      <c r="L159">
        <f ca="1"/>
        <v>3.1018555119802406E-131</v>
      </c>
      <c r="M159">
        <f ca="1"/>
        <v>1</v>
      </c>
      <c r="P159" s="9"/>
      <c r="Q159" s="8"/>
      <c r="R159" s="8"/>
      <c r="S159" s="8"/>
      <c r="T159" s="7"/>
    </row>
    <row r="160" spans="1:20" x14ac:dyDescent="0.4">
      <c r="A160" s="3">
        <v>6.3</v>
      </c>
      <c r="B160" s="3">
        <v>2.8</v>
      </c>
      <c r="C160" s="3">
        <v>5.0999999999999996</v>
      </c>
      <c r="D160" s="2">
        <f t="shared" ca="1" si="6"/>
        <v>2.2756993916491099</v>
      </c>
      <c r="E160" s="5" t="s">
        <v>7</v>
      </c>
      <c r="G160">
        <v>1.5</v>
      </c>
      <c r="H160" s="8">
        <f t="shared" ca="1" si="7"/>
        <v>2.2756993916491099</v>
      </c>
      <c r="J160" t="str">
        <f ca="1"/>
        <v>Iris-virginica</v>
      </c>
      <c r="K160">
        <f ca="1"/>
        <v>1.6445916905554569E-69</v>
      </c>
      <c r="L160">
        <f ca="1"/>
        <v>4.5574187178876252E-54</v>
      </c>
      <c r="M160">
        <f ca="1"/>
        <v>1</v>
      </c>
      <c r="P160" s="9"/>
      <c r="Q160" s="8"/>
      <c r="R160" s="8"/>
      <c r="S160" s="8"/>
      <c r="T160" s="7"/>
    </row>
    <row r="161" spans="1:20" x14ac:dyDescent="0.4">
      <c r="A161" s="2">
        <v>6.1</v>
      </c>
      <c r="B161" s="2">
        <v>2.6</v>
      </c>
      <c r="C161" s="2">
        <v>5.6</v>
      </c>
      <c r="D161" s="2">
        <f t="shared" ca="1" si="6"/>
        <v>1.8575752919077297</v>
      </c>
      <c r="E161" s="4" t="s">
        <v>7</v>
      </c>
      <c r="G161">
        <v>1.4</v>
      </c>
      <c r="H161" s="8">
        <f t="shared" ca="1" si="7"/>
        <v>1.8575752919077297</v>
      </c>
      <c r="J161" t="str">
        <f ca="1"/>
        <v>Iris-virginica</v>
      </c>
      <c r="K161">
        <f ca="1"/>
        <v>3.3943919193301498E-112</v>
      </c>
      <c r="L161">
        <f ca="1"/>
        <v>1.1751875921755793E-81</v>
      </c>
      <c r="M161">
        <f ca="1"/>
        <v>1</v>
      </c>
      <c r="P161" s="9"/>
      <c r="Q161" s="8"/>
      <c r="R161" s="8"/>
      <c r="S161" s="8"/>
      <c r="T161" s="7"/>
    </row>
    <row r="162" spans="1:20" x14ac:dyDescent="0.4">
      <c r="A162" s="3">
        <v>7.7</v>
      </c>
      <c r="B162" s="3">
        <v>3</v>
      </c>
      <c r="C162" s="3">
        <v>6.1</v>
      </c>
      <c r="D162" s="2">
        <f t="shared" ca="1" si="6"/>
        <v>3.0562272910042836</v>
      </c>
      <c r="E162" s="5" t="s">
        <v>7</v>
      </c>
      <c r="G162">
        <v>2.2999999999999998</v>
      </c>
      <c r="H162" s="8">
        <f t="shared" ca="1" si="7"/>
        <v>3.0562272910042836</v>
      </c>
      <c r="J162" t="str">
        <f ca="1"/>
        <v>Iris-virginica</v>
      </c>
      <c r="K162">
        <f ca="1"/>
        <v>4.9574570104427844E-130</v>
      </c>
      <c r="L162">
        <f ca="1"/>
        <v>3.8337580575415904E-121</v>
      </c>
      <c r="M162">
        <f ca="1"/>
        <v>1</v>
      </c>
      <c r="P162" s="9"/>
      <c r="Q162" s="8"/>
      <c r="R162" s="8"/>
      <c r="S162" s="8"/>
      <c r="T162" s="7"/>
    </row>
    <row r="163" spans="1:20" x14ac:dyDescent="0.4">
      <c r="A163" s="2">
        <v>6.3</v>
      </c>
      <c r="B163" s="2">
        <v>3.4</v>
      </c>
      <c r="C163" s="2">
        <v>5.6</v>
      </c>
      <c r="D163" s="2">
        <f t="shared" ca="1" si="6"/>
        <v>3.0566585817876994</v>
      </c>
      <c r="E163" s="4" t="s">
        <v>7</v>
      </c>
      <c r="G163">
        <v>2.4</v>
      </c>
      <c r="H163" s="8">
        <f t="shared" ca="1" si="7"/>
        <v>3.0566585817876994</v>
      </c>
      <c r="J163" t="str">
        <f ca="1"/>
        <v>Iris-virginica</v>
      </c>
      <c r="K163">
        <f ca="1"/>
        <v>1.0159959026654601E-130</v>
      </c>
      <c r="L163">
        <f ca="1"/>
        <v>2.314258804452645E-121</v>
      </c>
      <c r="M163">
        <f ca="1"/>
        <v>1</v>
      </c>
      <c r="P163" s="9"/>
      <c r="Q163" s="8"/>
      <c r="R163" s="8"/>
      <c r="S163" s="8"/>
      <c r="T163" s="7"/>
    </row>
    <row r="164" spans="1:20" x14ac:dyDescent="0.4">
      <c r="A164" s="3">
        <v>6.4</v>
      </c>
      <c r="B164" s="3">
        <v>3.1</v>
      </c>
      <c r="C164" s="3">
        <v>5.5</v>
      </c>
      <c r="D164" s="2">
        <f t="shared" ca="1" si="6"/>
        <v>1.9848576314528681</v>
      </c>
      <c r="E164" s="5" t="s">
        <v>7</v>
      </c>
      <c r="G164">
        <v>1.8</v>
      </c>
      <c r="H164" s="8">
        <f t="shared" ca="1" si="7"/>
        <v>1.9848576314528681</v>
      </c>
      <c r="J164" t="str">
        <f ca="1"/>
        <v>Iris-virginica</v>
      </c>
      <c r="K164">
        <f ca="1"/>
        <v>3.2998240901155284E-69</v>
      </c>
      <c r="L164">
        <f ca="1"/>
        <v>1.9558638315558751E-50</v>
      </c>
      <c r="M164">
        <f ca="1"/>
        <v>1</v>
      </c>
      <c r="P164" s="9"/>
      <c r="Q164" s="8"/>
      <c r="R164" s="8"/>
      <c r="S164" s="8"/>
      <c r="T164" s="7"/>
    </row>
    <row r="165" spans="1:20" x14ac:dyDescent="0.4">
      <c r="A165" s="2">
        <v>6</v>
      </c>
      <c r="B165" s="2">
        <v>3</v>
      </c>
      <c r="C165" s="2">
        <v>4.8</v>
      </c>
      <c r="D165" s="2">
        <f t="shared" ca="1" si="6"/>
        <v>2.6664113493911761</v>
      </c>
      <c r="E165" s="4" t="s">
        <v>7</v>
      </c>
      <c r="G165">
        <v>1.8</v>
      </c>
      <c r="H165" s="8">
        <f t="shared" ca="1" si="7"/>
        <v>2.6664113493911761</v>
      </c>
      <c r="J165" t="str">
        <f ca="1"/>
        <v>Iris-virginica</v>
      </c>
      <c r="K165">
        <f ca="1"/>
        <v>1.648322485568378E-68</v>
      </c>
      <c r="L165">
        <f ca="1"/>
        <v>3.0010646973674443E-60</v>
      </c>
      <c r="M165">
        <f ca="1"/>
        <v>1</v>
      </c>
      <c r="P165" s="9"/>
      <c r="Q165" s="8"/>
      <c r="R165" s="8"/>
      <c r="S165" s="8"/>
      <c r="T165" s="7"/>
    </row>
    <row r="166" spans="1:20" x14ac:dyDescent="0.4">
      <c r="A166" s="3">
        <v>6.9</v>
      </c>
      <c r="B166" s="3">
        <v>3.1</v>
      </c>
      <c r="C166" s="3">
        <v>5.4</v>
      </c>
      <c r="D166" s="2">
        <f t="shared" ca="1" si="6"/>
        <v>2.2025883148046601</v>
      </c>
      <c r="E166" s="5" t="s">
        <v>7</v>
      </c>
      <c r="G166">
        <v>2.1</v>
      </c>
      <c r="H166" s="8">
        <f t="shared" ca="1" si="7"/>
        <v>2.2025883148046601</v>
      </c>
      <c r="J166" t="str">
        <f ca="1"/>
        <v>Iris-virginica</v>
      </c>
      <c r="K166">
        <f ca="1"/>
        <v>4.2063720657512612E-48</v>
      </c>
      <c r="L166">
        <f ca="1"/>
        <v>3.7219917987926518E-37</v>
      </c>
      <c r="M166">
        <f ca="1"/>
        <v>1</v>
      </c>
      <c r="P166" s="9"/>
      <c r="Q166" s="8"/>
      <c r="R166" s="8"/>
      <c r="S166" s="8"/>
      <c r="T166" s="7"/>
    </row>
    <row r="167" spans="1:20" x14ac:dyDescent="0.4">
      <c r="A167" s="2">
        <v>6.7</v>
      </c>
      <c r="B167" s="2">
        <v>3.1</v>
      </c>
      <c r="C167" s="2">
        <v>5.6</v>
      </c>
      <c r="D167" s="2">
        <f t="shared" ca="1" si="6"/>
        <v>2.9078843694929422</v>
      </c>
      <c r="E167" s="4" t="s">
        <v>7</v>
      </c>
      <c r="G167">
        <v>2.4</v>
      </c>
      <c r="H167" s="8">
        <f t="shared" ca="1" si="7"/>
        <v>2.9078843694929422</v>
      </c>
      <c r="J167" t="str">
        <f ca="1"/>
        <v>Iris-virginica</v>
      </c>
      <c r="K167">
        <f ca="1"/>
        <v>3.6079389747200037E-118</v>
      </c>
      <c r="L167">
        <f ca="1"/>
        <v>1.417942828559706E-107</v>
      </c>
      <c r="M167">
        <f ca="1"/>
        <v>1</v>
      </c>
      <c r="P167" s="9"/>
      <c r="Q167" s="8"/>
      <c r="R167" s="8"/>
      <c r="S167" s="8"/>
      <c r="T167" s="7"/>
    </row>
    <row r="168" spans="1:20" x14ac:dyDescent="0.4">
      <c r="A168" s="3">
        <v>6.9</v>
      </c>
      <c r="B168" s="3">
        <v>3.1</v>
      </c>
      <c r="C168" s="3">
        <v>5.0999999999999996</v>
      </c>
      <c r="D168" s="2">
        <f t="shared" ca="1" si="6"/>
        <v>3.082249965787113</v>
      </c>
      <c r="E168" s="5" t="s">
        <v>7</v>
      </c>
      <c r="G168">
        <v>2.2999999999999998</v>
      </c>
      <c r="H168" s="8">
        <f t="shared" ca="1" si="7"/>
        <v>3.082249965787113</v>
      </c>
      <c r="J168" t="str">
        <f ca="1"/>
        <v>Iris-virginica</v>
      </c>
      <c r="K168">
        <f ca="1"/>
        <v>1.0755675075569252E-71</v>
      </c>
      <c r="L168">
        <f ca="1"/>
        <v>8.6710939534561332E-72</v>
      </c>
      <c r="M168">
        <f ca="1"/>
        <v>1</v>
      </c>
      <c r="P168" s="9"/>
      <c r="Q168" s="8"/>
      <c r="R168" s="8"/>
      <c r="S168" s="8"/>
      <c r="T168" s="7"/>
    </row>
    <row r="169" spans="1:20" x14ac:dyDescent="0.4">
      <c r="A169" s="2">
        <v>5.8</v>
      </c>
      <c r="B169" s="2">
        <v>2.7</v>
      </c>
      <c r="C169" s="2">
        <v>5.0999999999999996</v>
      </c>
      <c r="D169" s="2">
        <f t="shared" ca="1" si="6"/>
        <v>2.3347949559357386</v>
      </c>
      <c r="E169" s="4" t="s">
        <v>7</v>
      </c>
      <c r="G169">
        <v>1.9</v>
      </c>
      <c r="H169" s="8">
        <f t="shared" ca="1" si="7"/>
        <v>2.3347949559357386</v>
      </c>
      <c r="J169" t="str">
        <f ca="1"/>
        <v>Iris-virginica</v>
      </c>
      <c r="K169">
        <f ca="1"/>
        <v>8.6338095345678368E-103</v>
      </c>
      <c r="L169">
        <f ca="1"/>
        <v>8.8203861918806099E-82</v>
      </c>
      <c r="M169">
        <f ca="1"/>
        <v>1</v>
      </c>
      <c r="P169" s="9"/>
      <c r="Q169" s="8"/>
      <c r="R169" s="8"/>
      <c r="S169" s="8"/>
      <c r="T169" s="7"/>
    </row>
    <row r="170" spans="1:20" x14ac:dyDescent="0.4">
      <c r="A170" s="3">
        <v>6.8</v>
      </c>
      <c r="B170" s="3">
        <v>3.2</v>
      </c>
      <c r="C170" s="3">
        <v>5.9</v>
      </c>
      <c r="D170" s="2">
        <f t="shared" ca="1" si="6"/>
        <v>3.082720956999768</v>
      </c>
      <c r="E170" s="5" t="s">
        <v>7</v>
      </c>
      <c r="G170">
        <v>2.2999999999999998</v>
      </c>
      <c r="H170" s="8">
        <f t="shared" ca="1" si="7"/>
        <v>3.082720956999768</v>
      </c>
      <c r="J170" t="str">
        <f ca="1"/>
        <v>Iris-virginica</v>
      </c>
      <c r="K170">
        <f ca="1"/>
        <v>2.0035259137305141E-146</v>
      </c>
      <c r="L170">
        <f ca="1"/>
        <v>7.297674685470541E-135</v>
      </c>
      <c r="M170">
        <f ca="1"/>
        <v>1</v>
      </c>
      <c r="P170" s="9"/>
      <c r="Q170" s="8"/>
      <c r="R170" s="8"/>
      <c r="S170" s="8"/>
      <c r="T170" s="7"/>
    </row>
    <row r="171" spans="1:20" x14ac:dyDescent="0.4">
      <c r="A171" s="2">
        <v>6.7</v>
      </c>
      <c r="B171" s="2">
        <v>3.3</v>
      </c>
      <c r="C171" s="2">
        <v>5.7</v>
      </c>
      <c r="D171" s="2">
        <f t="shared" ca="1" si="6"/>
        <v>3.4822599842553092</v>
      </c>
      <c r="E171" s="4" t="s">
        <v>7</v>
      </c>
      <c r="G171">
        <v>2.5</v>
      </c>
      <c r="H171" s="8">
        <f t="shared" ca="1" si="7"/>
        <v>3.4822599842553092</v>
      </c>
      <c r="J171" t="str">
        <f ca="1"/>
        <v>Iris-virginica</v>
      </c>
      <c r="K171">
        <f ca="1"/>
        <v>8.6410604926369055E-151</v>
      </c>
      <c r="L171">
        <f ca="1"/>
        <v>1.4734794068238042E-145</v>
      </c>
      <c r="M171">
        <f ca="1"/>
        <v>1</v>
      </c>
      <c r="P171" s="9"/>
      <c r="Q171" s="8"/>
      <c r="R171" s="8"/>
      <c r="S171" s="8"/>
      <c r="T171" s="7"/>
    </row>
    <row r="172" spans="1:20" x14ac:dyDescent="0.4">
      <c r="A172" s="3">
        <v>6.7</v>
      </c>
      <c r="B172" s="3">
        <v>3</v>
      </c>
      <c r="C172" s="3">
        <v>5.2</v>
      </c>
      <c r="D172" s="2">
        <f t="shared" ca="1" si="6"/>
        <v>2.4721186714063723</v>
      </c>
      <c r="E172" s="5" t="s">
        <v>7</v>
      </c>
      <c r="G172">
        <v>2.2999999999999998</v>
      </c>
      <c r="H172" s="8">
        <f t="shared" ca="1" si="7"/>
        <v>2.4721186714063723</v>
      </c>
      <c r="J172" t="str">
        <f ca="1"/>
        <v>Iris-virginica</v>
      </c>
      <c r="K172">
        <f ca="1"/>
        <v>2.8242969852939508E-60</v>
      </c>
      <c r="L172">
        <f ca="1"/>
        <v>3.743169936641595E-51</v>
      </c>
      <c r="M172">
        <f ca="1"/>
        <v>1</v>
      </c>
      <c r="P172" s="9"/>
      <c r="Q172" s="8"/>
      <c r="R172" s="8"/>
      <c r="S172" s="8"/>
      <c r="T172" s="7"/>
    </row>
    <row r="173" spans="1:20" x14ac:dyDescent="0.4">
      <c r="A173" s="2">
        <v>6.3</v>
      </c>
      <c r="B173" s="2">
        <v>2.5</v>
      </c>
      <c r="C173" s="2">
        <v>5</v>
      </c>
      <c r="D173" s="2">
        <f t="shared" ca="1" si="6"/>
        <v>1.9661576245372512</v>
      </c>
      <c r="E173" s="4" t="s">
        <v>7</v>
      </c>
      <c r="G173">
        <v>1.9</v>
      </c>
      <c r="H173" s="8">
        <f t="shared" ca="1" si="7"/>
        <v>1.9661576245372512</v>
      </c>
      <c r="J173" t="str">
        <f ca="1"/>
        <v>Iris-virginica</v>
      </c>
      <c r="K173">
        <f ca="1"/>
        <v>9.6350642049721158E-58</v>
      </c>
      <c r="L173">
        <f ca="1"/>
        <v>1.3209383200108839E-37</v>
      </c>
      <c r="M173">
        <f ca="1"/>
        <v>1</v>
      </c>
      <c r="P173" s="9"/>
      <c r="Q173" s="8"/>
      <c r="R173" s="8"/>
      <c r="S173" s="8"/>
      <c r="T173" s="7"/>
    </row>
    <row r="174" spans="1:20" x14ac:dyDescent="0.4">
      <c r="A174" s="3">
        <v>6.5</v>
      </c>
      <c r="B174" s="3">
        <v>3</v>
      </c>
      <c r="C174" s="3">
        <v>5.2</v>
      </c>
      <c r="D174" s="2">
        <f t="shared" ca="1" si="6"/>
        <v>2.3796934871293383</v>
      </c>
      <c r="E174" s="5" t="s">
        <v>7</v>
      </c>
      <c r="G174">
        <v>2</v>
      </c>
      <c r="H174" s="8">
        <f t="shared" ca="1" si="7"/>
        <v>2.3796934871293383</v>
      </c>
      <c r="J174" t="str">
        <f ca="1"/>
        <v>Iris-virginica</v>
      </c>
      <c r="K174">
        <f ca="1"/>
        <v>1.191216870119239E-64</v>
      </c>
      <c r="L174">
        <f ca="1"/>
        <v>5.8549001966841444E-53</v>
      </c>
      <c r="M174">
        <f ca="1"/>
        <v>1</v>
      </c>
      <c r="P174" s="9"/>
      <c r="Q174" s="8"/>
      <c r="R174" s="8"/>
      <c r="S174" s="8"/>
      <c r="T174" s="7"/>
    </row>
    <row r="175" spans="1:20" x14ac:dyDescent="0.4">
      <c r="A175" s="2">
        <v>6.2</v>
      </c>
      <c r="B175" s="2">
        <v>3.4</v>
      </c>
      <c r="C175" s="2">
        <v>5.4</v>
      </c>
      <c r="D175" s="2">
        <f t="shared" ca="1" si="6"/>
        <v>2.8653646717712986</v>
      </c>
      <c r="E175" s="4" t="s">
        <v>7</v>
      </c>
      <c r="G175">
        <v>2.2999999999999998</v>
      </c>
      <c r="H175" s="8">
        <f t="shared" ca="1" si="7"/>
        <v>2.8653646717712986</v>
      </c>
      <c r="J175" t="str">
        <f ca="1"/>
        <v>Iris-virginica</v>
      </c>
      <c r="K175">
        <f ca="1"/>
        <v>1.3220262925917141E-105</v>
      </c>
      <c r="L175">
        <f ca="1"/>
        <v>6.8711704237172966E-97</v>
      </c>
      <c r="M175">
        <f ca="1"/>
        <v>1</v>
      </c>
      <c r="P175" s="9"/>
      <c r="Q175" s="8"/>
      <c r="R175" s="8"/>
      <c r="S175" s="8"/>
      <c r="T175" s="7"/>
    </row>
    <row r="176" spans="1:20" x14ac:dyDescent="0.4">
      <c r="A176" s="3">
        <v>5.9</v>
      </c>
      <c r="B176" s="3">
        <v>3</v>
      </c>
      <c r="C176" s="3">
        <v>5.0999999999999996</v>
      </c>
      <c r="D176" s="2">
        <f t="shared" ca="1" si="6"/>
        <v>1.9626725287478206</v>
      </c>
      <c r="E176" s="5" t="s">
        <v>7</v>
      </c>
      <c r="G176">
        <v>1.8</v>
      </c>
      <c r="H176" s="8">
        <f t="shared" ca="1" si="7"/>
        <v>1.9626725287478206</v>
      </c>
      <c r="J176" t="str">
        <f ca="1"/>
        <v>Iris-virginica</v>
      </c>
      <c r="K176">
        <f ca="1"/>
        <v>3.5916033714308956E-60</v>
      </c>
      <c r="L176">
        <f ca="1"/>
        <v>3.0936208543730259E-41</v>
      </c>
      <c r="M176">
        <f ca="1"/>
        <v>1</v>
      </c>
      <c r="P176" s="9"/>
      <c r="Q176" s="8"/>
      <c r="R176" s="8"/>
      <c r="S176" s="8"/>
      <c r="T176" s="7"/>
    </row>
  </sheetData>
  <mergeCells count="6">
    <mergeCell ref="A17:D17"/>
    <mergeCell ref="B14:C14"/>
    <mergeCell ref="B3:C3"/>
    <mergeCell ref="B7:C7"/>
    <mergeCell ref="B11:C11"/>
    <mergeCell ref="B4:C4"/>
  </mergeCells>
  <pageMargins left="0.7" right="0.7" top="0.75" bottom="0.75" header="0.3" footer="0.3"/>
  <pageSetup orientation="portrait" horizontalDpi="1200" verticalDpi="1200"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6367ED-5F5E-43D6-B7B2-3159960B0FC6}">
  <sheetPr codeName="Sheet2"/>
  <dimension ref="A1:AN2010"/>
  <sheetViews>
    <sheetView workbookViewId="0">
      <selection activeCell="A6" sqref="A6"/>
    </sheetView>
  </sheetViews>
  <sheetFormatPr defaultRowHeight="14.6" x14ac:dyDescent="0.4"/>
  <cols>
    <col min="3" max="3" width="13.23046875" customWidth="1"/>
    <col min="4" max="4" width="11" customWidth="1"/>
    <col min="6" max="6" width="12.23046875" customWidth="1"/>
    <col min="9" max="9" width="12" customWidth="1"/>
    <col min="11" max="11" width="18" customWidth="1"/>
    <col min="12" max="12" width="17.15234375" customWidth="1"/>
    <col min="13" max="13" width="17.84375" customWidth="1"/>
    <col min="15" max="15" width="13.07421875" bestFit="1" customWidth="1"/>
    <col min="16" max="18" width="9.23046875" style="35"/>
    <col min="24" max="24" width="100.53515625" bestFit="1" customWidth="1"/>
    <col min="28" max="28" width="79.3828125" customWidth="1"/>
    <col min="31" max="34" width="25.84375" customWidth="1"/>
    <col min="35" max="35" width="35.61328125" customWidth="1"/>
    <col min="36" max="36" width="25.84375" customWidth="1"/>
    <col min="37" max="37" width="4.3828125" bestFit="1" customWidth="1"/>
  </cols>
  <sheetData>
    <row r="1" spans="1:40" x14ac:dyDescent="0.4">
      <c r="A1" t="s">
        <v>267</v>
      </c>
      <c r="S1" s="11" t="s">
        <v>13</v>
      </c>
      <c r="T1" s="11" t="s">
        <v>300</v>
      </c>
      <c r="X1" t="s">
        <v>214</v>
      </c>
    </row>
    <row r="2" spans="1:40" x14ac:dyDescent="0.4">
      <c r="S2" s="11" t="s">
        <v>9</v>
      </c>
      <c r="T2" s="41" t="str" cm="1">
        <f t="array" ref="T2">fWBPath(T1)&amp;"\test\data\single_audit_kmeans.xml"</f>
        <v>D:\WDS\dev\lib\github\WDataSci\WDS-JniPMML-XLL\master\test\data\single_audit_kmeans.xml</v>
      </c>
      <c r="U2" s="41"/>
      <c r="X2" s="41" t="str" cm="1">
        <f t="array" ref="X2">fWBPath(X2)&amp;"\test\data\single_audit_dectree.xml"</f>
        <v>D:\WDS\dev\lib\github\WDataSci\WDS-JniPMML-XLL\master\test\data\single_audit_dectree.xml</v>
      </c>
      <c r="Y2" s="41"/>
      <c r="AA2" s="35"/>
      <c r="AB2" s="35"/>
    </row>
    <row r="3" spans="1:40" x14ac:dyDescent="0.4">
      <c r="S3" t="s">
        <v>211</v>
      </c>
      <c r="T3" t="str">
        <f>_xll.JniPMML_CreateHandle("JniPMML",T1,T2)</f>
        <v>0.0</v>
      </c>
      <c r="X3" s="13" t="str" cm="1">
        <f t="array" ref="X3">_xll.JniPMML_CreateHandle("JniPMML",X1,X2)</f>
        <v>2.0</v>
      </c>
    </row>
    <row r="4" spans="1:40" x14ac:dyDescent="0.4">
      <c r="S4" t="s">
        <v>212</v>
      </c>
      <c r="T4" t="str" cm="1">
        <f t="array" ref="T4">JniPMML_Eval_CacheHeaders(T3,A10)</f>
        <v>0.17</v>
      </c>
      <c r="X4" s="13" t="str">
        <f>JniPMML_Eval_CacheHeaders(X3,Table3[[#Headers],[ID]],128)</f>
        <v>2.16</v>
      </c>
    </row>
    <row r="8" spans="1:40" x14ac:dyDescent="0.4">
      <c r="G8" s="35" t="s">
        <v>270</v>
      </c>
      <c r="P8" s="39" t="s">
        <v>117</v>
      </c>
      <c r="X8" t="s">
        <v>269</v>
      </c>
      <c r="AE8" s="18" t="s">
        <v>271</v>
      </c>
    </row>
    <row r="9" spans="1:40" x14ac:dyDescent="0.4">
      <c r="O9" s="39"/>
    </row>
    <row r="10" spans="1:40" x14ac:dyDescent="0.4">
      <c r="A10" t="s">
        <v>119</v>
      </c>
      <c r="B10" t="s">
        <v>120</v>
      </c>
      <c r="C10" s="12" t="s">
        <v>121</v>
      </c>
      <c r="D10" s="12" t="s">
        <v>131</v>
      </c>
      <c r="E10" s="12" t="s">
        <v>148</v>
      </c>
      <c r="F10" s="12" t="s">
        <v>155</v>
      </c>
      <c r="G10" t="s">
        <v>169</v>
      </c>
      <c r="H10" s="12" t="s">
        <v>170</v>
      </c>
      <c r="I10" t="s">
        <v>173</v>
      </c>
      <c r="J10" t="s">
        <v>174</v>
      </c>
      <c r="K10" s="12" t="s">
        <v>175</v>
      </c>
      <c r="L10" t="s">
        <v>209</v>
      </c>
      <c r="M10" t="s">
        <v>210</v>
      </c>
      <c r="O10" s="39"/>
      <c r="P10" t="s">
        <v>169</v>
      </c>
      <c r="S10" t="str" cm="1">
        <f t="array" ref="S10">_xll.JniPMML_Eval_OutputColumnHeadings(T4)</f>
        <v>Target0</v>
      </c>
      <c r="U10" t="str" cm="1">
        <f t="array" aca="1" ref="U10:U20" ca="1">_xll.JniPMML_Eval(T4,1,$A$10:$M$20)</f>
        <v>Target0</v>
      </c>
      <c r="X10" s="17" t="str" cm="1">
        <f t="array" aca="1" ref="X10:X70" ca="1">_xll.JniPMML_Eval(X4,1,$A$10:$M$70)</f>
        <v>TARGET_Adjusted_predicted</v>
      </c>
    </row>
    <row r="11" spans="1:40" x14ac:dyDescent="0.4">
      <c r="A11">
        <v>1004641</v>
      </c>
      <c r="B11" s="16">
        <v>38</v>
      </c>
      <c r="C11" s="12" t="s">
        <v>122</v>
      </c>
      <c r="D11" s="12" t="s">
        <v>132</v>
      </c>
      <c r="E11" s="12" t="s">
        <v>149</v>
      </c>
      <c r="F11" s="12" t="s">
        <v>156</v>
      </c>
      <c r="G11">
        <f t="shared" ref="G11:G74" ca="1" si="0">P11*(1+RAND())</f>
        <v>151943.55715297721</v>
      </c>
      <c r="H11" s="12" t="s">
        <v>171</v>
      </c>
      <c r="I11">
        <v>0</v>
      </c>
      <c r="J11">
        <v>72</v>
      </c>
      <c r="K11" s="12" t="s">
        <v>176</v>
      </c>
      <c r="L11">
        <v>0</v>
      </c>
      <c r="M11">
        <v>0</v>
      </c>
      <c r="O11" s="39"/>
      <c r="P11" s="16">
        <v>81838</v>
      </c>
      <c r="S11" t="str" cm="1">
        <f t="array" aca="1" ref="S11" ca="1">_xll.JniPMML_Eval($T$4,0,Table3[#This Row])</f>
        <v>cluster_0</v>
      </c>
      <c r="U11" t="str">
        <f ca="1"/>
        <v>cluster_0</v>
      </c>
      <c r="X11" t="str">
        <f ca="1"/>
        <v>{result=0, probability_entries=[0=0.9253731343283582, 1=0.07462686567164178], entityId=1, confidence_entries=[]}</v>
      </c>
      <c r="AE11" t="str" cm="1">
        <f t="array" aca="1" ref="AE11:AN11" ca="1">_xll.JniPMML_ExpandComplexValue(X11)</f>
        <v>result</v>
      </c>
      <c r="AF11" t="str">
        <f ca="1"/>
        <v>0</v>
      </c>
      <c r="AG11" t="str">
        <f ca="1"/>
        <v>probability_entries</v>
      </c>
      <c r="AH11" t="str">
        <f ca="1"/>
        <v>probability_entries_0</v>
      </c>
      <c r="AI11" t="str">
        <f ca="1"/>
        <v>0.9253731343283582</v>
      </c>
      <c r="AJ11" t="str">
        <f ca="1"/>
        <v>probability_entries_1</v>
      </c>
      <c r="AK11" t="str">
        <f ca="1"/>
        <v>0.07462686567164178</v>
      </c>
      <c r="AL11" t="str">
        <f ca="1"/>
        <v>entityId</v>
      </c>
      <c r="AM11" t="str">
        <f ca="1"/>
        <v>1</v>
      </c>
      <c r="AN11" t="str">
        <f ca="1"/>
        <v>confidence_entries</v>
      </c>
    </row>
    <row r="12" spans="1:40" x14ac:dyDescent="0.4">
      <c r="A12">
        <v>1010229</v>
      </c>
      <c r="B12" s="15">
        <v>35</v>
      </c>
      <c r="C12" s="12" t="s">
        <v>122</v>
      </c>
      <c r="D12" s="12" t="s">
        <v>133</v>
      </c>
      <c r="E12" s="12" t="s">
        <v>150</v>
      </c>
      <c r="F12" s="12" t="s">
        <v>157</v>
      </c>
      <c r="G12" s="14">
        <f t="shared" ca="1" si="0"/>
        <v>101507.23367567953</v>
      </c>
      <c r="H12" s="12" t="s">
        <v>172</v>
      </c>
      <c r="I12">
        <v>0</v>
      </c>
      <c r="J12">
        <v>30</v>
      </c>
      <c r="K12" s="12" t="s">
        <v>177</v>
      </c>
      <c r="L12">
        <v>0</v>
      </c>
      <c r="M12">
        <v>0</v>
      </c>
      <c r="O12" s="39"/>
      <c r="P12" s="15">
        <v>72099</v>
      </c>
      <c r="S12" s="17" t="str" cm="1">
        <f t="array" aca="1" ref="S12" ca="1">_xll.JniPMML_Eval($T$4,0,Table3[#This Row])</f>
        <v>cluster_1</v>
      </c>
      <c r="U12" t="str">
        <f ca="1"/>
        <v>cluster_1</v>
      </c>
      <c r="X12" t="str">
        <f ca="1"/>
        <v>{result=0, probability_entries=[0=0.9551569506726457, 1=0.04484304932735426], entityId=33, confidence_entries=[]}</v>
      </c>
      <c r="AE12" s="19" t="str" cm="1">
        <f t="array" aca="1" ref="AE12:AN12" ca="1">_xll.JniPMML_ExpandComplexValue(X12)</f>
        <v>result</v>
      </c>
      <c r="AF12" t="str">
        <f ca="1"/>
        <v>0</v>
      </c>
      <c r="AG12" t="str">
        <f ca="1"/>
        <v>probability_entries</v>
      </c>
      <c r="AH12" t="str">
        <f ca="1"/>
        <v>probability_entries_0</v>
      </c>
      <c r="AI12" t="str">
        <f ca="1"/>
        <v>0.9551569506726457</v>
      </c>
      <c r="AJ12" t="str">
        <f ca="1"/>
        <v>probability_entries_1</v>
      </c>
      <c r="AK12" t="str">
        <f ca="1"/>
        <v>0.04484304932735426</v>
      </c>
      <c r="AL12" t="str">
        <f ca="1"/>
        <v>entityId</v>
      </c>
      <c r="AM12" t="str">
        <f ca="1"/>
        <v>33</v>
      </c>
      <c r="AN12" t="str">
        <f ca="1"/>
        <v>confidence_entries</v>
      </c>
    </row>
    <row r="13" spans="1:40" x14ac:dyDescent="0.4">
      <c r="A13">
        <v>1024587</v>
      </c>
      <c r="B13" s="16">
        <v>32</v>
      </c>
      <c r="C13" s="12" t="s">
        <v>122</v>
      </c>
      <c r="D13" s="12" t="s">
        <v>134</v>
      </c>
      <c r="E13" s="12" t="s">
        <v>151</v>
      </c>
      <c r="F13" s="12" t="s">
        <v>158</v>
      </c>
      <c r="G13" s="14">
        <f t="shared" ca="1" si="0"/>
        <v>162854.57150447977</v>
      </c>
      <c r="H13" s="12" t="s">
        <v>172</v>
      </c>
      <c r="I13">
        <v>0</v>
      </c>
      <c r="J13">
        <v>40</v>
      </c>
      <c r="K13" s="12" t="s">
        <v>176</v>
      </c>
      <c r="L13">
        <v>0</v>
      </c>
      <c r="M13">
        <v>0</v>
      </c>
      <c r="O13" s="39"/>
      <c r="P13" s="16">
        <v>154676.74</v>
      </c>
      <c r="S13" s="17" t="str" cm="1">
        <f t="array" aca="1" ref="S13" ca="1">_xll.JniPMML_Eval($T$4,0,Table3[#This Row])</f>
        <v>cluster_0</v>
      </c>
      <c r="U13" t="str">
        <f ca="1"/>
        <v>cluster_0</v>
      </c>
      <c r="X13" t="str">
        <f ca="1"/>
        <v>{result=0, probability_entries=[0=0.924812030075188, 1=0.07518796992481203], entityId=100, confidence_entries=[]}</v>
      </c>
      <c r="AE13" s="19" t="str" cm="1">
        <f t="array" aca="1" ref="AE13:AN13" ca="1">_xll.JniPMML_ExpandComplexValue(X13)</f>
        <v>result</v>
      </c>
      <c r="AF13" t="str">
        <f ca="1"/>
        <v>0</v>
      </c>
      <c r="AG13" t="str">
        <f ca="1"/>
        <v>probability_entries</v>
      </c>
      <c r="AH13" t="str">
        <f ca="1"/>
        <v>probability_entries_0</v>
      </c>
      <c r="AI13" t="str">
        <f ca="1"/>
        <v>0.924812030075188</v>
      </c>
      <c r="AJ13" t="str">
        <f ca="1"/>
        <v>probability_entries_1</v>
      </c>
      <c r="AK13" t="str">
        <f ca="1"/>
        <v>0.07518796992481203</v>
      </c>
      <c r="AL13" t="str">
        <f ca="1"/>
        <v>entityId</v>
      </c>
      <c r="AM13" t="str">
        <f ca="1"/>
        <v>100</v>
      </c>
      <c r="AN13" t="str">
        <f ca="1"/>
        <v>confidence_entries</v>
      </c>
    </row>
    <row r="14" spans="1:40" x14ac:dyDescent="0.4">
      <c r="A14">
        <v>1038288</v>
      </c>
      <c r="B14" s="15">
        <v>45</v>
      </c>
      <c r="C14" s="12" t="s">
        <v>122</v>
      </c>
      <c r="D14" s="12" t="s">
        <v>135</v>
      </c>
      <c r="E14" s="12" t="s">
        <v>152</v>
      </c>
      <c r="F14" s="12" t="s">
        <v>159</v>
      </c>
      <c r="G14" s="14">
        <f t="shared" ca="1" si="0"/>
        <v>28340.673196687232</v>
      </c>
      <c r="H14" s="12" t="s">
        <v>172</v>
      </c>
      <c r="I14">
        <v>0</v>
      </c>
      <c r="J14">
        <v>55</v>
      </c>
      <c r="K14" s="12" t="s">
        <v>176</v>
      </c>
      <c r="L14">
        <v>7298</v>
      </c>
      <c r="M14">
        <v>1</v>
      </c>
      <c r="O14" s="39"/>
      <c r="P14" s="15">
        <v>27743.82</v>
      </c>
      <c r="S14" s="17" t="str" cm="1">
        <f t="array" aca="1" ref="S14" ca="1">_xll.JniPMML_Eval($T$4,0,Table3[#This Row])</f>
        <v>cluster_3</v>
      </c>
      <c r="U14" t="str">
        <f ca="1"/>
        <v>cluster_3</v>
      </c>
      <c r="X14" t="str">
        <f ca="1"/>
        <v>{result=1, probability_entries=[0=0.3544973544973545, 1=0.6455026455026455], entityId=308, confidence_entries=[]}</v>
      </c>
      <c r="AE14" s="19" t="str" cm="1">
        <f t="array" aca="1" ref="AE14:AN14" ca="1">_xll.JniPMML_ExpandComplexValue(X14)</f>
        <v>result</v>
      </c>
      <c r="AF14" t="str">
        <f ca="1"/>
        <v>1</v>
      </c>
      <c r="AG14" t="str">
        <f ca="1"/>
        <v>probability_entries</v>
      </c>
      <c r="AH14" t="str">
        <f ca="1"/>
        <v>probability_entries_0</v>
      </c>
      <c r="AI14" t="str">
        <f ca="1"/>
        <v>0.3544973544973545</v>
      </c>
      <c r="AJ14" t="str">
        <f ca="1"/>
        <v>probability_entries_1</v>
      </c>
      <c r="AK14" t="str">
        <f ca="1"/>
        <v>0.6455026455026455</v>
      </c>
      <c r="AL14" t="str">
        <f ca="1"/>
        <v>entityId</v>
      </c>
      <c r="AM14" t="str">
        <f ca="1"/>
        <v>308</v>
      </c>
      <c r="AN14" t="str">
        <f ca="1"/>
        <v>confidence_entries</v>
      </c>
    </row>
    <row r="15" spans="1:40" x14ac:dyDescent="0.4">
      <c r="A15">
        <v>1044221</v>
      </c>
      <c r="B15" s="16">
        <v>60</v>
      </c>
      <c r="C15" s="12" t="s">
        <v>122</v>
      </c>
      <c r="D15" s="12" t="s">
        <v>132</v>
      </c>
      <c r="E15" s="12" t="s">
        <v>152</v>
      </c>
      <c r="F15" s="12" t="s">
        <v>160</v>
      </c>
      <c r="G15" s="14">
        <f t="shared" ca="1" si="0"/>
        <v>10610.230389374083</v>
      </c>
      <c r="H15" s="12" t="s">
        <v>172</v>
      </c>
      <c r="I15">
        <v>0</v>
      </c>
      <c r="J15">
        <v>40</v>
      </c>
      <c r="K15" s="12" t="s">
        <v>176</v>
      </c>
      <c r="L15">
        <v>15024</v>
      </c>
      <c r="M15">
        <v>1</v>
      </c>
      <c r="O15" s="39"/>
      <c r="P15" s="16">
        <v>7568.23</v>
      </c>
      <c r="S15" s="17" t="str" cm="1">
        <f t="array" aca="1" ref="S15" ca="1">_xll.JniPMML_Eval($T$4,0,Table3[#This Row])</f>
        <v>cluster_3</v>
      </c>
      <c r="U15" t="str">
        <f ca="1"/>
        <v>cluster_3</v>
      </c>
      <c r="X15" t="str">
        <f ca="1"/>
        <v>{result=1, probability_entries=[0=0.2727272727272727, 1=0.7272727272727273], entityId=172, confidence_entries=[]}</v>
      </c>
      <c r="AE15" s="19" t="str" cm="1">
        <f t="array" aca="1" ref="AE15:AN15" ca="1">_xll.JniPMML_ExpandComplexValue(X15)</f>
        <v>result</v>
      </c>
      <c r="AF15" t="str">
        <f ca="1"/>
        <v>1</v>
      </c>
      <c r="AG15" t="str">
        <f ca="1"/>
        <v>probability_entries</v>
      </c>
      <c r="AH15" t="str">
        <f ca="1"/>
        <v>probability_entries_0</v>
      </c>
      <c r="AI15" t="str">
        <f ca="1"/>
        <v>0.2727272727272727</v>
      </c>
      <c r="AJ15" t="str">
        <f ca="1"/>
        <v>probability_entries_1</v>
      </c>
      <c r="AK15" t="str">
        <f ca="1"/>
        <v>0.7272727272727273</v>
      </c>
      <c r="AL15" t="str">
        <f ca="1"/>
        <v>entityId</v>
      </c>
      <c r="AM15" t="str">
        <f ca="1"/>
        <v>172</v>
      </c>
      <c r="AN15" t="str">
        <f ca="1"/>
        <v>confidence_entries</v>
      </c>
    </row>
    <row r="16" spans="1:40" x14ac:dyDescent="0.4">
      <c r="A16">
        <v>1047095</v>
      </c>
      <c r="B16" s="15">
        <v>74</v>
      </c>
      <c r="C16" s="12" t="s">
        <v>122</v>
      </c>
      <c r="D16" s="12" t="s">
        <v>134</v>
      </c>
      <c r="E16" s="12" t="s">
        <v>152</v>
      </c>
      <c r="F16" s="12" t="s">
        <v>156</v>
      </c>
      <c r="G16" s="14">
        <f t="shared" ca="1" si="0"/>
        <v>38299.751584564743</v>
      </c>
      <c r="H16" s="12" t="s">
        <v>172</v>
      </c>
      <c r="I16">
        <v>0</v>
      </c>
      <c r="J16">
        <v>30</v>
      </c>
      <c r="K16" s="12" t="s">
        <v>176</v>
      </c>
      <c r="L16">
        <v>0</v>
      </c>
      <c r="M16">
        <v>0</v>
      </c>
      <c r="O16" s="39"/>
      <c r="P16" s="15">
        <v>33144.400000000001</v>
      </c>
      <c r="S16" s="17" t="str" cm="1">
        <f t="array" aca="1" ref="S16" ca="1">_xll.JniPMML_Eval($T$4,0,Table3[#This Row])</f>
        <v>cluster_3</v>
      </c>
      <c r="U16" t="str">
        <f ca="1"/>
        <v>cluster_3</v>
      </c>
      <c r="X16" t="str">
        <f ca="1"/>
        <v>{result=0, probability_entries=[0=0.7095709570957096, 1=0.29042904290429045], entityId=218, confidence_entries=[]}</v>
      </c>
      <c r="AE16" s="19" t="str" cm="1">
        <f t="array" aca="1" ref="AE16:AN16" ca="1">_xll.JniPMML_ExpandComplexValue(X16)</f>
        <v>result</v>
      </c>
      <c r="AF16" t="str">
        <f ca="1"/>
        <v>0</v>
      </c>
      <c r="AG16" t="str">
        <f ca="1"/>
        <v>probability_entries</v>
      </c>
      <c r="AH16" t="str">
        <f ca="1"/>
        <v>probability_entries_0</v>
      </c>
      <c r="AI16" t="str">
        <f ca="1"/>
        <v>0.7095709570957096</v>
      </c>
      <c r="AJ16" t="str">
        <f ca="1"/>
        <v>probability_entries_1</v>
      </c>
      <c r="AK16" t="str">
        <f ca="1"/>
        <v>0.29042904290429045</v>
      </c>
      <c r="AL16" t="str">
        <f ca="1"/>
        <v>entityId</v>
      </c>
      <c r="AM16" t="str">
        <f ca="1"/>
        <v>218</v>
      </c>
      <c r="AN16" t="str">
        <f ca="1"/>
        <v>confidence_entries</v>
      </c>
    </row>
    <row r="17" spans="1:40" x14ac:dyDescent="0.4">
      <c r="A17">
        <v>1047698</v>
      </c>
      <c r="B17" s="16">
        <v>43</v>
      </c>
      <c r="C17" s="12" t="s">
        <v>122</v>
      </c>
      <c r="D17" s="12" t="s">
        <v>135</v>
      </c>
      <c r="E17" s="12" t="s">
        <v>152</v>
      </c>
      <c r="F17" s="12" t="s">
        <v>160</v>
      </c>
      <c r="G17" s="14">
        <f t="shared" ca="1" si="0"/>
        <v>85075.729469689497</v>
      </c>
      <c r="H17" s="12" t="s">
        <v>172</v>
      </c>
      <c r="I17">
        <v>0</v>
      </c>
      <c r="J17">
        <v>50</v>
      </c>
      <c r="K17" s="12" t="s">
        <v>176</v>
      </c>
      <c r="L17">
        <v>22418</v>
      </c>
      <c r="M17">
        <v>1</v>
      </c>
      <c r="O17" s="39"/>
      <c r="P17" s="16">
        <v>43391.17</v>
      </c>
      <c r="S17" s="17" t="str" cm="1">
        <f t="array" aca="1" ref="S17" ca="1">_xll.JniPMML_Eval($T$4,0,Table3[#This Row])</f>
        <v>cluster_1</v>
      </c>
      <c r="U17" t="str">
        <f ca="1"/>
        <v>cluster_1</v>
      </c>
      <c r="X17" t="str">
        <f ca="1"/>
        <v>{result=1, probability_entries=[0=0.3544973544973545, 1=0.6455026455026455], entityId=308, confidence_entries=[]}</v>
      </c>
      <c r="AE17" s="19" t="str" cm="1">
        <f t="array" aca="1" ref="AE17:AN17" ca="1">_xll.JniPMML_ExpandComplexValue(X17)</f>
        <v>result</v>
      </c>
      <c r="AF17" t="str">
        <f ca="1"/>
        <v>1</v>
      </c>
      <c r="AG17" t="str">
        <f ca="1"/>
        <v>probability_entries</v>
      </c>
      <c r="AH17" t="str">
        <f ca="1"/>
        <v>probability_entries_0</v>
      </c>
      <c r="AI17" t="str">
        <f ca="1"/>
        <v>0.3544973544973545</v>
      </c>
      <c r="AJ17" t="str">
        <f ca="1"/>
        <v>probability_entries_1</v>
      </c>
      <c r="AK17" t="str">
        <f ca="1"/>
        <v>0.6455026455026455</v>
      </c>
      <c r="AL17" t="str">
        <f ca="1"/>
        <v>entityId</v>
      </c>
      <c r="AM17" t="str">
        <f ca="1"/>
        <v>308</v>
      </c>
      <c r="AN17" t="str">
        <f ca="1"/>
        <v>confidence_entries</v>
      </c>
    </row>
    <row r="18" spans="1:40" x14ac:dyDescent="0.4">
      <c r="A18">
        <v>1053888</v>
      </c>
      <c r="B18" s="15">
        <v>35</v>
      </c>
      <c r="C18" s="12" t="s">
        <v>122</v>
      </c>
      <c r="D18" s="12" t="s">
        <v>136</v>
      </c>
      <c r="E18" s="12" t="s">
        <v>152</v>
      </c>
      <c r="F18" s="12" t="s">
        <v>161</v>
      </c>
      <c r="G18" s="14">
        <f t="shared" ca="1" si="0"/>
        <v>92313.563022847957</v>
      </c>
      <c r="H18" s="12" t="s">
        <v>172</v>
      </c>
      <c r="I18">
        <v>0</v>
      </c>
      <c r="J18">
        <v>40</v>
      </c>
      <c r="K18" s="12" t="s">
        <v>176</v>
      </c>
      <c r="L18">
        <v>0</v>
      </c>
      <c r="M18">
        <v>0</v>
      </c>
      <c r="O18" s="39"/>
      <c r="P18" s="15">
        <v>59906.65</v>
      </c>
      <c r="S18" s="17" t="str" cm="1">
        <f t="array" aca="1" ref="S18" ca="1">_xll.JniPMML_Eval($T$4,0,Table3[#This Row])</f>
        <v>cluster_1</v>
      </c>
      <c r="U18" t="str">
        <f ca="1"/>
        <v>cluster_1</v>
      </c>
      <c r="X18" t="str">
        <f ca="1"/>
        <v>{result=0, probability_entries=[0=0.8, 1=0.2], entityId=361, confidence_entries=[]}</v>
      </c>
      <c r="AE18" s="19" t="str" cm="1">
        <f t="array" aca="1" ref="AE18:AN18" ca="1">_xll.JniPMML_ExpandComplexValue(X18)</f>
        <v>result</v>
      </c>
      <c r="AF18" t="str">
        <f ca="1"/>
        <v>0</v>
      </c>
      <c r="AG18" t="str">
        <f ca="1"/>
        <v>probability_entries</v>
      </c>
      <c r="AH18" t="str">
        <f ca="1"/>
        <v>probability_entries_0</v>
      </c>
      <c r="AI18" t="str">
        <f ca="1"/>
        <v>0.8</v>
      </c>
      <c r="AJ18" t="str">
        <f ca="1"/>
        <v>probability_entries_1</v>
      </c>
      <c r="AK18" t="str">
        <f ca="1"/>
        <v>0.2</v>
      </c>
      <c r="AL18" t="str">
        <f ca="1"/>
        <v>entityId</v>
      </c>
      <c r="AM18" t="str">
        <f ca="1"/>
        <v>361</v>
      </c>
      <c r="AN18" t="str">
        <f ca="1"/>
        <v>confidence_entries</v>
      </c>
    </row>
    <row r="19" spans="1:40" x14ac:dyDescent="0.4">
      <c r="A19">
        <v>1061323</v>
      </c>
      <c r="B19" s="16">
        <v>25</v>
      </c>
      <c r="C19" s="12" t="s">
        <v>122</v>
      </c>
      <c r="D19" s="12" t="s">
        <v>133</v>
      </c>
      <c r="E19" s="12" t="s">
        <v>151</v>
      </c>
      <c r="F19" s="12" t="s">
        <v>158</v>
      </c>
      <c r="G19" s="14">
        <f t="shared" ca="1" si="0"/>
        <v>151425.09388712747</v>
      </c>
      <c r="H19" s="12" t="s">
        <v>171</v>
      </c>
      <c r="I19">
        <v>0</v>
      </c>
      <c r="J19">
        <v>40</v>
      </c>
      <c r="K19" s="12" t="s">
        <v>176</v>
      </c>
      <c r="L19">
        <v>0</v>
      </c>
      <c r="M19">
        <v>0</v>
      </c>
      <c r="O19" s="39"/>
      <c r="P19" s="16">
        <v>126888.91</v>
      </c>
      <c r="S19" s="17" t="str" cm="1">
        <f t="array" aca="1" ref="S19" ca="1">_xll.JniPMML_Eval($T$4,0,Table3[#This Row])</f>
        <v>cluster_0</v>
      </c>
      <c r="U19" t="str">
        <f ca="1"/>
        <v>cluster_0</v>
      </c>
      <c r="X19" t="str">
        <f ca="1"/>
        <v>{result=0, probability_entries=[0=0.924812030075188, 1=0.07518796992481203], entityId=100, confidence_entries=[]}</v>
      </c>
      <c r="AE19" s="19" t="str" cm="1">
        <f t="array" aca="1" ref="AE19:AN19" ca="1">_xll.JniPMML_ExpandComplexValue(X19)</f>
        <v>result</v>
      </c>
      <c r="AF19" t="str">
        <f ca="1"/>
        <v>0</v>
      </c>
      <c r="AG19" t="str">
        <f ca="1"/>
        <v>probability_entries</v>
      </c>
      <c r="AH19" t="str">
        <f ca="1"/>
        <v>probability_entries_0</v>
      </c>
      <c r="AI19" t="str">
        <f ca="1"/>
        <v>0.924812030075188</v>
      </c>
      <c r="AJ19" t="str">
        <f ca="1"/>
        <v>probability_entries_1</v>
      </c>
      <c r="AK19" t="str">
        <f ca="1"/>
        <v>0.07518796992481203</v>
      </c>
      <c r="AL19" t="str">
        <f ca="1"/>
        <v>entityId</v>
      </c>
      <c r="AM19" t="str">
        <f ca="1"/>
        <v>100</v>
      </c>
      <c r="AN19" t="str">
        <f ca="1"/>
        <v>confidence_entries</v>
      </c>
    </row>
    <row r="20" spans="1:40" x14ac:dyDescent="0.4">
      <c r="A20">
        <v>1062363</v>
      </c>
      <c r="B20" s="15">
        <v>22</v>
      </c>
      <c r="C20" s="12" t="s">
        <v>122</v>
      </c>
      <c r="D20" s="12" t="s">
        <v>134</v>
      </c>
      <c r="E20" s="12" t="s">
        <v>150</v>
      </c>
      <c r="F20" s="12" t="s">
        <v>162</v>
      </c>
      <c r="G20" s="14">
        <f t="shared" ca="1" si="0"/>
        <v>92380.653294844422</v>
      </c>
      <c r="H20" s="12" t="s">
        <v>171</v>
      </c>
      <c r="I20">
        <v>0</v>
      </c>
      <c r="J20">
        <v>37</v>
      </c>
      <c r="K20" s="12" t="s">
        <v>176</v>
      </c>
      <c r="L20">
        <v>0</v>
      </c>
      <c r="M20">
        <v>0</v>
      </c>
      <c r="O20" s="39"/>
      <c r="P20" s="15">
        <v>52466.49</v>
      </c>
      <c r="S20" s="17" t="str" cm="1">
        <f t="array" aca="1" ref="S20" ca="1">_xll.JniPMML_Eval($T$4,0,Table3[#This Row])</f>
        <v>cluster_1</v>
      </c>
      <c r="U20" t="str">
        <f ca="1"/>
        <v>cluster_1</v>
      </c>
      <c r="X20" t="str">
        <f ca="1"/>
        <v>{result=0, probability_entries=[0=0.9551569506726457, 1=0.04484304932735426], entityId=33, confidence_entries=[]}</v>
      </c>
      <c r="AE20" s="19" t="str" cm="1">
        <f t="array" aca="1" ref="AE20:AN20" ca="1">_xll.JniPMML_ExpandComplexValue(X20)</f>
        <v>result</v>
      </c>
      <c r="AF20" t="str">
        <f ca="1"/>
        <v>0</v>
      </c>
      <c r="AG20" t="str">
        <f ca="1"/>
        <v>probability_entries</v>
      </c>
      <c r="AH20" t="str">
        <f ca="1"/>
        <v>probability_entries_0</v>
      </c>
      <c r="AI20" t="str">
        <f ca="1"/>
        <v>0.9551569506726457</v>
      </c>
      <c r="AJ20" t="str">
        <f ca="1"/>
        <v>probability_entries_1</v>
      </c>
      <c r="AK20" t="str">
        <f ca="1"/>
        <v>0.04484304932735426</v>
      </c>
      <c r="AL20" t="str">
        <f ca="1"/>
        <v>entityId</v>
      </c>
      <c r="AM20" t="str">
        <f ca="1"/>
        <v>33</v>
      </c>
      <c r="AN20" t="str">
        <f ca="1"/>
        <v>confidence_entries</v>
      </c>
    </row>
    <row r="21" spans="1:40" x14ac:dyDescent="0.4">
      <c r="A21">
        <v>1068642</v>
      </c>
      <c r="B21" s="16">
        <v>48</v>
      </c>
      <c r="C21" s="12" t="s">
        <v>122</v>
      </c>
      <c r="D21" s="12" t="s">
        <v>132</v>
      </c>
      <c r="E21" s="12" t="s">
        <v>151</v>
      </c>
      <c r="F21" s="12" t="s">
        <v>156</v>
      </c>
      <c r="G21" s="14">
        <f t="shared" ca="1" si="0"/>
        <v>516525.31055275153</v>
      </c>
      <c r="H21" s="12" t="s">
        <v>171</v>
      </c>
      <c r="I21">
        <v>0</v>
      </c>
      <c r="J21">
        <v>35</v>
      </c>
      <c r="K21" s="12" t="s">
        <v>176</v>
      </c>
      <c r="L21">
        <v>0</v>
      </c>
      <c r="M21">
        <v>0</v>
      </c>
      <c r="O21" s="39"/>
      <c r="P21" s="16">
        <v>291416.11</v>
      </c>
      <c r="S21" s="17"/>
      <c r="X21" t="str">
        <f ca="1"/>
        <v>{result=0, probability_entries=[0=0.924812030075188, 1=0.07518796992481203], entityId=100, confidence_entries=[]}</v>
      </c>
      <c r="AE21" s="19" t="str" cm="1">
        <f t="array" aca="1" ref="AE21:AN21" ca="1">_xll.JniPMML_ExpandComplexValue(X21)</f>
        <v>result</v>
      </c>
      <c r="AF21" t="str">
        <f ca="1"/>
        <v>0</v>
      </c>
      <c r="AG21" t="str">
        <f ca="1"/>
        <v>probability_entries</v>
      </c>
      <c r="AH21" t="str">
        <f ca="1"/>
        <v>probability_entries_0</v>
      </c>
      <c r="AI21" t="str">
        <f ca="1"/>
        <v>0.924812030075188</v>
      </c>
      <c r="AJ21" t="str">
        <f ca="1"/>
        <v>probability_entries_1</v>
      </c>
      <c r="AK21" t="str">
        <f ca="1"/>
        <v>0.07518796992481203</v>
      </c>
      <c r="AL21" t="str">
        <f ca="1"/>
        <v>entityId</v>
      </c>
      <c r="AM21" t="str">
        <f ca="1"/>
        <v>100</v>
      </c>
      <c r="AN21" t="str">
        <f ca="1"/>
        <v>confidence_entries</v>
      </c>
    </row>
    <row r="22" spans="1:40" x14ac:dyDescent="0.4">
      <c r="A22">
        <v>1071615</v>
      </c>
      <c r="B22" s="15">
        <v>60</v>
      </c>
      <c r="C22" s="12" t="s">
        <v>122</v>
      </c>
      <c r="D22" s="12" t="s">
        <v>137</v>
      </c>
      <c r="E22" s="12" t="s">
        <v>153</v>
      </c>
      <c r="F22" s="12" t="s">
        <v>158</v>
      </c>
      <c r="G22" s="14">
        <f t="shared" ca="1" si="0"/>
        <v>25433.329023417387</v>
      </c>
      <c r="H22" s="12" t="s">
        <v>172</v>
      </c>
      <c r="I22">
        <v>0</v>
      </c>
      <c r="J22">
        <v>40</v>
      </c>
      <c r="K22" s="12" t="s">
        <v>176</v>
      </c>
      <c r="L22">
        <v>0</v>
      </c>
      <c r="M22">
        <v>0</v>
      </c>
      <c r="O22" s="39"/>
      <c r="P22" s="15">
        <v>24155.31</v>
      </c>
      <c r="S22" s="17"/>
      <c r="X22" t="str">
        <f ca="1"/>
        <v>{result=0, probability_entries=[0=0.9322033898305084, 1=0.06779661016949153], entityId=431, confidence_entries=[]}</v>
      </c>
      <c r="AE22" s="19" t="str" cm="1">
        <f t="array" aca="1" ref="AE22:AN22" ca="1">_xll.JniPMML_ExpandComplexValue(X22)</f>
        <v>result</v>
      </c>
      <c r="AF22" t="str">
        <f ca="1"/>
        <v>0</v>
      </c>
      <c r="AG22" t="str">
        <f ca="1"/>
        <v>probability_entries</v>
      </c>
      <c r="AH22" t="str">
        <f ca="1"/>
        <v>probability_entries_0</v>
      </c>
      <c r="AI22" t="str">
        <f ca="1"/>
        <v>0.9322033898305084</v>
      </c>
      <c r="AJ22" t="str">
        <f ca="1"/>
        <v>probability_entries_1</v>
      </c>
      <c r="AK22" t="str">
        <f ca="1"/>
        <v>0.06779661016949153</v>
      </c>
      <c r="AL22" t="str">
        <f ca="1"/>
        <v>entityId</v>
      </c>
      <c r="AM22" t="str">
        <f ca="1"/>
        <v>431</v>
      </c>
      <c r="AN22" t="str">
        <f ca="1"/>
        <v>confidence_entries</v>
      </c>
    </row>
    <row r="23" spans="1:40" x14ac:dyDescent="0.4">
      <c r="A23">
        <v>1071878</v>
      </c>
      <c r="B23" s="16">
        <v>21</v>
      </c>
      <c r="C23" s="12" t="s">
        <v>122</v>
      </c>
      <c r="D23" s="12" t="s">
        <v>132</v>
      </c>
      <c r="E23" s="12" t="s">
        <v>150</v>
      </c>
      <c r="F23" s="12" t="s">
        <v>156</v>
      </c>
      <c r="G23" s="14">
        <f t="shared" ca="1" si="0"/>
        <v>262608.29818575602</v>
      </c>
      <c r="H23" s="12" t="s">
        <v>171</v>
      </c>
      <c r="I23">
        <v>0</v>
      </c>
      <c r="J23">
        <v>35</v>
      </c>
      <c r="K23" s="12" t="s">
        <v>176</v>
      </c>
      <c r="L23">
        <v>0</v>
      </c>
      <c r="M23">
        <v>0</v>
      </c>
      <c r="O23" s="39"/>
      <c r="P23" s="16">
        <v>143254.85999999999</v>
      </c>
      <c r="S23" s="17"/>
      <c r="X23" t="str">
        <f ca="1"/>
        <v>{result=0, probability_entries=[0=0.9551569506726457, 1=0.04484304932735426], entityId=33, confidence_entries=[]}</v>
      </c>
      <c r="AE23" s="19" t="str" cm="1">
        <f t="array" aca="1" ref="AE23:AN23" ca="1">_xll.JniPMML_ExpandComplexValue(X23)</f>
        <v>result</v>
      </c>
      <c r="AF23" t="str">
        <f ca="1"/>
        <v>0</v>
      </c>
      <c r="AG23" t="str">
        <f ca="1"/>
        <v>probability_entries</v>
      </c>
      <c r="AH23" t="str">
        <f ca="1"/>
        <v>probability_entries_0</v>
      </c>
      <c r="AI23" t="str">
        <f ca="1"/>
        <v>0.9551569506726457</v>
      </c>
      <c r="AJ23" t="str">
        <f ca="1"/>
        <v>probability_entries_1</v>
      </c>
      <c r="AK23" t="str">
        <f ca="1"/>
        <v>0.04484304932735426</v>
      </c>
      <c r="AL23" t="str">
        <f ca="1"/>
        <v>entityId</v>
      </c>
      <c r="AM23" t="str">
        <f ca="1"/>
        <v>33</v>
      </c>
      <c r="AN23" t="str">
        <f ca="1"/>
        <v>confidence_entries</v>
      </c>
    </row>
    <row r="24" spans="1:40" x14ac:dyDescent="0.4">
      <c r="A24">
        <v>1077831</v>
      </c>
      <c r="B24" s="15">
        <v>21</v>
      </c>
      <c r="C24" s="12" t="s">
        <v>122</v>
      </c>
      <c r="D24" s="12" t="s">
        <v>132</v>
      </c>
      <c r="E24" s="12" t="s">
        <v>150</v>
      </c>
      <c r="F24" s="12" t="s">
        <v>161</v>
      </c>
      <c r="G24" s="14">
        <f t="shared" ca="1" si="0"/>
        <v>157382.70554606194</v>
      </c>
      <c r="H24" s="12" t="s">
        <v>172</v>
      </c>
      <c r="I24">
        <v>0</v>
      </c>
      <c r="J24">
        <v>40</v>
      </c>
      <c r="K24" s="12" t="s">
        <v>176</v>
      </c>
      <c r="L24">
        <v>0</v>
      </c>
      <c r="M24">
        <v>0</v>
      </c>
      <c r="O24" s="39"/>
      <c r="P24" s="15">
        <v>120554.81</v>
      </c>
      <c r="S24" s="17"/>
      <c r="X24" t="str">
        <f ca="1"/>
        <v>{result=0, probability_entries=[0=0.9551569506726457, 1=0.04484304932735426], entityId=33, confidence_entries=[]}</v>
      </c>
      <c r="AE24" s="19" t="str" cm="1">
        <f t="array" aca="1" ref="AE24:AN24" ca="1">_xll.JniPMML_ExpandComplexValue(X24)</f>
        <v>result</v>
      </c>
      <c r="AF24" t="str">
        <f ca="1"/>
        <v>0</v>
      </c>
      <c r="AG24" t="str">
        <f ca="1"/>
        <v>probability_entries</v>
      </c>
      <c r="AH24" t="str">
        <f ca="1"/>
        <v>probability_entries_0</v>
      </c>
      <c r="AI24" t="str">
        <f ca="1"/>
        <v>0.9551569506726457</v>
      </c>
      <c r="AJ24" t="str">
        <f ca="1"/>
        <v>probability_entries_1</v>
      </c>
      <c r="AK24" t="str">
        <f ca="1"/>
        <v>0.04484304932735426</v>
      </c>
      <c r="AL24" t="str">
        <f ca="1"/>
        <v>entityId</v>
      </c>
      <c r="AM24" t="str">
        <f ca="1"/>
        <v>33</v>
      </c>
      <c r="AN24" t="str">
        <f ca="1"/>
        <v>confidence_entries</v>
      </c>
    </row>
    <row r="25" spans="1:40" x14ac:dyDescent="0.4">
      <c r="A25">
        <v>1084870</v>
      </c>
      <c r="B25" s="16">
        <v>50</v>
      </c>
      <c r="C25" s="12" t="s">
        <v>122</v>
      </c>
      <c r="D25" s="12" t="s">
        <v>138</v>
      </c>
      <c r="E25" s="12" t="s">
        <v>152</v>
      </c>
      <c r="F25" s="12" t="s">
        <v>160</v>
      </c>
      <c r="G25" s="14">
        <f t="shared" ca="1" si="0"/>
        <v>63279.468039236694</v>
      </c>
      <c r="H25" s="12" t="s">
        <v>172</v>
      </c>
      <c r="I25">
        <v>0</v>
      </c>
      <c r="J25">
        <v>40</v>
      </c>
      <c r="K25" s="12" t="s">
        <v>178</v>
      </c>
      <c r="L25">
        <v>7298</v>
      </c>
      <c r="M25">
        <v>1</v>
      </c>
      <c r="O25" s="39"/>
      <c r="P25" s="16">
        <v>34919.160000000003</v>
      </c>
      <c r="S25" s="17"/>
      <c r="X25" t="str">
        <f ca="1"/>
        <v>{result=1, probability_entries=[0=0.1774193548387097, 1=0.8225806451612904], entityId=380, confidence_entries=[]}</v>
      </c>
      <c r="AE25" s="19" t="str" cm="1">
        <f t="array" aca="1" ref="AE25:AN25" ca="1">_xll.JniPMML_ExpandComplexValue(X25)</f>
        <v>result</v>
      </c>
      <c r="AF25" t="str">
        <f ca="1"/>
        <v>1</v>
      </c>
      <c r="AG25" t="str">
        <f ca="1"/>
        <v>probability_entries</v>
      </c>
      <c r="AH25" t="str">
        <f ca="1"/>
        <v>probability_entries_0</v>
      </c>
      <c r="AI25" t="str">
        <f ca="1"/>
        <v>0.1774193548387097</v>
      </c>
      <c r="AJ25" t="str">
        <f ca="1"/>
        <v>probability_entries_1</v>
      </c>
      <c r="AK25" t="str">
        <f ca="1"/>
        <v>0.8225806451612904</v>
      </c>
      <c r="AL25" t="str">
        <f ca="1"/>
        <v>entityId</v>
      </c>
      <c r="AM25" t="str">
        <f ca="1"/>
        <v>380</v>
      </c>
      <c r="AN25" t="str">
        <f ca="1"/>
        <v>confidence_entries</v>
      </c>
    </row>
    <row r="26" spans="1:40" x14ac:dyDescent="0.4">
      <c r="A26">
        <v>1085176</v>
      </c>
      <c r="B26" s="15">
        <v>37</v>
      </c>
      <c r="C26" s="12" t="s">
        <v>122</v>
      </c>
      <c r="D26" s="12" t="s">
        <v>134</v>
      </c>
      <c r="E26" s="12" t="s">
        <v>151</v>
      </c>
      <c r="F26" s="12" t="s">
        <v>160</v>
      </c>
      <c r="G26" s="14">
        <f t="shared" ca="1" si="0"/>
        <v>124443.08848319779</v>
      </c>
      <c r="H26" s="12" t="s">
        <v>172</v>
      </c>
      <c r="I26">
        <v>0</v>
      </c>
      <c r="J26">
        <v>35</v>
      </c>
      <c r="K26" s="12" t="s">
        <v>176</v>
      </c>
      <c r="L26">
        <v>0</v>
      </c>
      <c r="M26">
        <v>0</v>
      </c>
      <c r="O26" s="39"/>
      <c r="P26" s="15">
        <v>67176.789999999994</v>
      </c>
      <c r="S26" s="17"/>
      <c r="X26" t="str">
        <f ca="1"/>
        <v>{result=0, probability_entries=[0=0.924812030075188, 1=0.07518796992481203], entityId=100, confidence_entries=[]}</v>
      </c>
    </row>
    <row r="27" spans="1:40" x14ac:dyDescent="0.4">
      <c r="A27">
        <v>1093662</v>
      </c>
      <c r="B27" s="16">
        <v>30</v>
      </c>
      <c r="C27" s="12" t="s">
        <v>123</v>
      </c>
      <c r="D27" s="12" t="s">
        <v>134</v>
      </c>
      <c r="E27" s="12" t="s">
        <v>151</v>
      </c>
      <c r="F27" s="12" t="s">
        <v>159</v>
      </c>
      <c r="G27" s="14">
        <f t="shared" ca="1" si="0"/>
        <v>10726.378871559533</v>
      </c>
      <c r="H27" s="12" t="s">
        <v>172</v>
      </c>
      <c r="I27">
        <v>0</v>
      </c>
      <c r="J27">
        <v>40</v>
      </c>
      <c r="K27" s="12" t="s">
        <v>176</v>
      </c>
      <c r="L27">
        <v>0</v>
      </c>
      <c r="M27">
        <v>0</v>
      </c>
      <c r="O27" s="39"/>
      <c r="P27" s="16">
        <v>9608.48</v>
      </c>
      <c r="S27" s="17"/>
      <c r="X27" t="str">
        <f ca="1"/>
        <v>{result=0, probability_entries=[0=0.924812030075188, 1=0.07518796992481203], entityId=100, confidence_entries=[]}</v>
      </c>
    </row>
    <row r="28" spans="1:40" x14ac:dyDescent="0.4">
      <c r="A28">
        <v>1094029</v>
      </c>
      <c r="B28" s="15">
        <v>32</v>
      </c>
      <c r="C28" s="12" t="s">
        <v>122</v>
      </c>
      <c r="D28" s="12" t="s">
        <v>134</v>
      </c>
      <c r="E28" s="12" t="s">
        <v>152</v>
      </c>
      <c r="F28" s="12" t="s">
        <v>161</v>
      </c>
      <c r="G28" s="14">
        <f t="shared" ca="1" si="0"/>
        <v>19925.258669134073</v>
      </c>
      <c r="H28" s="12" t="s">
        <v>172</v>
      </c>
      <c r="I28">
        <v>0</v>
      </c>
      <c r="J28">
        <v>40</v>
      </c>
      <c r="K28" s="12" t="s">
        <v>176</v>
      </c>
      <c r="L28">
        <v>0</v>
      </c>
      <c r="M28">
        <v>0</v>
      </c>
      <c r="O28" s="39"/>
      <c r="P28" s="15">
        <v>12475.84</v>
      </c>
      <c r="S28" s="17"/>
      <c r="X28" t="str">
        <f ca="1"/>
        <v>{result=0, probability_entries=[0=0.7095709570957096, 1=0.29042904290429045], entityId=218, confidence_entries=[]}</v>
      </c>
    </row>
    <row r="29" spans="1:40" x14ac:dyDescent="0.4">
      <c r="A29">
        <v>1099084</v>
      </c>
      <c r="B29" s="16">
        <v>65</v>
      </c>
      <c r="C29" s="12" t="s">
        <v>124</v>
      </c>
      <c r="D29" s="12" t="s">
        <v>132</v>
      </c>
      <c r="E29" s="12" t="s">
        <v>152</v>
      </c>
      <c r="F29" s="12" t="s">
        <v>162</v>
      </c>
      <c r="G29" s="14">
        <f t="shared" ca="1" si="0"/>
        <v>58712.254882216745</v>
      </c>
      <c r="H29" s="12" t="s">
        <v>172</v>
      </c>
      <c r="I29">
        <v>0</v>
      </c>
      <c r="J29">
        <v>40</v>
      </c>
      <c r="K29" s="12" t="s">
        <v>176</v>
      </c>
      <c r="L29">
        <v>0</v>
      </c>
      <c r="M29">
        <v>0</v>
      </c>
      <c r="O29" s="39"/>
      <c r="P29" s="16">
        <v>32963.39</v>
      </c>
      <c r="S29" s="17"/>
      <c r="X29" t="str">
        <f ca="1"/>
        <v>{result=0, probability_entries=[0=0.55, 1=0.45], entityId=180, confidence_entries=[]}</v>
      </c>
    </row>
    <row r="30" spans="1:40" x14ac:dyDescent="0.4">
      <c r="A30">
        <v>1099829</v>
      </c>
      <c r="B30" s="15">
        <v>28</v>
      </c>
      <c r="C30" s="12" t="s">
        <v>122</v>
      </c>
      <c r="D30" s="12" t="s">
        <v>132</v>
      </c>
      <c r="E30" s="12" t="s">
        <v>152</v>
      </c>
      <c r="F30" s="12" t="s">
        <v>160</v>
      </c>
      <c r="G30" s="14">
        <f t="shared" ca="1" si="0"/>
        <v>56160.994282804619</v>
      </c>
      <c r="H30" s="12" t="s">
        <v>172</v>
      </c>
      <c r="I30">
        <v>0</v>
      </c>
      <c r="J30">
        <v>55</v>
      </c>
      <c r="K30" s="12" t="s">
        <v>176</v>
      </c>
      <c r="L30">
        <v>0</v>
      </c>
      <c r="M30">
        <v>0</v>
      </c>
      <c r="O30" s="39"/>
      <c r="P30" s="15">
        <v>31534.97</v>
      </c>
      <c r="S30" s="17"/>
      <c r="X30" t="str">
        <f ca="1"/>
        <v>{result=0, probability_entries=[0=0.875, 1=0.125], entityId=171, confidence_entries=[]}</v>
      </c>
    </row>
    <row r="31" spans="1:40" x14ac:dyDescent="0.4">
      <c r="A31">
        <v>1110947</v>
      </c>
      <c r="B31" s="16">
        <v>40</v>
      </c>
      <c r="C31" s="12" t="s">
        <v>125</v>
      </c>
      <c r="D31" s="12" t="s">
        <v>137</v>
      </c>
      <c r="E31" s="12" t="s">
        <v>151</v>
      </c>
      <c r="F31" s="12" t="s">
        <v>160</v>
      </c>
      <c r="G31" s="14">
        <f t="shared" ca="1" si="0"/>
        <v>300244.17643360846</v>
      </c>
      <c r="H31" s="12" t="s">
        <v>171</v>
      </c>
      <c r="I31">
        <v>0</v>
      </c>
      <c r="J31">
        <v>40</v>
      </c>
      <c r="K31" s="12" t="s">
        <v>176</v>
      </c>
      <c r="L31">
        <v>0</v>
      </c>
      <c r="M31">
        <v>0</v>
      </c>
      <c r="O31" s="39"/>
      <c r="P31" s="16">
        <v>182165.08</v>
      </c>
      <c r="S31" s="17"/>
      <c r="X31" t="str">
        <f ca="1"/>
        <v>{result=0, probability_entries=[0=0.924812030075188, 1=0.07518796992481203], entityId=100, confidence_entries=[]}</v>
      </c>
    </row>
    <row r="32" spans="1:40" x14ac:dyDescent="0.4">
      <c r="A32">
        <v>1113899</v>
      </c>
      <c r="B32" s="15">
        <v>41</v>
      </c>
      <c r="C32" s="12" t="s">
        <v>126</v>
      </c>
      <c r="D32" s="12" t="s">
        <v>135</v>
      </c>
      <c r="E32" s="12" t="s">
        <v>151</v>
      </c>
      <c r="F32" s="12" t="s">
        <v>160</v>
      </c>
      <c r="G32" s="14">
        <f t="shared" ca="1" si="0"/>
        <v>127652.8633397153</v>
      </c>
      <c r="H32" s="12" t="s">
        <v>172</v>
      </c>
      <c r="I32">
        <v>0</v>
      </c>
      <c r="J32">
        <v>40</v>
      </c>
      <c r="K32" s="12" t="s">
        <v>176</v>
      </c>
      <c r="L32">
        <v>0</v>
      </c>
      <c r="M32">
        <v>0</v>
      </c>
      <c r="O32" s="39"/>
      <c r="P32" s="15">
        <v>70603.7</v>
      </c>
      <c r="S32" s="17"/>
      <c r="X32" t="str">
        <f ca="1"/>
        <v>{result=0, probability_entries=[0=0.924812030075188, 1=0.07518796992481203], entityId=100, confidence_entries=[]}</v>
      </c>
    </row>
    <row r="33" spans="1:24" x14ac:dyDescent="0.4">
      <c r="A33">
        <v>1126025</v>
      </c>
      <c r="B33" s="16">
        <v>30</v>
      </c>
      <c r="C33" s="12" t="s">
        <v>122</v>
      </c>
      <c r="D33" s="12" t="s">
        <v>134</v>
      </c>
      <c r="E33" s="12" t="s">
        <v>150</v>
      </c>
      <c r="F33" s="12" t="s">
        <v>156</v>
      </c>
      <c r="G33" s="14">
        <f t="shared" ca="1" si="0"/>
        <v>171565.2235635398</v>
      </c>
      <c r="H33" s="12" t="s">
        <v>172</v>
      </c>
      <c r="I33">
        <v>0</v>
      </c>
      <c r="J33">
        <v>30</v>
      </c>
      <c r="K33" s="12" t="s">
        <v>176</v>
      </c>
      <c r="L33">
        <v>0</v>
      </c>
      <c r="M33">
        <v>0</v>
      </c>
      <c r="O33" s="39"/>
      <c r="P33" s="16">
        <v>88125.97</v>
      </c>
      <c r="S33" s="17"/>
      <c r="X33" t="str">
        <f ca="1"/>
        <v>{result=0, probability_entries=[0=0.9551569506726457, 1=0.04484304932735426], entityId=33, confidence_entries=[]}</v>
      </c>
    </row>
    <row r="34" spans="1:24" x14ac:dyDescent="0.4">
      <c r="A34">
        <v>1129687</v>
      </c>
      <c r="B34" s="15">
        <v>38</v>
      </c>
      <c r="C34" s="12" t="s">
        <v>122</v>
      </c>
      <c r="D34" s="12" t="s">
        <v>134</v>
      </c>
      <c r="E34" s="12" t="s">
        <v>152</v>
      </c>
      <c r="F34" s="12" t="s">
        <v>159</v>
      </c>
      <c r="G34" s="14">
        <f t="shared" ca="1" si="0"/>
        <v>11641.058667525636</v>
      </c>
      <c r="H34" s="12" t="s">
        <v>172</v>
      </c>
      <c r="I34">
        <v>0</v>
      </c>
      <c r="J34">
        <v>40</v>
      </c>
      <c r="K34" s="12" t="s">
        <v>176</v>
      </c>
      <c r="L34">
        <v>0</v>
      </c>
      <c r="M34">
        <v>0</v>
      </c>
      <c r="O34" s="39"/>
      <c r="P34" s="15">
        <v>8670.9</v>
      </c>
      <c r="S34" s="17"/>
      <c r="X34" t="str">
        <f ca="1"/>
        <v>{result=0, probability_entries=[0=0.7095709570957096, 1=0.29042904290429045], entityId=218, confidence_entries=[]}</v>
      </c>
    </row>
    <row r="35" spans="1:24" x14ac:dyDescent="0.4">
      <c r="A35">
        <v>1133761</v>
      </c>
      <c r="B35" s="16">
        <v>23</v>
      </c>
      <c r="C35" s="12" t="s">
        <v>122</v>
      </c>
      <c r="D35" s="12" t="s">
        <v>139</v>
      </c>
      <c r="E35" s="12" t="s">
        <v>149</v>
      </c>
      <c r="F35" s="12" t="s">
        <v>144</v>
      </c>
      <c r="G35" s="14">
        <f t="shared" ca="1" si="0"/>
        <v>439975.64203535533</v>
      </c>
      <c r="H35" s="12" t="s">
        <v>172</v>
      </c>
      <c r="I35">
        <v>0</v>
      </c>
      <c r="J35">
        <v>35</v>
      </c>
      <c r="K35" s="12" t="s">
        <v>176</v>
      </c>
      <c r="L35">
        <v>0</v>
      </c>
      <c r="M35">
        <v>0</v>
      </c>
      <c r="O35" s="39"/>
      <c r="P35" s="16">
        <v>260405.44</v>
      </c>
      <c r="S35" s="17"/>
      <c r="X35" t="str">
        <f ca="1"/>
        <v>{result=0, probability_entries=[0=0.9253731343283582, 1=0.07462686567164178], entityId=1, confidence_entries=[]}</v>
      </c>
    </row>
    <row r="36" spans="1:24" x14ac:dyDescent="0.4">
      <c r="A36">
        <v>1135666</v>
      </c>
      <c r="B36" s="15">
        <v>42</v>
      </c>
      <c r="C36" s="12" t="s">
        <v>126</v>
      </c>
      <c r="D36" s="12" t="s">
        <v>132</v>
      </c>
      <c r="E36" s="12" t="s">
        <v>150</v>
      </c>
      <c r="F36" s="12" t="s">
        <v>160</v>
      </c>
      <c r="G36" s="14">
        <f t="shared" ca="1" si="0"/>
        <v>130598.51141099019</v>
      </c>
      <c r="H36" s="12" t="s">
        <v>171</v>
      </c>
      <c r="I36">
        <v>0</v>
      </c>
      <c r="J36">
        <v>40</v>
      </c>
      <c r="K36" s="12" t="s">
        <v>176</v>
      </c>
      <c r="L36">
        <v>0</v>
      </c>
      <c r="M36">
        <v>0</v>
      </c>
      <c r="O36" s="39"/>
      <c r="P36" s="15">
        <v>66139.360000000001</v>
      </c>
      <c r="S36" s="17"/>
      <c r="X36" t="str">
        <f ca="1"/>
        <v>{result=0, probability_entries=[0=0.9551569506726457, 1=0.04484304932735426], entityId=33, confidence_entries=[]}</v>
      </c>
    </row>
    <row r="37" spans="1:24" x14ac:dyDescent="0.4">
      <c r="A37">
        <v>1139749</v>
      </c>
      <c r="B37" s="16">
        <v>26</v>
      </c>
      <c r="C37" s="12" t="s">
        <v>122</v>
      </c>
      <c r="D37" s="12" t="s">
        <v>135</v>
      </c>
      <c r="E37" s="12" t="s">
        <v>150</v>
      </c>
      <c r="F37" s="12" t="s">
        <v>162</v>
      </c>
      <c r="G37" s="14">
        <f t="shared" ca="1" si="0"/>
        <v>118027.360326644</v>
      </c>
      <c r="H37" s="12" t="s">
        <v>171</v>
      </c>
      <c r="I37">
        <v>0</v>
      </c>
      <c r="J37">
        <v>40</v>
      </c>
      <c r="K37" s="12" t="s">
        <v>176</v>
      </c>
      <c r="L37">
        <v>0</v>
      </c>
      <c r="M37">
        <v>0</v>
      </c>
      <c r="O37" s="39"/>
      <c r="P37" s="16">
        <v>73751.48</v>
      </c>
      <c r="S37" s="17"/>
      <c r="X37" t="str">
        <f ca="1"/>
        <v>{result=0, probability_entries=[0=0.9551569506726457, 1=0.04484304932735426], entityId=33, confidence_entries=[]}</v>
      </c>
    </row>
    <row r="38" spans="1:24" x14ac:dyDescent="0.4">
      <c r="A38">
        <v>1141887</v>
      </c>
      <c r="B38" s="15">
        <v>32</v>
      </c>
      <c r="C38" s="12" t="s">
        <v>123</v>
      </c>
      <c r="D38" s="12" t="s">
        <v>134</v>
      </c>
      <c r="E38" s="12" t="s">
        <v>152</v>
      </c>
      <c r="F38" s="12" t="s">
        <v>162</v>
      </c>
      <c r="G38" s="14">
        <f t="shared" ca="1" si="0"/>
        <v>2123.2414393592062</v>
      </c>
      <c r="H38" s="12" t="s">
        <v>172</v>
      </c>
      <c r="I38">
        <v>0</v>
      </c>
      <c r="J38">
        <v>60</v>
      </c>
      <c r="K38" s="12" t="s">
        <v>176</v>
      </c>
      <c r="L38">
        <v>28235</v>
      </c>
      <c r="M38">
        <v>1</v>
      </c>
      <c r="O38" s="39"/>
      <c r="P38" s="15">
        <v>1428.27</v>
      </c>
      <c r="S38" s="17"/>
      <c r="X38" t="str">
        <f ca="1"/>
        <v>{result=0, probability_entries=[0=0.7095709570957096, 1=0.29042904290429045], entityId=218, confidence_entries=[]}</v>
      </c>
    </row>
    <row r="39" spans="1:24" x14ac:dyDescent="0.4">
      <c r="A39">
        <v>1142177</v>
      </c>
      <c r="B39" s="16">
        <v>49</v>
      </c>
      <c r="C39" s="12" t="s">
        <v>127</v>
      </c>
      <c r="D39" s="12" t="s">
        <v>132</v>
      </c>
      <c r="E39" s="12" t="s">
        <v>152</v>
      </c>
      <c r="F39" s="12" t="s">
        <v>163</v>
      </c>
      <c r="G39" s="14">
        <f t="shared" ca="1" si="0"/>
        <v>17647.620953114958</v>
      </c>
      <c r="H39" s="12" t="s">
        <v>172</v>
      </c>
      <c r="I39">
        <v>0</v>
      </c>
      <c r="J39">
        <v>40</v>
      </c>
      <c r="K39" s="12" t="s">
        <v>176</v>
      </c>
      <c r="L39">
        <v>0</v>
      </c>
      <c r="M39">
        <v>1</v>
      </c>
      <c r="O39" s="39"/>
      <c r="P39" s="16">
        <v>15345.33</v>
      </c>
      <c r="S39" s="17"/>
      <c r="X39" t="str">
        <f ca="1"/>
        <v>{result=1, probability_entries=[0=0.2, 1=0.8], entityId=195, confidence_entries=[]}</v>
      </c>
    </row>
    <row r="40" spans="1:24" x14ac:dyDescent="0.4">
      <c r="A40">
        <v>1142367</v>
      </c>
      <c r="B40" s="15">
        <v>26</v>
      </c>
      <c r="C40" s="12" t="s">
        <v>122</v>
      </c>
      <c r="D40" s="12" t="s">
        <v>134</v>
      </c>
      <c r="E40" s="12" t="s">
        <v>152</v>
      </c>
      <c r="F40" s="12" t="s">
        <v>159</v>
      </c>
      <c r="G40" s="14">
        <f t="shared" ca="1" si="0"/>
        <v>96080.896193744382</v>
      </c>
      <c r="H40" s="12" t="s">
        <v>172</v>
      </c>
      <c r="I40">
        <v>0</v>
      </c>
      <c r="J40">
        <v>40</v>
      </c>
      <c r="K40" s="12" t="s">
        <v>179</v>
      </c>
      <c r="L40">
        <v>0</v>
      </c>
      <c r="M40">
        <v>0</v>
      </c>
      <c r="O40" s="39"/>
      <c r="P40" s="15">
        <v>48114.39</v>
      </c>
      <c r="S40" s="17"/>
      <c r="X40" t="str">
        <f ca="1"/>
        <v>{result=0, probability_entries=[0=0.7095709570957096, 1=0.29042904290429045], entityId=218, confidence_entries=[]}</v>
      </c>
    </row>
    <row r="41" spans="1:24" x14ac:dyDescent="0.4">
      <c r="A41">
        <v>1142837</v>
      </c>
      <c r="B41" s="16">
        <v>28</v>
      </c>
      <c r="C41" s="12" t="s">
        <v>122</v>
      </c>
      <c r="D41" s="12" t="s">
        <v>140</v>
      </c>
      <c r="E41" s="12" t="s">
        <v>152</v>
      </c>
      <c r="F41" s="12" t="s">
        <v>161</v>
      </c>
      <c r="G41" s="14">
        <f t="shared" ca="1" si="0"/>
        <v>64420.795918033997</v>
      </c>
      <c r="H41" s="12" t="s">
        <v>172</v>
      </c>
      <c r="I41">
        <v>0</v>
      </c>
      <c r="J41">
        <v>40</v>
      </c>
      <c r="K41" s="12" t="s">
        <v>176</v>
      </c>
      <c r="L41">
        <v>0</v>
      </c>
      <c r="M41">
        <v>0</v>
      </c>
      <c r="O41" s="39"/>
      <c r="P41" s="16">
        <v>33493.89</v>
      </c>
      <c r="S41" s="17"/>
      <c r="X41" t="str">
        <f ca="1"/>
        <v>{result=0, probability_entries=[0=0.8181818181818182, 1=0.18181818181818182], entityId=409, confidence_entries=[]}</v>
      </c>
    </row>
    <row r="42" spans="1:24" x14ac:dyDescent="0.4">
      <c r="A42">
        <v>1145025</v>
      </c>
      <c r="B42" s="15">
        <v>41</v>
      </c>
      <c r="C42" s="12" t="s">
        <v>127</v>
      </c>
      <c r="D42" s="12" t="s">
        <v>135</v>
      </c>
      <c r="E42" s="12" t="s">
        <v>152</v>
      </c>
      <c r="F42" s="12" t="s">
        <v>163</v>
      </c>
      <c r="G42" s="14">
        <f t="shared" ca="1" si="0"/>
        <v>92150.949426544103</v>
      </c>
      <c r="H42" s="12" t="s">
        <v>172</v>
      </c>
      <c r="I42">
        <v>0</v>
      </c>
      <c r="J42">
        <v>24</v>
      </c>
      <c r="K42" s="12" t="s">
        <v>176</v>
      </c>
      <c r="L42">
        <v>0</v>
      </c>
      <c r="M42">
        <v>0</v>
      </c>
      <c r="O42" s="39"/>
      <c r="P42" s="15">
        <v>54653.36</v>
      </c>
      <c r="S42" s="17"/>
      <c r="X42" t="str">
        <f ca="1"/>
        <v>{result=1, probability_entries=[0=0.3544973544973545, 1=0.6455026455026455], entityId=308, confidence_entries=[]}</v>
      </c>
    </row>
    <row r="43" spans="1:24" x14ac:dyDescent="0.4">
      <c r="A43">
        <v>1146358</v>
      </c>
      <c r="B43" s="16">
        <v>46</v>
      </c>
      <c r="C43" s="12" t="s">
        <v>122</v>
      </c>
      <c r="D43" s="12" t="s">
        <v>134</v>
      </c>
      <c r="E43" s="12" t="s">
        <v>150</v>
      </c>
      <c r="F43" s="12" t="s">
        <v>156</v>
      </c>
      <c r="G43" s="14">
        <f t="shared" ca="1" si="0"/>
        <v>444071.64311622613</v>
      </c>
      <c r="H43" s="12" t="s">
        <v>171</v>
      </c>
      <c r="I43">
        <v>0</v>
      </c>
      <c r="J43">
        <v>24</v>
      </c>
      <c r="K43" s="12" t="s">
        <v>176</v>
      </c>
      <c r="L43">
        <v>0</v>
      </c>
      <c r="M43">
        <v>0</v>
      </c>
      <c r="O43" s="39"/>
      <c r="P43" s="16">
        <v>229077.27</v>
      </c>
      <c r="S43" s="17"/>
      <c r="X43" t="str">
        <f ca="1"/>
        <v>{result=0, probability_entries=[0=0.9551569506726457, 1=0.04484304932735426], entityId=33, confidence_entries=[]}</v>
      </c>
    </row>
    <row r="44" spans="1:24" x14ac:dyDescent="0.4">
      <c r="A44">
        <v>1147562</v>
      </c>
      <c r="B44" s="15">
        <v>42</v>
      </c>
      <c r="C44" s="12" t="s">
        <v>122</v>
      </c>
      <c r="D44" s="12" t="s">
        <v>132</v>
      </c>
      <c r="E44" s="12" t="s">
        <v>150</v>
      </c>
      <c r="F44" s="12" t="s">
        <v>161</v>
      </c>
      <c r="G44" s="14">
        <f t="shared" ca="1" si="0"/>
        <v>75592.967526119683</v>
      </c>
      <c r="H44" s="12" t="s">
        <v>171</v>
      </c>
      <c r="I44">
        <v>0</v>
      </c>
      <c r="J44">
        <v>40</v>
      </c>
      <c r="K44" s="12" t="s">
        <v>176</v>
      </c>
      <c r="L44">
        <v>0</v>
      </c>
      <c r="M44">
        <v>0</v>
      </c>
      <c r="O44" s="39"/>
      <c r="P44" s="15">
        <v>59201.06</v>
      </c>
      <c r="S44" s="17"/>
      <c r="X44" t="str">
        <f ca="1"/>
        <v>{result=0, probability_entries=[0=0.9551569506726457, 1=0.04484304932735426], entityId=33, confidence_entries=[]}</v>
      </c>
    </row>
    <row r="45" spans="1:24" x14ac:dyDescent="0.4">
      <c r="A45">
        <v>1151685</v>
      </c>
      <c r="B45" s="16">
        <v>39</v>
      </c>
      <c r="C45" s="12" t="s">
        <v>122</v>
      </c>
      <c r="D45" s="12" t="s">
        <v>132</v>
      </c>
      <c r="E45" s="12" t="s">
        <v>151</v>
      </c>
      <c r="F45" s="12" t="s">
        <v>158</v>
      </c>
      <c r="G45" s="14">
        <f t="shared" ca="1" si="0"/>
        <v>37369.040256931257</v>
      </c>
      <c r="H45" s="12" t="s">
        <v>171</v>
      </c>
      <c r="I45">
        <v>0</v>
      </c>
      <c r="J45">
        <v>40</v>
      </c>
      <c r="K45" s="12" t="s">
        <v>176</v>
      </c>
      <c r="L45">
        <v>0</v>
      </c>
      <c r="M45">
        <v>0</v>
      </c>
      <c r="O45" s="39"/>
      <c r="P45" s="16">
        <v>31036.73</v>
      </c>
      <c r="S45" s="17"/>
      <c r="X45" t="str">
        <f ca="1"/>
        <v>{result=0, probability_entries=[0=0.924812030075188, 1=0.07518796992481203], entityId=100, confidence_entries=[]}</v>
      </c>
    </row>
    <row r="46" spans="1:24" x14ac:dyDescent="0.4">
      <c r="A46">
        <v>1153241</v>
      </c>
      <c r="B46" s="15">
        <v>50</v>
      </c>
      <c r="C46" s="12" t="s">
        <v>122</v>
      </c>
      <c r="D46" s="12" t="s">
        <v>139</v>
      </c>
      <c r="E46" s="12" t="s">
        <v>150</v>
      </c>
      <c r="F46" s="12" t="s">
        <v>161</v>
      </c>
      <c r="G46" s="14">
        <f t="shared" ca="1" si="0"/>
        <v>240899.32311388719</v>
      </c>
      <c r="H46" s="12" t="s">
        <v>171</v>
      </c>
      <c r="I46">
        <v>0</v>
      </c>
      <c r="J46">
        <v>40</v>
      </c>
      <c r="K46" s="12" t="s">
        <v>176</v>
      </c>
      <c r="L46">
        <v>0</v>
      </c>
      <c r="M46">
        <v>0</v>
      </c>
      <c r="O46" s="39"/>
      <c r="P46" s="15">
        <v>187250.07</v>
      </c>
      <c r="S46" s="17"/>
      <c r="X46" t="str">
        <f ca="1"/>
        <v>{result=0, probability_entries=[0=0.9551569506726457, 1=0.04484304932735426], entityId=33, confidence_entries=[]}</v>
      </c>
    </row>
    <row r="47" spans="1:24" x14ac:dyDescent="0.4">
      <c r="A47">
        <v>1155672</v>
      </c>
      <c r="B47" s="16">
        <v>47</v>
      </c>
      <c r="C47" s="12" t="s">
        <v>125</v>
      </c>
      <c r="D47" s="12" t="s">
        <v>141</v>
      </c>
      <c r="E47" s="12" t="s">
        <v>150</v>
      </c>
      <c r="F47" s="12" t="s">
        <v>144</v>
      </c>
      <c r="G47" s="14">
        <f t="shared" ca="1" si="0"/>
        <v>238846.25411477094</v>
      </c>
      <c r="H47" s="12" t="s">
        <v>171</v>
      </c>
      <c r="I47">
        <v>0</v>
      </c>
      <c r="J47">
        <v>40</v>
      </c>
      <c r="K47" s="12" t="s">
        <v>176</v>
      </c>
      <c r="L47">
        <v>0</v>
      </c>
      <c r="M47">
        <v>0</v>
      </c>
      <c r="O47" s="39"/>
      <c r="P47" s="16">
        <v>161837.75</v>
      </c>
      <c r="S47" s="17"/>
      <c r="X47" t="str">
        <f ca="1"/>
        <v>{result=0, probability_entries=[0=0.9551569506726457, 1=0.04484304932735426], entityId=33, confidence_entries=[]}</v>
      </c>
    </row>
    <row r="48" spans="1:24" x14ac:dyDescent="0.4">
      <c r="A48">
        <v>1157546</v>
      </c>
      <c r="B48" s="15">
        <v>24</v>
      </c>
      <c r="C48" s="12" t="s">
        <v>122</v>
      </c>
      <c r="D48" s="12" t="s">
        <v>133</v>
      </c>
      <c r="E48" s="12" t="s">
        <v>149</v>
      </c>
      <c r="F48" s="12" t="s">
        <v>159</v>
      </c>
      <c r="G48" s="14">
        <f t="shared" ca="1" si="0"/>
        <v>239082.68239344473</v>
      </c>
      <c r="H48" s="12" t="s">
        <v>172</v>
      </c>
      <c r="I48">
        <v>0</v>
      </c>
      <c r="J48">
        <v>40</v>
      </c>
      <c r="K48" s="12" t="s">
        <v>176</v>
      </c>
      <c r="L48">
        <v>8614</v>
      </c>
      <c r="M48">
        <v>1</v>
      </c>
      <c r="O48" s="39"/>
      <c r="P48" s="15">
        <v>193135.59</v>
      </c>
      <c r="S48" s="17"/>
      <c r="X48" t="str">
        <f ca="1"/>
        <v>{result=0, probability_entries=[0=0.9253731343283582, 1=0.07462686567164178], entityId=1, confidence_entries=[]}</v>
      </c>
    </row>
    <row r="49" spans="1:24" x14ac:dyDescent="0.4">
      <c r="A49">
        <v>1158519</v>
      </c>
      <c r="B49" s="16">
        <v>45</v>
      </c>
      <c r="C49" s="12" t="s">
        <v>122</v>
      </c>
      <c r="D49" s="12" t="s">
        <v>137</v>
      </c>
      <c r="E49" s="12" t="s">
        <v>152</v>
      </c>
      <c r="F49" s="12" t="s">
        <v>159</v>
      </c>
      <c r="G49" s="14">
        <f t="shared" ca="1" si="0"/>
        <v>49974.780951139932</v>
      </c>
      <c r="H49" s="12" t="s">
        <v>172</v>
      </c>
      <c r="I49">
        <v>0</v>
      </c>
      <c r="J49">
        <v>40</v>
      </c>
      <c r="K49" s="12" t="s">
        <v>176</v>
      </c>
      <c r="L49">
        <v>0</v>
      </c>
      <c r="M49">
        <v>0</v>
      </c>
      <c r="O49" s="39"/>
      <c r="P49" s="16">
        <v>26717.49</v>
      </c>
      <c r="S49" s="17"/>
      <c r="X49" t="str">
        <f ca="1"/>
        <v>{result=0, probability_entries=[0=0.5714285714285714, 1=0.42857142857142855], entityId=362, confidence_entries=[]}</v>
      </c>
    </row>
    <row r="50" spans="1:24" x14ac:dyDescent="0.4">
      <c r="A50">
        <v>1169595</v>
      </c>
      <c r="B50" s="15">
        <v>40</v>
      </c>
      <c r="C50" s="12" t="s">
        <v>127</v>
      </c>
      <c r="D50" s="12" t="s">
        <v>133</v>
      </c>
      <c r="E50" s="12" t="s">
        <v>150</v>
      </c>
      <c r="F50" s="12" t="s">
        <v>158</v>
      </c>
      <c r="G50" s="14">
        <f t="shared" ca="1" si="0"/>
        <v>116511.08244900992</v>
      </c>
      <c r="H50" s="12" t="s">
        <v>171</v>
      </c>
      <c r="I50">
        <v>0</v>
      </c>
      <c r="J50">
        <v>40</v>
      </c>
      <c r="K50" s="12" t="s">
        <v>176</v>
      </c>
      <c r="L50">
        <v>0</v>
      </c>
      <c r="M50">
        <v>0</v>
      </c>
      <c r="O50" s="39"/>
      <c r="P50" s="15">
        <v>99748.58</v>
      </c>
      <c r="S50" s="17"/>
      <c r="X50" t="str">
        <f ca="1"/>
        <v>{result=0, probability_entries=[0=0.9551569506726457, 1=0.04484304932735426], entityId=33, confidence_entries=[]}</v>
      </c>
    </row>
    <row r="51" spans="1:24" x14ac:dyDescent="0.4">
      <c r="A51">
        <v>1172381</v>
      </c>
      <c r="B51" s="16">
        <v>51</v>
      </c>
      <c r="C51" s="12" t="s">
        <v>124</v>
      </c>
      <c r="D51" s="12" t="s">
        <v>141</v>
      </c>
      <c r="E51" s="12" t="s">
        <v>152</v>
      </c>
      <c r="F51" s="12" t="s">
        <v>144</v>
      </c>
      <c r="G51" s="14">
        <f t="shared" ca="1" si="0"/>
        <v>22076.519705251485</v>
      </c>
      <c r="H51" s="12" t="s">
        <v>172</v>
      </c>
      <c r="I51">
        <v>0</v>
      </c>
      <c r="J51">
        <v>40</v>
      </c>
      <c r="K51" s="12" t="s">
        <v>176</v>
      </c>
      <c r="L51">
        <v>15024</v>
      </c>
      <c r="M51">
        <v>1</v>
      </c>
      <c r="O51" s="39"/>
      <c r="P51" s="16">
        <v>13612.07</v>
      </c>
      <c r="S51" s="17"/>
      <c r="X51" t="str">
        <f ca="1"/>
        <v>{result=1, probability_entries=[0=0.29411764705882354, 1=0.7058823529411765], entityId=414, confidence_entries=[]}</v>
      </c>
    </row>
    <row r="52" spans="1:24" x14ac:dyDescent="0.4">
      <c r="A52">
        <v>1172752</v>
      </c>
      <c r="B52" s="15">
        <v>77</v>
      </c>
      <c r="C52" s="12" t="s">
        <v>122</v>
      </c>
      <c r="D52" s="12" t="s">
        <v>134</v>
      </c>
      <c r="E52" s="12" t="s">
        <v>152</v>
      </c>
      <c r="F52" s="12" t="s">
        <v>156</v>
      </c>
      <c r="G52" s="14">
        <f t="shared" ca="1" si="0"/>
        <v>56344.311684460721</v>
      </c>
      <c r="H52" s="12" t="s">
        <v>172</v>
      </c>
      <c r="I52">
        <v>0</v>
      </c>
      <c r="J52">
        <v>25</v>
      </c>
      <c r="K52" s="12" t="s">
        <v>180</v>
      </c>
      <c r="L52">
        <v>0</v>
      </c>
      <c r="M52">
        <v>0</v>
      </c>
      <c r="O52" s="39"/>
      <c r="P52" s="15">
        <v>39950.92</v>
      </c>
      <c r="S52" s="17"/>
      <c r="X52" t="str">
        <f ca="1"/>
        <v>{result=0, probability_entries=[0=0.7095709570957096, 1=0.29042904290429045], entityId=218, confidence_entries=[]}</v>
      </c>
    </row>
    <row r="53" spans="1:24" x14ac:dyDescent="0.4">
      <c r="A53">
        <v>1177328</v>
      </c>
      <c r="B53" s="16">
        <v>35</v>
      </c>
      <c r="C53" s="12" t="s">
        <v>122</v>
      </c>
      <c r="D53" s="12" t="s">
        <v>132</v>
      </c>
      <c r="E53" s="12" t="s">
        <v>152</v>
      </c>
      <c r="F53" s="12" t="s">
        <v>163</v>
      </c>
      <c r="G53" s="14">
        <f t="shared" ca="1" si="0"/>
        <v>53110.879474449343</v>
      </c>
      <c r="H53" s="12" t="s">
        <v>172</v>
      </c>
      <c r="I53">
        <v>0</v>
      </c>
      <c r="J53">
        <v>45</v>
      </c>
      <c r="K53" s="12" t="s">
        <v>176</v>
      </c>
      <c r="L53">
        <v>0</v>
      </c>
      <c r="M53">
        <v>0</v>
      </c>
      <c r="O53" s="39"/>
      <c r="P53" s="16">
        <v>44130.45</v>
      </c>
      <c r="S53" s="17"/>
      <c r="X53" t="str">
        <f ca="1"/>
        <v>{result=1, probability_entries=[0=0.2, 1=0.8], entityId=195, confidence_entries=[]}</v>
      </c>
    </row>
    <row r="54" spans="1:24" x14ac:dyDescent="0.4">
      <c r="A54">
        <v>1178076</v>
      </c>
      <c r="B54" s="15">
        <v>39</v>
      </c>
      <c r="C54" s="12" t="s">
        <v>122</v>
      </c>
      <c r="D54" s="12" t="s">
        <v>142</v>
      </c>
      <c r="E54" s="12" t="s">
        <v>151</v>
      </c>
      <c r="F54" s="12" t="s">
        <v>164</v>
      </c>
      <c r="G54" s="14">
        <f t="shared" ca="1" si="0"/>
        <v>107232.43583316389</v>
      </c>
      <c r="H54" s="12" t="s">
        <v>172</v>
      </c>
      <c r="I54">
        <v>0</v>
      </c>
      <c r="J54">
        <v>50</v>
      </c>
      <c r="K54" s="12" t="s">
        <v>176</v>
      </c>
      <c r="L54">
        <v>0</v>
      </c>
      <c r="M54">
        <v>0</v>
      </c>
      <c r="O54" s="39"/>
      <c r="P54" s="15">
        <v>78516.3</v>
      </c>
      <c r="S54" s="17"/>
      <c r="X54" t="str">
        <f ca="1"/>
        <v>{result=0, probability_entries=[0=0.924812030075188, 1=0.07518796992481203], entityId=100, confidence_entries=[]}</v>
      </c>
    </row>
    <row r="55" spans="1:24" x14ac:dyDescent="0.4">
      <c r="A55">
        <v>1197102</v>
      </c>
      <c r="B55" s="16">
        <v>39</v>
      </c>
      <c r="C55" s="12" t="s">
        <v>126</v>
      </c>
      <c r="D55" s="12" t="s">
        <v>135</v>
      </c>
      <c r="E55" s="12" t="s">
        <v>150</v>
      </c>
      <c r="F55" s="12" t="s">
        <v>160</v>
      </c>
      <c r="G55" s="14">
        <f t="shared" ca="1" si="0"/>
        <v>163302.07419689817</v>
      </c>
      <c r="H55" s="12" t="s">
        <v>171</v>
      </c>
      <c r="I55">
        <v>0</v>
      </c>
      <c r="J55">
        <v>40</v>
      </c>
      <c r="K55" s="12" t="s">
        <v>176</v>
      </c>
      <c r="L55">
        <v>0</v>
      </c>
      <c r="M55">
        <v>0</v>
      </c>
      <c r="O55" s="39"/>
      <c r="P55" s="16">
        <v>92268.68</v>
      </c>
      <c r="S55" s="17"/>
      <c r="X55" t="str">
        <f ca="1"/>
        <v>{result=0, probability_entries=[0=0.9551569506726457, 1=0.04484304932735426], entityId=33, confidence_entries=[]}</v>
      </c>
    </row>
    <row r="56" spans="1:24" x14ac:dyDescent="0.4">
      <c r="A56">
        <v>1199127</v>
      </c>
      <c r="B56" s="15">
        <v>63</v>
      </c>
      <c r="C56" s="12" t="s">
        <v>124</v>
      </c>
      <c r="D56" s="12" t="s">
        <v>135</v>
      </c>
      <c r="E56" s="12" t="s">
        <v>152</v>
      </c>
      <c r="F56" s="12" t="s">
        <v>165</v>
      </c>
      <c r="G56" s="14">
        <f t="shared" ca="1" si="0"/>
        <v>12530.837360291454</v>
      </c>
      <c r="H56" s="12" t="s">
        <v>172</v>
      </c>
      <c r="I56">
        <v>0</v>
      </c>
      <c r="J56">
        <v>40</v>
      </c>
      <c r="K56" s="12" t="s">
        <v>176</v>
      </c>
      <c r="L56">
        <v>12467</v>
      </c>
      <c r="M56">
        <v>1</v>
      </c>
      <c r="O56" s="39"/>
      <c r="P56" s="15">
        <v>9092.19</v>
      </c>
      <c r="S56" s="17"/>
      <c r="X56" t="str">
        <f ca="1"/>
        <v>{result=1, probability_entries=[0=0.3544973544973545, 1=0.6455026455026455], entityId=308, confidence_entries=[]}</v>
      </c>
    </row>
    <row r="57" spans="1:24" x14ac:dyDescent="0.4">
      <c r="A57">
        <v>1205484</v>
      </c>
      <c r="B57" s="16">
        <v>64</v>
      </c>
      <c r="C57" s="12" t="s">
        <v>122</v>
      </c>
      <c r="D57" s="12" t="s">
        <v>134</v>
      </c>
      <c r="E57" s="12" t="s">
        <v>153</v>
      </c>
      <c r="F57" s="12" t="s">
        <v>156</v>
      </c>
      <c r="G57" s="14">
        <f t="shared" ca="1" si="0"/>
        <v>170112.48700349801</v>
      </c>
      <c r="H57" s="12" t="s">
        <v>171</v>
      </c>
      <c r="I57">
        <v>0</v>
      </c>
      <c r="J57">
        <v>38</v>
      </c>
      <c r="K57" s="12" t="s">
        <v>176</v>
      </c>
      <c r="L57">
        <v>0</v>
      </c>
      <c r="M57">
        <v>0</v>
      </c>
      <c r="O57" s="39"/>
      <c r="P57" s="16">
        <v>148865.82</v>
      </c>
      <c r="S57" s="17"/>
      <c r="X57" t="str">
        <f ca="1"/>
        <v>{result=0, probability_entries=[0=0.9322033898305084, 1=0.06779661016949153], entityId=431, confidence_entries=[]}</v>
      </c>
    </row>
    <row r="58" spans="1:24" x14ac:dyDescent="0.4">
      <c r="A58">
        <v>1210411</v>
      </c>
      <c r="B58" s="15">
        <v>39</v>
      </c>
      <c r="C58" s="12" t="s">
        <v>122</v>
      </c>
      <c r="D58" s="12" t="s">
        <v>135</v>
      </c>
      <c r="E58" s="12" t="s">
        <v>152</v>
      </c>
      <c r="F58" s="12" t="s">
        <v>144</v>
      </c>
      <c r="G58" s="14">
        <f t="shared" ca="1" si="0"/>
        <v>27620.466262716753</v>
      </c>
      <c r="H58" s="12" t="s">
        <v>172</v>
      </c>
      <c r="I58">
        <v>0</v>
      </c>
      <c r="J58">
        <v>40</v>
      </c>
      <c r="K58" s="12" t="s">
        <v>176</v>
      </c>
      <c r="L58">
        <v>3611</v>
      </c>
      <c r="M58">
        <v>1</v>
      </c>
      <c r="O58" s="39"/>
      <c r="P58" s="15">
        <v>21190.02</v>
      </c>
      <c r="S58" s="17"/>
      <c r="X58" t="str">
        <f ca="1"/>
        <v>{result=1, probability_entries=[0=0.3544973544973545, 1=0.6455026455026455], entityId=308, confidence_entries=[]}</v>
      </c>
    </row>
    <row r="59" spans="1:24" x14ac:dyDescent="0.4">
      <c r="A59">
        <v>1211118</v>
      </c>
      <c r="B59" s="16">
        <v>66</v>
      </c>
      <c r="C59" s="12" t="s">
        <v>122</v>
      </c>
      <c r="D59" s="12" t="s">
        <v>143</v>
      </c>
      <c r="E59" s="12" t="s">
        <v>154</v>
      </c>
      <c r="F59" s="12" t="s">
        <v>164</v>
      </c>
      <c r="G59" s="14">
        <f t="shared" ca="1" si="0"/>
        <v>263628.16561278823</v>
      </c>
      <c r="H59" s="12" t="s">
        <v>171</v>
      </c>
      <c r="I59">
        <v>0</v>
      </c>
      <c r="J59">
        <v>40</v>
      </c>
      <c r="K59" s="12" t="s">
        <v>181</v>
      </c>
      <c r="L59">
        <v>0</v>
      </c>
      <c r="M59">
        <v>0</v>
      </c>
      <c r="O59" s="39"/>
      <c r="P59" s="16">
        <v>139087.01</v>
      </c>
      <c r="S59" s="17"/>
      <c r="X59" t="str">
        <f ca="1"/>
        <v>{result=0, probability_entries=[0=0.9090909090909091, 1=0.09090909090909091], entityId=463, confidence_entries=[]}</v>
      </c>
    </row>
    <row r="60" spans="1:24" x14ac:dyDescent="0.4">
      <c r="A60">
        <v>1212771</v>
      </c>
      <c r="B60" s="15">
        <v>18</v>
      </c>
      <c r="C60" s="12" t="s">
        <v>128</v>
      </c>
      <c r="D60" s="12" t="s">
        <v>139</v>
      </c>
      <c r="E60" s="12" t="s">
        <v>150</v>
      </c>
      <c r="F60" s="12" t="s">
        <v>129</v>
      </c>
      <c r="G60" s="14">
        <f t="shared" ca="1" si="0"/>
        <v>232384.54119996206</v>
      </c>
      <c r="H60" s="12" t="s">
        <v>171</v>
      </c>
      <c r="I60">
        <v>0</v>
      </c>
      <c r="J60">
        <v>10</v>
      </c>
      <c r="K60" s="12" t="s">
        <v>176</v>
      </c>
      <c r="L60">
        <v>0</v>
      </c>
      <c r="M60">
        <v>0</v>
      </c>
      <c r="O60" s="39"/>
      <c r="P60" s="15">
        <v>148836.93</v>
      </c>
      <c r="S60" s="17"/>
      <c r="X60" t="str">
        <f ca="1"/>
        <v>{result=0, probability_entries=[0=0.9551569506726457, 1=0.04484304932735426], entityId=33, confidence_entries=[]}</v>
      </c>
    </row>
    <row r="61" spans="1:24" x14ac:dyDescent="0.4">
      <c r="A61">
        <v>1216471</v>
      </c>
      <c r="B61" s="16">
        <v>42</v>
      </c>
      <c r="C61" s="12" t="s">
        <v>125</v>
      </c>
      <c r="D61" s="12" t="s">
        <v>132</v>
      </c>
      <c r="E61" s="12" t="s">
        <v>152</v>
      </c>
      <c r="F61" s="12" t="s">
        <v>160</v>
      </c>
      <c r="G61" s="14">
        <f t="shared" ca="1" si="0"/>
        <v>75484.592813376148</v>
      </c>
      <c r="H61" s="12" t="s">
        <v>172</v>
      </c>
      <c r="I61">
        <v>0</v>
      </c>
      <c r="J61">
        <v>45</v>
      </c>
      <c r="K61" s="12" t="s">
        <v>176</v>
      </c>
      <c r="L61">
        <v>3187</v>
      </c>
      <c r="M61">
        <v>1</v>
      </c>
      <c r="O61" s="39"/>
      <c r="P61" s="16">
        <v>48422.28</v>
      </c>
      <c r="S61" s="17"/>
      <c r="X61" t="str">
        <f ca="1"/>
        <v>{result=1, probability_entries=[0=0.2727272727272727, 1=0.7272727272727273], entityId=172, confidence_entries=[]}</v>
      </c>
    </row>
    <row r="62" spans="1:24" x14ac:dyDescent="0.4">
      <c r="A62">
        <v>1218427</v>
      </c>
      <c r="B62" s="15">
        <v>31</v>
      </c>
      <c r="C62" s="12" t="s">
        <v>125</v>
      </c>
      <c r="D62" s="12" t="s">
        <v>132</v>
      </c>
      <c r="E62" s="12" t="s">
        <v>150</v>
      </c>
      <c r="F62" s="12" t="s">
        <v>158</v>
      </c>
      <c r="G62" s="14">
        <f t="shared" ca="1" si="0"/>
        <v>131683.68137121241</v>
      </c>
      <c r="H62" s="12" t="s">
        <v>171</v>
      </c>
      <c r="I62">
        <v>0</v>
      </c>
      <c r="J62">
        <v>40</v>
      </c>
      <c r="K62" s="12" t="s">
        <v>176</v>
      </c>
      <c r="L62">
        <v>0</v>
      </c>
      <c r="M62">
        <v>0</v>
      </c>
      <c r="O62" s="39"/>
      <c r="P62" s="15">
        <v>67012.13</v>
      </c>
      <c r="S62" s="17"/>
      <c r="X62" t="str">
        <f ca="1"/>
        <v>{result=0, probability_entries=[0=0.9551569506726457, 1=0.04484304932735426], entityId=33, confidence_entries=[]}</v>
      </c>
    </row>
    <row r="63" spans="1:24" x14ac:dyDescent="0.4">
      <c r="A63">
        <v>1222601</v>
      </c>
      <c r="B63" s="16">
        <v>31</v>
      </c>
      <c r="C63" s="12" t="s">
        <v>122</v>
      </c>
      <c r="D63" s="12" t="s">
        <v>135</v>
      </c>
      <c r="E63" s="12" t="s">
        <v>152</v>
      </c>
      <c r="F63" s="12" t="s">
        <v>160</v>
      </c>
      <c r="G63" s="14">
        <f t="shared" ca="1" si="0"/>
        <v>9618.8109806097782</v>
      </c>
      <c r="H63" s="12" t="s">
        <v>172</v>
      </c>
      <c r="I63">
        <v>2246</v>
      </c>
      <c r="J63">
        <v>45</v>
      </c>
      <c r="K63" s="12" t="s">
        <v>176</v>
      </c>
      <c r="L63">
        <v>7582</v>
      </c>
      <c r="M63">
        <v>1</v>
      </c>
      <c r="O63" s="39"/>
      <c r="P63" s="16">
        <v>6333</v>
      </c>
      <c r="S63" s="17"/>
      <c r="X63" t="str">
        <f ca="1"/>
        <v>{result=1, probability_entries=[0=0.3544973544973545, 1=0.6455026455026455], entityId=308, confidence_entries=[]}</v>
      </c>
    </row>
    <row r="64" spans="1:24" x14ac:dyDescent="0.4">
      <c r="A64">
        <v>1226867</v>
      </c>
      <c r="B64" s="15">
        <v>45</v>
      </c>
      <c r="C64" s="12" t="s">
        <v>122</v>
      </c>
      <c r="D64" s="12" t="s">
        <v>144</v>
      </c>
      <c r="E64" s="12" t="s">
        <v>150</v>
      </c>
      <c r="F64" s="12" t="s">
        <v>144</v>
      </c>
      <c r="G64" s="14">
        <f t="shared" ca="1" si="0"/>
        <v>68874.767839295702</v>
      </c>
      <c r="H64" s="12" t="s">
        <v>172</v>
      </c>
      <c r="I64">
        <v>0</v>
      </c>
      <c r="J64">
        <v>40</v>
      </c>
      <c r="K64" s="12" t="s">
        <v>176</v>
      </c>
      <c r="L64">
        <v>5222</v>
      </c>
      <c r="M64">
        <v>1</v>
      </c>
      <c r="O64" s="39"/>
      <c r="P64" s="15">
        <v>44102.23</v>
      </c>
      <c r="S64" s="17"/>
      <c r="X64" t="str">
        <f ca="1"/>
        <v>{result=0, probability_entries=[0=0.9551569506726457, 1=0.04484304932735426], entityId=33, confidence_entries=[]}</v>
      </c>
    </row>
    <row r="65" spans="1:24" x14ac:dyDescent="0.4">
      <c r="A65">
        <v>1230404</v>
      </c>
      <c r="B65" s="16">
        <v>19</v>
      </c>
      <c r="C65" s="12" t="s">
        <v>125</v>
      </c>
      <c r="D65" s="12" t="s">
        <v>132</v>
      </c>
      <c r="E65" s="12" t="s">
        <v>150</v>
      </c>
      <c r="F65" s="12" t="s">
        <v>156</v>
      </c>
      <c r="G65" s="14">
        <f t="shared" ca="1" si="0"/>
        <v>171506.32463836597</v>
      </c>
      <c r="H65" s="12" t="s">
        <v>171</v>
      </c>
      <c r="I65">
        <v>0</v>
      </c>
      <c r="J65">
        <v>35</v>
      </c>
      <c r="K65" s="12" t="s">
        <v>176</v>
      </c>
      <c r="L65">
        <v>0</v>
      </c>
      <c r="M65">
        <v>0</v>
      </c>
      <c r="O65" s="39"/>
      <c r="P65" s="16">
        <v>97937.09</v>
      </c>
      <c r="S65" s="17"/>
      <c r="X65" t="str">
        <f ca="1"/>
        <v>{result=0, probability_entries=[0=0.9551569506726457, 1=0.04484304932735426], entityId=33, confidence_entries=[]}</v>
      </c>
    </row>
    <row r="66" spans="1:24" x14ac:dyDescent="0.4">
      <c r="A66">
        <v>1233450</v>
      </c>
      <c r="B66" s="15">
        <v>32</v>
      </c>
      <c r="C66" s="12" t="s">
        <v>122</v>
      </c>
      <c r="D66" s="12" t="s">
        <v>134</v>
      </c>
      <c r="E66" s="12" t="s">
        <v>152</v>
      </c>
      <c r="F66" s="12" t="s">
        <v>161</v>
      </c>
      <c r="G66" s="14">
        <f t="shared" ca="1" si="0"/>
        <v>15357.796436321012</v>
      </c>
      <c r="H66" s="12" t="s">
        <v>172</v>
      </c>
      <c r="I66">
        <v>0</v>
      </c>
      <c r="J66">
        <v>40</v>
      </c>
      <c r="K66" s="12" t="s">
        <v>176</v>
      </c>
      <c r="L66">
        <v>0</v>
      </c>
      <c r="M66">
        <v>0</v>
      </c>
      <c r="O66" s="39"/>
      <c r="P66" s="15">
        <v>14657.59</v>
      </c>
      <c r="S66" s="17"/>
      <c r="X66" t="str">
        <f ca="1"/>
        <v>{result=0, probability_entries=[0=0.7095709570957096, 1=0.29042904290429045], entityId=218, confidence_entries=[]}</v>
      </c>
    </row>
    <row r="67" spans="1:24" x14ac:dyDescent="0.4">
      <c r="A67">
        <v>1254408</v>
      </c>
      <c r="B67" s="16">
        <v>27</v>
      </c>
      <c r="C67" s="12" t="s">
        <v>122</v>
      </c>
      <c r="D67" s="12" t="s">
        <v>135</v>
      </c>
      <c r="E67" s="12" t="s">
        <v>150</v>
      </c>
      <c r="F67" s="12" t="s">
        <v>144</v>
      </c>
      <c r="G67" s="14">
        <f t="shared" ca="1" si="0"/>
        <v>138564.74623490096</v>
      </c>
      <c r="H67" s="12" t="s">
        <v>172</v>
      </c>
      <c r="I67">
        <v>0</v>
      </c>
      <c r="J67">
        <v>40</v>
      </c>
      <c r="K67" s="12" t="s">
        <v>176</v>
      </c>
      <c r="L67">
        <v>13550</v>
      </c>
      <c r="M67">
        <v>1</v>
      </c>
      <c r="O67" s="39"/>
      <c r="P67" s="16">
        <v>89775.14</v>
      </c>
      <c r="S67" s="17"/>
      <c r="X67" t="str">
        <f ca="1"/>
        <v>{result=0, probability_entries=[0=0.9551569506726457, 1=0.04484304932735426], entityId=33, confidence_entries=[]}</v>
      </c>
    </row>
    <row r="68" spans="1:24" x14ac:dyDescent="0.4">
      <c r="A68">
        <v>1258702</v>
      </c>
      <c r="B68" s="15">
        <v>25</v>
      </c>
      <c r="C68" s="12" t="s">
        <v>122</v>
      </c>
      <c r="D68" s="12" t="s">
        <v>134</v>
      </c>
      <c r="E68" s="12" t="s">
        <v>152</v>
      </c>
      <c r="F68" s="12" t="s">
        <v>157</v>
      </c>
      <c r="G68" s="14">
        <f t="shared" ca="1" si="0"/>
        <v>105840.52455669446</v>
      </c>
      <c r="H68" s="12" t="s">
        <v>172</v>
      </c>
      <c r="I68">
        <v>0</v>
      </c>
      <c r="J68">
        <v>30</v>
      </c>
      <c r="K68" s="12" t="s">
        <v>176</v>
      </c>
      <c r="L68">
        <v>0</v>
      </c>
      <c r="M68">
        <v>0</v>
      </c>
      <c r="O68" s="39"/>
      <c r="P68" s="15">
        <v>56417.35</v>
      </c>
      <c r="S68" s="17"/>
      <c r="X68" t="str">
        <f ca="1"/>
        <v>{result=0, probability_entries=[0=0.7095709570957096, 1=0.29042904290429045], entityId=218, confidence_entries=[]}</v>
      </c>
    </row>
    <row r="69" spans="1:24" x14ac:dyDescent="0.4">
      <c r="A69">
        <v>1259473</v>
      </c>
      <c r="B69" s="16">
        <v>21</v>
      </c>
      <c r="C69" s="12" t="s">
        <v>122</v>
      </c>
      <c r="D69" s="12" t="s">
        <v>132</v>
      </c>
      <c r="E69" s="12" t="s">
        <v>150</v>
      </c>
      <c r="F69" s="12" t="s">
        <v>158</v>
      </c>
      <c r="G69" s="14">
        <f t="shared" ca="1" si="0"/>
        <v>62191.115581195394</v>
      </c>
      <c r="H69" s="12" t="s">
        <v>172</v>
      </c>
      <c r="I69">
        <v>0</v>
      </c>
      <c r="J69">
        <v>65</v>
      </c>
      <c r="K69" s="12" t="s">
        <v>176</v>
      </c>
      <c r="L69">
        <v>0</v>
      </c>
      <c r="M69">
        <v>0</v>
      </c>
      <c r="O69" s="39"/>
      <c r="P69" s="16">
        <v>43362.93</v>
      </c>
      <c r="S69" s="17"/>
      <c r="X69" t="str">
        <f ca="1"/>
        <v>{result=0, probability_entries=[0=0.9551569506726457, 1=0.04484304932735426], entityId=33, confidence_entries=[]}</v>
      </c>
    </row>
    <row r="70" spans="1:24" x14ac:dyDescent="0.4">
      <c r="A70">
        <v>1264690</v>
      </c>
      <c r="B70" s="15">
        <v>33</v>
      </c>
      <c r="C70" s="12" t="s">
        <v>123</v>
      </c>
      <c r="D70" s="12" t="s">
        <v>134</v>
      </c>
      <c r="E70" s="12" t="s">
        <v>150</v>
      </c>
      <c r="F70" s="12" t="s">
        <v>165</v>
      </c>
      <c r="G70" s="14">
        <f t="shared" ca="1" si="0"/>
        <v>394879.18240012188</v>
      </c>
      <c r="H70" s="12" t="s">
        <v>172</v>
      </c>
      <c r="I70">
        <v>0</v>
      </c>
      <c r="J70">
        <v>70</v>
      </c>
      <c r="K70" s="12" t="s">
        <v>176</v>
      </c>
      <c r="L70">
        <v>0</v>
      </c>
      <c r="M70">
        <v>0</v>
      </c>
      <c r="O70" s="39"/>
      <c r="P70" s="15">
        <v>214238.62</v>
      </c>
      <c r="S70" s="17"/>
      <c r="X70" t="str">
        <f ca="1"/>
        <v>{result=0, probability_entries=[0=0.9551569506726457, 1=0.04484304932735426], entityId=33, confidence_entries=[]}</v>
      </c>
    </row>
    <row r="71" spans="1:24" x14ac:dyDescent="0.4">
      <c r="A71">
        <v>1264939</v>
      </c>
      <c r="B71" s="16">
        <v>43</v>
      </c>
      <c r="C71" s="12" t="s">
        <v>129</v>
      </c>
      <c r="D71" s="12" t="s">
        <v>134</v>
      </c>
      <c r="E71" s="12" t="s">
        <v>150</v>
      </c>
      <c r="F71" s="12" t="s">
        <v>129</v>
      </c>
      <c r="G71" s="14">
        <f t="shared" ca="1" si="0"/>
        <v>105342.27514966369</v>
      </c>
      <c r="H71" s="12" t="s">
        <v>171</v>
      </c>
      <c r="I71">
        <v>0</v>
      </c>
      <c r="J71">
        <v>40</v>
      </c>
      <c r="K71" s="12" t="s">
        <v>176</v>
      </c>
      <c r="L71">
        <v>0</v>
      </c>
      <c r="M71">
        <v>0</v>
      </c>
      <c r="O71" s="39"/>
      <c r="P71" s="16">
        <v>61192.65</v>
      </c>
      <c r="S71" s="17"/>
    </row>
    <row r="72" spans="1:24" x14ac:dyDescent="0.4">
      <c r="A72">
        <v>1267022</v>
      </c>
      <c r="B72" s="15">
        <v>31</v>
      </c>
      <c r="C72" s="12" t="s">
        <v>122</v>
      </c>
      <c r="D72" s="12" t="s">
        <v>135</v>
      </c>
      <c r="E72" s="12" t="s">
        <v>150</v>
      </c>
      <c r="F72" s="12" t="s">
        <v>160</v>
      </c>
      <c r="G72" s="14">
        <f t="shared" ca="1" si="0"/>
        <v>154067.89952169452</v>
      </c>
      <c r="H72" s="12" t="s">
        <v>172</v>
      </c>
      <c r="I72">
        <v>1160.6666666666699</v>
      </c>
      <c r="J72">
        <v>38</v>
      </c>
      <c r="K72" s="12" t="s">
        <v>176</v>
      </c>
      <c r="L72">
        <v>0</v>
      </c>
      <c r="M72">
        <v>0</v>
      </c>
      <c r="O72" s="39"/>
      <c r="P72" s="15">
        <v>83143.19</v>
      </c>
      <c r="S72" s="17"/>
    </row>
    <row r="73" spans="1:24" x14ac:dyDescent="0.4">
      <c r="A73">
        <v>1272722</v>
      </c>
      <c r="B73" s="16">
        <v>56</v>
      </c>
      <c r="C73" s="12" t="s">
        <v>127</v>
      </c>
      <c r="D73" s="12" t="s">
        <v>135</v>
      </c>
      <c r="E73" s="12" t="s">
        <v>151</v>
      </c>
      <c r="F73" s="12" t="s">
        <v>158</v>
      </c>
      <c r="G73" s="14">
        <f t="shared" ca="1" si="0"/>
        <v>71932.525872484825</v>
      </c>
      <c r="H73" s="12" t="s">
        <v>172</v>
      </c>
      <c r="I73">
        <v>0</v>
      </c>
      <c r="J73">
        <v>40</v>
      </c>
      <c r="K73" s="12" t="s">
        <v>176</v>
      </c>
      <c r="L73">
        <v>0</v>
      </c>
      <c r="M73">
        <v>0</v>
      </c>
      <c r="O73" s="39"/>
      <c r="P73" s="16">
        <v>37078.800000000003</v>
      </c>
      <c r="S73" s="17"/>
    </row>
    <row r="74" spans="1:24" x14ac:dyDescent="0.4">
      <c r="A74">
        <v>1273089</v>
      </c>
      <c r="B74" s="15">
        <v>62</v>
      </c>
      <c r="C74" s="12" t="s">
        <v>130</v>
      </c>
      <c r="D74" s="12" t="s">
        <v>133</v>
      </c>
      <c r="E74" s="12" t="s">
        <v>152</v>
      </c>
      <c r="F74" s="12" t="s">
        <v>165</v>
      </c>
      <c r="G74" s="14">
        <f t="shared" ca="1" si="0"/>
        <v>84064.715222567553</v>
      </c>
      <c r="H74" s="12" t="s">
        <v>172</v>
      </c>
      <c r="I74">
        <v>0</v>
      </c>
      <c r="J74">
        <v>50</v>
      </c>
      <c r="K74" s="12" t="s">
        <v>176</v>
      </c>
      <c r="L74">
        <v>0</v>
      </c>
      <c r="M74">
        <v>0</v>
      </c>
      <c r="O74" s="39"/>
      <c r="P74" s="15">
        <v>51230.5</v>
      </c>
      <c r="S74" s="17"/>
    </row>
    <row r="75" spans="1:24" x14ac:dyDescent="0.4">
      <c r="A75">
        <v>1276387</v>
      </c>
      <c r="B75" s="16">
        <v>28</v>
      </c>
      <c r="C75" s="12" t="s">
        <v>122</v>
      </c>
      <c r="D75" s="12" t="s">
        <v>133</v>
      </c>
      <c r="E75" s="12" t="s">
        <v>150</v>
      </c>
      <c r="F75" s="12" t="s">
        <v>157</v>
      </c>
      <c r="G75" s="14">
        <f t="shared" ref="G75:G138" ca="1" si="1">P75*(1+RAND())</f>
        <v>183100.14681831072</v>
      </c>
      <c r="H75" s="12" t="s">
        <v>172</v>
      </c>
      <c r="I75">
        <v>0</v>
      </c>
      <c r="J75">
        <v>60</v>
      </c>
      <c r="K75" s="12" t="s">
        <v>176</v>
      </c>
      <c r="L75">
        <v>0</v>
      </c>
      <c r="M75">
        <v>0</v>
      </c>
      <c r="O75" s="39"/>
      <c r="P75" s="16">
        <v>166953.87</v>
      </c>
      <c r="S75" s="17"/>
    </row>
    <row r="76" spans="1:24" x14ac:dyDescent="0.4">
      <c r="A76">
        <v>1276913</v>
      </c>
      <c r="B76" s="15">
        <v>39</v>
      </c>
      <c r="C76" s="12" t="s">
        <v>122</v>
      </c>
      <c r="D76" s="12" t="s">
        <v>134</v>
      </c>
      <c r="E76" s="12" t="s">
        <v>152</v>
      </c>
      <c r="F76" s="12" t="s">
        <v>160</v>
      </c>
      <c r="G76" s="14">
        <f t="shared" ca="1" si="1"/>
        <v>41966.941647715794</v>
      </c>
      <c r="H76" s="12" t="s">
        <v>172</v>
      </c>
      <c r="I76">
        <v>0</v>
      </c>
      <c r="J76">
        <v>40</v>
      </c>
      <c r="K76" s="12" t="s">
        <v>176</v>
      </c>
      <c r="L76">
        <v>0</v>
      </c>
      <c r="M76">
        <v>0</v>
      </c>
      <c r="O76" s="39"/>
      <c r="P76" s="15">
        <v>28907.41</v>
      </c>
      <c r="S76" s="17"/>
    </row>
    <row r="77" spans="1:24" x14ac:dyDescent="0.4">
      <c r="A77">
        <v>1282955</v>
      </c>
      <c r="B77" s="16">
        <v>61</v>
      </c>
      <c r="C77" s="12" t="s">
        <v>125</v>
      </c>
      <c r="D77" s="12" t="s">
        <v>138</v>
      </c>
      <c r="E77" s="12" t="s">
        <v>150</v>
      </c>
      <c r="F77" s="12" t="s">
        <v>144</v>
      </c>
      <c r="G77" s="14">
        <f t="shared" ca="1" si="1"/>
        <v>7779.6343158157733</v>
      </c>
      <c r="H77" s="12" t="s">
        <v>171</v>
      </c>
      <c r="I77">
        <v>0</v>
      </c>
      <c r="J77">
        <v>25</v>
      </c>
      <c r="K77" s="12" t="s">
        <v>176</v>
      </c>
      <c r="L77">
        <v>0</v>
      </c>
      <c r="M77">
        <v>0</v>
      </c>
      <c r="O77" s="39"/>
      <c r="P77" s="16">
        <v>5138.1400000000003</v>
      </c>
      <c r="S77" s="17"/>
    </row>
    <row r="78" spans="1:24" x14ac:dyDescent="0.4">
      <c r="A78">
        <v>1287816</v>
      </c>
      <c r="B78" s="15">
        <v>32</v>
      </c>
      <c r="C78" s="12" t="s">
        <v>122</v>
      </c>
      <c r="D78" s="12" t="s">
        <v>134</v>
      </c>
      <c r="E78" s="12" t="s">
        <v>150</v>
      </c>
      <c r="F78" s="12" t="s">
        <v>162</v>
      </c>
      <c r="G78" s="14">
        <f t="shared" ca="1" si="1"/>
        <v>160644.45971266023</v>
      </c>
      <c r="H78" s="12" t="s">
        <v>171</v>
      </c>
      <c r="I78">
        <v>0</v>
      </c>
      <c r="J78">
        <v>50</v>
      </c>
      <c r="K78" s="12" t="s">
        <v>176</v>
      </c>
      <c r="L78">
        <v>0</v>
      </c>
      <c r="M78">
        <v>0</v>
      </c>
      <c r="O78" s="39"/>
      <c r="P78" s="15">
        <v>82182.539999999994</v>
      </c>
      <c r="S78" s="17"/>
    </row>
    <row r="79" spans="1:24" x14ac:dyDescent="0.4">
      <c r="A79">
        <v>1288612</v>
      </c>
      <c r="B79" s="16">
        <v>48</v>
      </c>
      <c r="C79" s="12" t="s">
        <v>126</v>
      </c>
      <c r="D79" s="12" t="s">
        <v>135</v>
      </c>
      <c r="E79" s="12" t="s">
        <v>152</v>
      </c>
      <c r="F79" s="12" t="s">
        <v>160</v>
      </c>
      <c r="G79" s="14">
        <f t="shared" ca="1" si="1"/>
        <v>84758.429795714328</v>
      </c>
      <c r="H79" s="12" t="s">
        <v>172</v>
      </c>
      <c r="I79">
        <v>0</v>
      </c>
      <c r="J79">
        <v>40</v>
      </c>
      <c r="K79" s="12" t="s">
        <v>176</v>
      </c>
      <c r="L79">
        <v>12988</v>
      </c>
      <c r="M79">
        <v>1</v>
      </c>
      <c r="O79" s="39"/>
      <c r="P79" s="16">
        <v>45239</v>
      </c>
      <c r="S79" s="17"/>
    </row>
    <row r="80" spans="1:24" x14ac:dyDescent="0.4">
      <c r="A80">
        <v>1288870</v>
      </c>
      <c r="B80" s="15">
        <v>27</v>
      </c>
      <c r="C80" s="12" t="s">
        <v>122</v>
      </c>
      <c r="D80" s="12" t="s">
        <v>134</v>
      </c>
      <c r="E80" s="12" t="s">
        <v>152</v>
      </c>
      <c r="F80" s="12" t="s">
        <v>165</v>
      </c>
      <c r="G80" s="14">
        <f t="shared" ca="1" si="1"/>
        <v>31617.689998624759</v>
      </c>
      <c r="H80" s="12" t="s">
        <v>172</v>
      </c>
      <c r="I80">
        <v>0</v>
      </c>
      <c r="J80">
        <v>40</v>
      </c>
      <c r="K80" s="12" t="s">
        <v>176</v>
      </c>
      <c r="L80">
        <v>0</v>
      </c>
      <c r="M80">
        <v>0</v>
      </c>
      <c r="O80" s="39"/>
      <c r="P80" s="15">
        <v>25990.54</v>
      </c>
      <c r="S80" s="17"/>
    </row>
    <row r="81" spans="1:19" x14ac:dyDescent="0.4">
      <c r="A81">
        <v>1292427</v>
      </c>
      <c r="B81" s="16">
        <v>20</v>
      </c>
      <c r="C81" s="12" t="s">
        <v>122</v>
      </c>
      <c r="D81" s="12" t="s">
        <v>142</v>
      </c>
      <c r="E81" s="12" t="s">
        <v>150</v>
      </c>
      <c r="F81" s="12" t="s">
        <v>157</v>
      </c>
      <c r="G81" s="14">
        <f t="shared" ca="1" si="1"/>
        <v>197121.18780967194</v>
      </c>
      <c r="H81" s="12" t="s">
        <v>172</v>
      </c>
      <c r="I81">
        <v>0</v>
      </c>
      <c r="J81">
        <v>50</v>
      </c>
      <c r="K81" s="12" t="s">
        <v>176</v>
      </c>
      <c r="L81">
        <v>0</v>
      </c>
      <c r="M81">
        <v>0</v>
      </c>
      <c r="O81" s="39"/>
      <c r="P81" s="16">
        <v>104396.02</v>
      </c>
      <c r="S81" s="17"/>
    </row>
    <row r="82" spans="1:19" x14ac:dyDescent="0.4">
      <c r="A82">
        <v>1293079</v>
      </c>
      <c r="B82" s="15">
        <v>37</v>
      </c>
      <c r="C82" s="12" t="s">
        <v>122</v>
      </c>
      <c r="D82" s="12" t="s">
        <v>134</v>
      </c>
      <c r="E82" s="12" t="s">
        <v>150</v>
      </c>
      <c r="F82" s="12" t="s">
        <v>161</v>
      </c>
      <c r="G82" s="14">
        <f t="shared" ca="1" si="1"/>
        <v>114430.81166698015</v>
      </c>
      <c r="H82" s="12" t="s">
        <v>172</v>
      </c>
      <c r="I82">
        <v>0</v>
      </c>
      <c r="J82">
        <v>40</v>
      </c>
      <c r="K82" s="12" t="s">
        <v>176</v>
      </c>
      <c r="L82">
        <v>0</v>
      </c>
      <c r="M82">
        <v>0</v>
      </c>
      <c r="O82" s="39"/>
      <c r="P82" s="15">
        <v>83414.55</v>
      </c>
      <c r="S82" s="17"/>
    </row>
    <row r="83" spans="1:19" x14ac:dyDescent="0.4">
      <c r="A83">
        <v>1298943</v>
      </c>
      <c r="B83" s="16">
        <v>43</v>
      </c>
      <c r="C83" s="12" t="s">
        <v>122</v>
      </c>
      <c r="D83" s="12" t="s">
        <v>132</v>
      </c>
      <c r="E83" s="12" t="s">
        <v>152</v>
      </c>
      <c r="F83" s="12" t="s">
        <v>159</v>
      </c>
      <c r="G83" s="14">
        <f t="shared" ca="1" si="1"/>
        <v>33557.926575975638</v>
      </c>
      <c r="H83" s="12" t="s">
        <v>172</v>
      </c>
      <c r="I83">
        <v>0</v>
      </c>
      <c r="J83">
        <v>38</v>
      </c>
      <c r="K83" s="12" t="s">
        <v>176</v>
      </c>
      <c r="L83">
        <v>0</v>
      </c>
      <c r="M83">
        <v>0</v>
      </c>
      <c r="O83" s="39"/>
      <c r="P83" s="16">
        <v>32684.53</v>
      </c>
      <c r="S83" s="17"/>
    </row>
    <row r="84" spans="1:19" x14ac:dyDescent="0.4">
      <c r="A84">
        <v>1301028</v>
      </c>
      <c r="B84" s="15">
        <v>47</v>
      </c>
      <c r="C84" s="12" t="s">
        <v>123</v>
      </c>
      <c r="D84" s="12" t="s">
        <v>134</v>
      </c>
      <c r="E84" s="12" t="s">
        <v>152</v>
      </c>
      <c r="F84" s="12" t="s">
        <v>161</v>
      </c>
      <c r="G84" s="14">
        <f t="shared" ca="1" si="1"/>
        <v>73207.716421112404</v>
      </c>
      <c r="H84" s="12" t="s">
        <v>172</v>
      </c>
      <c r="I84">
        <v>0</v>
      </c>
      <c r="J84">
        <v>40</v>
      </c>
      <c r="K84" s="12" t="s">
        <v>176</v>
      </c>
      <c r="L84">
        <v>7298</v>
      </c>
      <c r="M84">
        <v>1</v>
      </c>
      <c r="O84" s="39"/>
      <c r="P84" s="15">
        <v>61231.06</v>
      </c>
      <c r="S84" s="17"/>
    </row>
    <row r="85" spans="1:19" x14ac:dyDescent="0.4">
      <c r="A85">
        <v>1310818</v>
      </c>
      <c r="B85" s="16">
        <v>33</v>
      </c>
      <c r="C85" s="12" t="s">
        <v>122</v>
      </c>
      <c r="D85" s="12" t="s">
        <v>139</v>
      </c>
      <c r="E85" s="12" t="s">
        <v>150</v>
      </c>
      <c r="F85" s="12" t="s">
        <v>156</v>
      </c>
      <c r="G85" s="14">
        <f t="shared" ca="1" si="1"/>
        <v>43494.224916831183</v>
      </c>
      <c r="H85" s="12" t="s">
        <v>172</v>
      </c>
      <c r="I85">
        <v>0</v>
      </c>
      <c r="J85">
        <v>40</v>
      </c>
      <c r="K85" s="12" t="s">
        <v>176</v>
      </c>
      <c r="L85">
        <v>0</v>
      </c>
      <c r="M85">
        <v>0</v>
      </c>
      <c r="O85" s="39"/>
      <c r="P85" s="16">
        <v>32550.53</v>
      </c>
      <c r="S85" s="17"/>
    </row>
    <row r="86" spans="1:19" x14ac:dyDescent="0.4">
      <c r="A86">
        <v>1312365</v>
      </c>
      <c r="B86" s="15">
        <v>64</v>
      </c>
      <c r="C86" s="12" t="s">
        <v>122</v>
      </c>
      <c r="D86" s="12" t="s">
        <v>134</v>
      </c>
      <c r="E86" s="12" t="s">
        <v>152</v>
      </c>
      <c r="F86" s="12" t="s">
        <v>161</v>
      </c>
      <c r="G86" s="14">
        <f t="shared" ca="1" si="1"/>
        <v>104189.86499715742</v>
      </c>
      <c r="H86" s="12" t="s">
        <v>172</v>
      </c>
      <c r="I86">
        <v>0</v>
      </c>
      <c r="J86">
        <v>40</v>
      </c>
      <c r="K86" s="12" t="s">
        <v>176</v>
      </c>
      <c r="L86">
        <v>0</v>
      </c>
      <c r="M86">
        <v>0</v>
      </c>
      <c r="O86" s="39"/>
      <c r="P86" s="15">
        <v>61592.42</v>
      </c>
      <c r="S86" s="17"/>
    </row>
    <row r="87" spans="1:19" x14ac:dyDescent="0.4">
      <c r="A87">
        <v>1312435</v>
      </c>
      <c r="B87" s="16">
        <v>44</v>
      </c>
      <c r="C87" s="12" t="s">
        <v>122</v>
      </c>
      <c r="D87" s="12" t="s">
        <v>135</v>
      </c>
      <c r="E87" s="12" t="s">
        <v>152</v>
      </c>
      <c r="F87" s="12" t="s">
        <v>162</v>
      </c>
      <c r="G87" s="14">
        <f t="shared" ca="1" si="1"/>
        <v>43260.14273412207</v>
      </c>
      <c r="H87" s="12" t="s">
        <v>172</v>
      </c>
      <c r="I87">
        <v>0</v>
      </c>
      <c r="J87">
        <v>50</v>
      </c>
      <c r="K87" s="12" t="s">
        <v>176</v>
      </c>
      <c r="L87">
        <v>7688</v>
      </c>
      <c r="M87">
        <v>1</v>
      </c>
      <c r="O87" s="39"/>
      <c r="P87" s="16">
        <v>37662.019999999997</v>
      </c>
      <c r="S87" s="17"/>
    </row>
    <row r="88" spans="1:19" x14ac:dyDescent="0.4">
      <c r="A88">
        <v>1314358</v>
      </c>
      <c r="B88" s="15">
        <v>23</v>
      </c>
      <c r="C88" s="12" t="s">
        <v>122</v>
      </c>
      <c r="D88" s="12" t="s">
        <v>132</v>
      </c>
      <c r="E88" s="12" t="s">
        <v>150</v>
      </c>
      <c r="F88" s="12" t="s">
        <v>156</v>
      </c>
      <c r="G88" s="14">
        <f t="shared" ca="1" si="1"/>
        <v>186779.39607349609</v>
      </c>
      <c r="H88" s="12" t="s">
        <v>171</v>
      </c>
      <c r="I88">
        <v>0</v>
      </c>
      <c r="J88">
        <v>35</v>
      </c>
      <c r="K88" s="12" t="s">
        <v>176</v>
      </c>
      <c r="L88">
        <v>0</v>
      </c>
      <c r="M88">
        <v>0</v>
      </c>
      <c r="O88" s="39"/>
      <c r="P88" s="15">
        <v>100335.51</v>
      </c>
      <c r="S88" s="17"/>
    </row>
    <row r="89" spans="1:19" x14ac:dyDescent="0.4">
      <c r="A89">
        <v>1315432</v>
      </c>
      <c r="B89" s="16">
        <v>22</v>
      </c>
      <c r="C89" s="12" t="s">
        <v>122</v>
      </c>
      <c r="D89" s="12" t="s">
        <v>134</v>
      </c>
      <c r="E89" s="12" t="s">
        <v>150</v>
      </c>
      <c r="F89" s="12" t="s">
        <v>156</v>
      </c>
      <c r="G89" s="14">
        <f t="shared" ca="1" si="1"/>
        <v>513416.19422856998</v>
      </c>
      <c r="H89" s="12" t="s">
        <v>171</v>
      </c>
      <c r="I89">
        <v>0</v>
      </c>
      <c r="J89">
        <v>35</v>
      </c>
      <c r="K89" s="12" t="s">
        <v>176</v>
      </c>
      <c r="L89">
        <v>0</v>
      </c>
      <c r="M89">
        <v>0</v>
      </c>
      <c r="O89" s="39"/>
      <c r="P89" s="16">
        <v>342939.73</v>
      </c>
      <c r="S89" s="17"/>
    </row>
    <row r="90" spans="1:19" x14ac:dyDescent="0.4">
      <c r="A90">
        <v>1318398</v>
      </c>
      <c r="B90" s="15">
        <v>49</v>
      </c>
      <c r="C90" s="12" t="s">
        <v>125</v>
      </c>
      <c r="D90" s="12" t="s">
        <v>138</v>
      </c>
      <c r="E90" s="12" t="s">
        <v>152</v>
      </c>
      <c r="F90" s="12" t="s">
        <v>160</v>
      </c>
      <c r="G90" s="14">
        <f t="shared" ca="1" si="1"/>
        <v>33676.741816561283</v>
      </c>
      <c r="H90" s="12" t="s">
        <v>172</v>
      </c>
      <c r="I90">
        <v>0</v>
      </c>
      <c r="J90">
        <v>50</v>
      </c>
      <c r="K90" s="12" t="s">
        <v>176</v>
      </c>
      <c r="L90">
        <v>5239</v>
      </c>
      <c r="M90">
        <v>1</v>
      </c>
      <c r="O90" s="39"/>
      <c r="P90" s="15">
        <v>30098.58</v>
      </c>
      <c r="S90" s="17"/>
    </row>
    <row r="91" spans="1:19" x14ac:dyDescent="0.4">
      <c r="A91">
        <v>1322745</v>
      </c>
      <c r="B91" s="16">
        <v>28</v>
      </c>
      <c r="C91" s="12" t="s">
        <v>127</v>
      </c>
      <c r="D91" s="12" t="s">
        <v>134</v>
      </c>
      <c r="E91" s="12" t="s">
        <v>150</v>
      </c>
      <c r="F91" s="12" t="s">
        <v>160</v>
      </c>
      <c r="G91" s="14">
        <f t="shared" ca="1" si="1"/>
        <v>200423.07792840753</v>
      </c>
      <c r="H91" s="12" t="s">
        <v>171</v>
      </c>
      <c r="I91">
        <v>0</v>
      </c>
      <c r="J91">
        <v>70</v>
      </c>
      <c r="K91" s="12" t="s">
        <v>181</v>
      </c>
      <c r="L91">
        <v>0</v>
      </c>
      <c r="M91">
        <v>0</v>
      </c>
      <c r="O91" s="39"/>
      <c r="P91" s="16">
        <v>150516.9</v>
      </c>
      <c r="S91" s="17"/>
    </row>
    <row r="92" spans="1:19" x14ac:dyDescent="0.4">
      <c r="A92">
        <v>1325704</v>
      </c>
      <c r="B92" s="15">
        <v>36</v>
      </c>
      <c r="C92" s="12" t="s">
        <v>122</v>
      </c>
      <c r="D92" s="12" t="s">
        <v>134</v>
      </c>
      <c r="E92" s="12" t="s">
        <v>151</v>
      </c>
      <c r="F92" s="12" t="s">
        <v>157</v>
      </c>
      <c r="G92" s="14">
        <f t="shared" ca="1" si="1"/>
        <v>72289.310413162311</v>
      </c>
      <c r="H92" s="12" t="s">
        <v>172</v>
      </c>
      <c r="I92">
        <v>0</v>
      </c>
      <c r="J92">
        <v>50</v>
      </c>
      <c r="K92" s="12" t="s">
        <v>176</v>
      </c>
      <c r="L92">
        <v>0</v>
      </c>
      <c r="M92">
        <v>0</v>
      </c>
      <c r="O92" s="39"/>
      <c r="P92" s="15">
        <v>43380.639999999999</v>
      </c>
      <c r="S92" s="17"/>
    </row>
    <row r="93" spans="1:19" x14ac:dyDescent="0.4">
      <c r="A93">
        <v>1347511</v>
      </c>
      <c r="B93" s="16">
        <v>22</v>
      </c>
      <c r="C93" s="12" t="s">
        <v>122</v>
      </c>
      <c r="D93" s="12" t="s">
        <v>135</v>
      </c>
      <c r="E93" s="12" t="s">
        <v>150</v>
      </c>
      <c r="F93" s="12" t="s">
        <v>144</v>
      </c>
      <c r="G93" s="14">
        <f t="shared" ca="1" si="1"/>
        <v>47261.264849469466</v>
      </c>
      <c r="H93" s="12" t="s">
        <v>171</v>
      </c>
      <c r="I93">
        <v>0</v>
      </c>
      <c r="J93">
        <v>15</v>
      </c>
      <c r="K93" s="12" t="s">
        <v>182</v>
      </c>
      <c r="L93">
        <v>0</v>
      </c>
      <c r="M93">
        <v>0</v>
      </c>
      <c r="O93" s="39"/>
      <c r="P93" s="16">
        <v>24584.080000000002</v>
      </c>
      <c r="S93" s="17"/>
    </row>
    <row r="94" spans="1:19" x14ac:dyDescent="0.4">
      <c r="A94">
        <v>1365727</v>
      </c>
      <c r="B94" s="15">
        <v>29</v>
      </c>
      <c r="C94" s="12" t="s">
        <v>122</v>
      </c>
      <c r="D94" s="12" t="s">
        <v>137</v>
      </c>
      <c r="E94" s="12" t="s">
        <v>152</v>
      </c>
      <c r="F94" s="12" t="s">
        <v>157</v>
      </c>
      <c r="G94" s="14">
        <f t="shared" ca="1" si="1"/>
        <v>43203.778104429686</v>
      </c>
      <c r="H94" s="12" t="s">
        <v>172</v>
      </c>
      <c r="I94">
        <v>0</v>
      </c>
      <c r="J94">
        <v>55</v>
      </c>
      <c r="K94" s="12" t="s">
        <v>176</v>
      </c>
      <c r="L94">
        <v>0</v>
      </c>
      <c r="M94">
        <v>0</v>
      </c>
      <c r="O94" s="39"/>
      <c r="P94" s="15">
        <v>25402.11</v>
      </c>
      <c r="S94" s="17"/>
    </row>
    <row r="95" spans="1:19" x14ac:dyDescent="0.4">
      <c r="A95">
        <v>1367013</v>
      </c>
      <c r="B95" s="16">
        <v>26</v>
      </c>
      <c r="C95" s="12" t="s">
        <v>122</v>
      </c>
      <c r="D95" s="12" t="s">
        <v>132</v>
      </c>
      <c r="E95" s="12" t="s">
        <v>150</v>
      </c>
      <c r="F95" s="12" t="s">
        <v>163</v>
      </c>
      <c r="G95" s="14">
        <f t="shared" ca="1" si="1"/>
        <v>215330.4169604026</v>
      </c>
      <c r="H95" s="12" t="s">
        <v>172</v>
      </c>
      <c r="I95">
        <v>0</v>
      </c>
      <c r="J95">
        <v>20</v>
      </c>
      <c r="K95" s="12" t="s">
        <v>176</v>
      </c>
      <c r="L95">
        <v>0</v>
      </c>
      <c r="M95">
        <v>0</v>
      </c>
      <c r="O95" s="39"/>
      <c r="P95" s="16">
        <v>151462.25</v>
      </c>
      <c r="S95" s="17"/>
    </row>
    <row r="96" spans="1:19" x14ac:dyDescent="0.4">
      <c r="A96">
        <v>1367887</v>
      </c>
      <c r="B96" s="15">
        <v>44</v>
      </c>
      <c r="C96" s="12" t="s">
        <v>122</v>
      </c>
      <c r="D96" s="12" t="s">
        <v>135</v>
      </c>
      <c r="E96" s="12" t="s">
        <v>152</v>
      </c>
      <c r="F96" s="12" t="s">
        <v>160</v>
      </c>
      <c r="G96" s="14">
        <f t="shared" ca="1" si="1"/>
        <v>34874.023298689288</v>
      </c>
      <c r="H96" s="12" t="s">
        <v>172</v>
      </c>
      <c r="I96">
        <v>0</v>
      </c>
      <c r="J96">
        <v>40</v>
      </c>
      <c r="K96" s="12" t="s">
        <v>176</v>
      </c>
      <c r="L96">
        <v>10198</v>
      </c>
      <c r="M96">
        <v>1</v>
      </c>
      <c r="O96" s="39"/>
      <c r="P96" s="15">
        <v>29461.26</v>
      </c>
      <c r="S96" s="17"/>
    </row>
    <row r="97" spans="1:19" x14ac:dyDescent="0.4">
      <c r="A97">
        <v>1382647</v>
      </c>
      <c r="B97" s="16">
        <v>26</v>
      </c>
      <c r="C97" s="12" t="s">
        <v>122</v>
      </c>
      <c r="D97" s="12" t="s">
        <v>133</v>
      </c>
      <c r="E97" s="12" t="s">
        <v>150</v>
      </c>
      <c r="F97" s="12" t="s">
        <v>158</v>
      </c>
      <c r="G97" s="14">
        <f t="shared" ca="1" si="1"/>
        <v>67222.851551808417</v>
      </c>
      <c r="H97" s="12" t="s">
        <v>171</v>
      </c>
      <c r="I97">
        <v>0</v>
      </c>
      <c r="J97">
        <v>8</v>
      </c>
      <c r="K97" s="12" t="s">
        <v>176</v>
      </c>
      <c r="L97">
        <v>0</v>
      </c>
      <c r="M97">
        <v>0</v>
      </c>
      <c r="O97" s="39"/>
      <c r="P97" s="16">
        <v>38142.980000000003</v>
      </c>
      <c r="S97" s="17"/>
    </row>
    <row r="98" spans="1:19" x14ac:dyDescent="0.4">
      <c r="A98">
        <v>1383516</v>
      </c>
      <c r="B98" s="15">
        <v>28</v>
      </c>
      <c r="C98" s="12" t="s">
        <v>122</v>
      </c>
      <c r="D98" s="12" t="s">
        <v>135</v>
      </c>
      <c r="E98" s="12" t="s">
        <v>150</v>
      </c>
      <c r="F98" s="12" t="s">
        <v>160</v>
      </c>
      <c r="G98" s="14">
        <f t="shared" ca="1" si="1"/>
        <v>151073.91079840655</v>
      </c>
      <c r="H98" s="12" t="s">
        <v>171</v>
      </c>
      <c r="I98">
        <v>0</v>
      </c>
      <c r="J98">
        <v>60</v>
      </c>
      <c r="K98" s="12" t="s">
        <v>176</v>
      </c>
      <c r="L98">
        <v>0</v>
      </c>
      <c r="M98">
        <v>0</v>
      </c>
      <c r="O98" s="39"/>
      <c r="P98" s="15">
        <v>76539.28</v>
      </c>
      <c r="S98" s="17"/>
    </row>
    <row r="99" spans="1:19" x14ac:dyDescent="0.4">
      <c r="A99">
        <v>1391108</v>
      </c>
      <c r="B99" s="16">
        <v>19</v>
      </c>
      <c r="C99" s="12" t="s">
        <v>122</v>
      </c>
      <c r="D99" s="12" t="s">
        <v>139</v>
      </c>
      <c r="E99" s="12" t="s">
        <v>150</v>
      </c>
      <c r="F99" s="12" t="s">
        <v>162</v>
      </c>
      <c r="G99" s="14">
        <f t="shared" ca="1" si="1"/>
        <v>123663.35837024136</v>
      </c>
      <c r="H99" s="12" t="s">
        <v>171</v>
      </c>
      <c r="I99">
        <v>0</v>
      </c>
      <c r="J99">
        <v>25</v>
      </c>
      <c r="K99" s="12" t="s">
        <v>176</v>
      </c>
      <c r="L99">
        <v>0</v>
      </c>
      <c r="M99">
        <v>0</v>
      </c>
      <c r="O99" s="39"/>
      <c r="P99" s="16">
        <v>71627.78</v>
      </c>
      <c r="S99" s="17"/>
    </row>
    <row r="100" spans="1:19" x14ac:dyDescent="0.4">
      <c r="A100">
        <v>1394083</v>
      </c>
      <c r="B100" s="15">
        <v>45</v>
      </c>
      <c r="C100" s="12" t="s">
        <v>123</v>
      </c>
      <c r="D100" s="12" t="s">
        <v>134</v>
      </c>
      <c r="E100" s="12" t="s">
        <v>152</v>
      </c>
      <c r="F100" s="12" t="s">
        <v>162</v>
      </c>
      <c r="G100" s="14">
        <f t="shared" ca="1" si="1"/>
        <v>47662.849227214079</v>
      </c>
      <c r="H100" s="12" t="s">
        <v>172</v>
      </c>
      <c r="I100">
        <v>0</v>
      </c>
      <c r="J100">
        <v>50</v>
      </c>
      <c r="K100" s="12" t="s">
        <v>183</v>
      </c>
      <c r="L100">
        <v>4375</v>
      </c>
      <c r="M100">
        <v>1</v>
      </c>
      <c r="O100" s="39"/>
      <c r="P100" s="15">
        <v>38599.89</v>
      </c>
      <c r="S100" s="17"/>
    </row>
    <row r="101" spans="1:19" x14ac:dyDescent="0.4">
      <c r="A101">
        <v>1398239</v>
      </c>
      <c r="B101" s="16">
        <v>35</v>
      </c>
      <c r="C101" s="12" t="s">
        <v>122</v>
      </c>
      <c r="D101" s="12" t="s">
        <v>132</v>
      </c>
      <c r="E101" s="12" t="s">
        <v>151</v>
      </c>
      <c r="F101" s="12" t="s">
        <v>162</v>
      </c>
      <c r="G101" s="14">
        <f t="shared" ca="1" si="1"/>
        <v>15128.912288048914</v>
      </c>
      <c r="H101" s="12" t="s">
        <v>171</v>
      </c>
      <c r="I101">
        <v>0</v>
      </c>
      <c r="J101">
        <v>35</v>
      </c>
      <c r="K101" s="12" t="s">
        <v>176</v>
      </c>
      <c r="L101">
        <v>0</v>
      </c>
      <c r="M101">
        <v>0</v>
      </c>
      <c r="O101" s="39"/>
      <c r="P101" s="16">
        <v>9034.01</v>
      </c>
      <c r="S101" s="17"/>
    </row>
    <row r="102" spans="1:19" x14ac:dyDescent="0.4">
      <c r="A102">
        <v>1398832</v>
      </c>
      <c r="B102" s="15">
        <v>42</v>
      </c>
      <c r="C102" s="12" t="s">
        <v>122</v>
      </c>
      <c r="D102" s="12" t="s">
        <v>137</v>
      </c>
      <c r="E102" s="12" t="s">
        <v>152</v>
      </c>
      <c r="F102" s="12" t="s">
        <v>156</v>
      </c>
      <c r="G102" s="14">
        <f t="shared" ca="1" si="1"/>
        <v>43059.627165506026</v>
      </c>
      <c r="H102" s="12" t="s">
        <v>172</v>
      </c>
      <c r="I102">
        <v>0</v>
      </c>
      <c r="J102">
        <v>30</v>
      </c>
      <c r="K102" s="12" t="s">
        <v>176</v>
      </c>
      <c r="L102">
        <v>0</v>
      </c>
      <c r="M102">
        <v>0</v>
      </c>
      <c r="O102" s="39"/>
      <c r="P102" s="15">
        <v>22787.48</v>
      </c>
      <c r="S102" s="17"/>
    </row>
    <row r="103" spans="1:19" x14ac:dyDescent="0.4">
      <c r="A103">
        <v>1400557</v>
      </c>
      <c r="B103" s="16">
        <v>58</v>
      </c>
      <c r="C103" s="12" t="s">
        <v>126</v>
      </c>
      <c r="D103" s="12" t="s">
        <v>141</v>
      </c>
      <c r="E103" s="12" t="s">
        <v>152</v>
      </c>
      <c r="F103" s="12" t="s">
        <v>144</v>
      </c>
      <c r="G103" s="14">
        <f t="shared" ca="1" si="1"/>
        <v>49725.067615578948</v>
      </c>
      <c r="H103" s="12" t="s">
        <v>172</v>
      </c>
      <c r="I103">
        <v>0</v>
      </c>
      <c r="J103">
        <v>40</v>
      </c>
      <c r="K103" s="12" t="s">
        <v>184</v>
      </c>
      <c r="L103">
        <v>0</v>
      </c>
      <c r="M103">
        <v>0</v>
      </c>
      <c r="O103" s="39"/>
      <c r="P103" s="16">
        <v>33252.79</v>
      </c>
      <c r="S103" s="17"/>
    </row>
    <row r="104" spans="1:19" x14ac:dyDescent="0.4">
      <c r="A104">
        <v>1401108</v>
      </c>
      <c r="B104" s="15">
        <v>55</v>
      </c>
      <c r="C104" s="12" t="s">
        <v>122</v>
      </c>
      <c r="D104" s="12" t="s">
        <v>132</v>
      </c>
      <c r="E104" s="12" t="s">
        <v>152</v>
      </c>
      <c r="F104" s="12" t="s">
        <v>159</v>
      </c>
      <c r="G104" s="14">
        <f t="shared" ca="1" si="1"/>
        <v>68460.225578831014</v>
      </c>
      <c r="H104" s="12" t="s">
        <v>172</v>
      </c>
      <c r="I104">
        <v>0</v>
      </c>
      <c r="J104">
        <v>40</v>
      </c>
      <c r="K104" s="12" t="s">
        <v>176</v>
      </c>
      <c r="L104">
        <v>0</v>
      </c>
      <c r="M104">
        <v>0</v>
      </c>
      <c r="O104" s="39"/>
      <c r="P104" s="15">
        <v>39087.51</v>
      </c>
      <c r="S104" s="17"/>
    </row>
    <row r="105" spans="1:19" x14ac:dyDescent="0.4">
      <c r="A105">
        <v>1434262</v>
      </c>
      <c r="B105" s="16">
        <v>25</v>
      </c>
      <c r="C105" s="12" t="s">
        <v>122</v>
      </c>
      <c r="D105" s="12" t="s">
        <v>134</v>
      </c>
      <c r="E105" s="12" t="s">
        <v>150</v>
      </c>
      <c r="F105" s="12" t="s">
        <v>159</v>
      </c>
      <c r="G105" s="14">
        <f t="shared" ca="1" si="1"/>
        <v>324755.77803599968</v>
      </c>
      <c r="H105" s="12" t="s">
        <v>172</v>
      </c>
      <c r="I105">
        <v>0</v>
      </c>
      <c r="J105">
        <v>28</v>
      </c>
      <c r="K105" s="12" t="s">
        <v>176</v>
      </c>
      <c r="L105">
        <v>0</v>
      </c>
      <c r="M105">
        <v>0</v>
      </c>
      <c r="O105" s="39"/>
      <c r="P105" s="16">
        <v>174812.5</v>
      </c>
      <c r="S105" s="17"/>
    </row>
    <row r="106" spans="1:19" x14ac:dyDescent="0.4">
      <c r="A106">
        <v>1440111</v>
      </c>
      <c r="B106" s="15">
        <v>78</v>
      </c>
      <c r="C106" s="12" t="s">
        <v>124</v>
      </c>
      <c r="D106" s="12" t="s">
        <v>135</v>
      </c>
      <c r="E106" s="12" t="s">
        <v>152</v>
      </c>
      <c r="F106" s="12" t="s">
        <v>160</v>
      </c>
      <c r="G106" s="14">
        <f t="shared" ca="1" si="1"/>
        <v>71181.80425452182</v>
      </c>
      <c r="H106" s="12" t="s">
        <v>172</v>
      </c>
      <c r="I106">
        <v>0</v>
      </c>
      <c r="J106">
        <v>45</v>
      </c>
      <c r="K106" s="12" t="s">
        <v>176</v>
      </c>
      <c r="L106">
        <v>9386</v>
      </c>
      <c r="M106">
        <v>1</v>
      </c>
      <c r="O106" s="39"/>
      <c r="P106" s="15">
        <v>39472.730000000003</v>
      </c>
      <c r="S106" s="17"/>
    </row>
    <row r="107" spans="1:19" x14ac:dyDescent="0.4">
      <c r="A107">
        <v>1454004</v>
      </c>
      <c r="B107" s="16">
        <v>53</v>
      </c>
      <c r="C107" s="12" t="s">
        <v>125</v>
      </c>
      <c r="D107" s="12" t="s">
        <v>134</v>
      </c>
      <c r="E107" s="12" t="s">
        <v>152</v>
      </c>
      <c r="F107" s="12" t="s">
        <v>160</v>
      </c>
      <c r="G107" s="14">
        <f t="shared" ca="1" si="1"/>
        <v>92410.791078373935</v>
      </c>
      <c r="H107" s="12" t="s">
        <v>172</v>
      </c>
      <c r="I107">
        <v>0</v>
      </c>
      <c r="J107">
        <v>60</v>
      </c>
      <c r="K107" s="12" t="s">
        <v>176</v>
      </c>
      <c r="L107">
        <v>0</v>
      </c>
      <c r="M107">
        <v>0</v>
      </c>
      <c r="O107" s="39"/>
      <c r="P107" s="16">
        <v>56065.120000000003</v>
      </c>
      <c r="S107" s="17"/>
    </row>
    <row r="108" spans="1:19" x14ac:dyDescent="0.4">
      <c r="A108">
        <v>1455874</v>
      </c>
      <c r="B108" s="15">
        <v>34</v>
      </c>
      <c r="C108" s="12" t="s">
        <v>122</v>
      </c>
      <c r="D108" s="12" t="s">
        <v>137</v>
      </c>
      <c r="E108" s="12" t="s">
        <v>152</v>
      </c>
      <c r="F108" s="12" t="s">
        <v>160</v>
      </c>
      <c r="G108" s="14">
        <f t="shared" ca="1" si="1"/>
        <v>55185.298641849993</v>
      </c>
      <c r="H108" s="12" t="s">
        <v>172</v>
      </c>
      <c r="I108">
        <v>0</v>
      </c>
      <c r="J108">
        <v>40</v>
      </c>
      <c r="K108" s="12" t="s">
        <v>176</v>
      </c>
      <c r="L108">
        <v>0</v>
      </c>
      <c r="M108">
        <v>0</v>
      </c>
      <c r="O108" s="39"/>
      <c r="P108" s="15">
        <v>35910.03</v>
      </c>
      <c r="S108" s="17"/>
    </row>
    <row r="109" spans="1:19" x14ac:dyDescent="0.4">
      <c r="A109">
        <v>1457685</v>
      </c>
      <c r="B109" s="16">
        <v>28</v>
      </c>
      <c r="C109" s="12" t="s">
        <v>122</v>
      </c>
      <c r="D109" s="12" t="s">
        <v>132</v>
      </c>
      <c r="E109" s="12" t="s">
        <v>152</v>
      </c>
      <c r="F109" s="12" t="s">
        <v>162</v>
      </c>
      <c r="G109" s="14">
        <f t="shared" ca="1" si="1"/>
        <v>49144.163795986155</v>
      </c>
      <c r="H109" s="12" t="s">
        <v>172</v>
      </c>
      <c r="I109">
        <v>0</v>
      </c>
      <c r="J109">
        <v>40</v>
      </c>
      <c r="K109" s="12" t="s">
        <v>176</v>
      </c>
      <c r="L109">
        <v>0</v>
      </c>
      <c r="M109">
        <v>0</v>
      </c>
      <c r="O109" s="39"/>
      <c r="P109" s="16">
        <v>37249.5</v>
      </c>
      <c r="S109" s="17"/>
    </row>
    <row r="110" spans="1:19" x14ac:dyDescent="0.4">
      <c r="A110">
        <v>1467638</v>
      </c>
      <c r="B110" s="15">
        <v>50</v>
      </c>
      <c r="C110" s="12" t="s">
        <v>122</v>
      </c>
      <c r="D110" s="12" t="s">
        <v>134</v>
      </c>
      <c r="E110" s="12" t="s">
        <v>152</v>
      </c>
      <c r="F110" s="12" t="s">
        <v>162</v>
      </c>
      <c r="G110" s="14">
        <f t="shared" ca="1" si="1"/>
        <v>69077.626739603787</v>
      </c>
      <c r="H110" s="12" t="s">
        <v>172</v>
      </c>
      <c r="I110">
        <v>0</v>
      </c>
      <c r="J110">
        <v>48</v>
      </c>
      <c r="K110" s="12" t="s">
        <v>176</v>
      </c>
      <c r="L110">
        <v>0</v>
      </c>
      <c r="M110">
        <v>0</v>
      </c>
      <c r="O110" s="39"/>
      <c r="P110" s="15">
        <v>47011.78</v>
      </c>
      <c r="S110" s="17"/>
    </row>
    <row r="111" spans="1:19" x14ac:dyDescent="0.4">
      <c r="A111">
        <v>1467797</v>
      </c>
      <c r="B111" s="16">
        <v>47</v>
      </c>
      <c r="C111" s="12" t="s">
        <v>123</v>
      </c>
      <c r="D111" s="12" t="s">
        <v>132</v>
      </c>
      <c r="E111" s="12" t="s">
        <v>152</v>
      </c>
      <c r="F111" s="12" t="s">
        <v>158</v>
      </c>
      <c r="G111" s="14">
        <f t="shared" ca="1" si="1"/>
        <v>381951.9400444132</v>
      </c>
      <c r="H111" s="12" t="s">
        <v>171</v>
      </c>
      <c r="I111">
        <v>0</v>
      </c>
      <c r="J111">
        <v>35</v>
      </c>
      <c r="K111" s="12" t="s">
        <v>176</v>
      </c>
      <c r="L111">
        <v>4779</v>
      </c>
      <c r="M111">
        <v>1</v>
      </c>
      <c r="O111" s="39"/>
      <c r="P111" s="16">
        <v>203798.03</v>
      </c>
      <c r="S111" s="17"/>
    </row>
    <row r="112" spans="1:19" x14ac:dyDescent="0.4">
      <c r="A112">
        <v>1471496</v>
      </c>
      <c r="B112" s="15">
        <v>61</v>
      </c>
      <c r="C112" s="12" t="s">
        <v>124</v>
      </c>
      <c r="D112" s="12" t="s">
        <v>138</v>
      </c>
      <c r="E112" s="12" t="s">
        <v>153</v>
      </c>
      <c r="F112" s="12" t="s">
        <v>160</v>
      </c>
      <c r="G112" s="14">
        <f t="shared" ca="1" si="1"/>
        <v>164501.9647861711</v>
      </c>
      <c r="H112" s="12" t="s">
        <v>171</v>
      </c>
      <c r="I112">
        <v>0</v>
      </c>
      <c r="J112">
        <v>99</v>
      </c>
      <c r="K112" s="12" t="s">
        <v>176</v>
      </c>
      <c r="L112">
        <v>0</v>
      </c>
      <c r="M112">
        <v>0</v>
      </c>
      <c r="O112" s="39"/>
      <c r="P112" s="15">
        <v>92158.43</v>
      </c>
      <c r="S112" s="17"/>
    </row>
    <row r="113" spans="1:19" x14ac:dyDescent="0.4">
      <c r="A113">
        <v>1472475</v>
      </c>
      <c r="B113" s="16">
        <v>45</v>
      </c>
      <c r="C113" s="12" t="s">
        <v>123</v>
      </c>
      <c r="D113" s="12" t="s">
        <v>144</v>
      </c>
      <c r="E113" s="12" t="s">
        <v>150</v>
      </c>
      <c r="F113" s="12" t="s">
        <v>144</v>
      </c>
      <c r="G113" s="14">
        <f t="shared" ca="1" si="1"/>
        <v>113722.61160057354</v>
      </c>
      <c r="H113" s="12" t="s">
        <v>172</v>
      </c>
      <c r="I113">
        <v>0</v>
      </c>
      <c r="J113">
        <v>30</v>
      </c>
      <c r="K113" s="12" t="s">
        <v>176</v>
      </c>
      <c r="L113">
        <v>0</v>
      </c>
      <c r="M113">
        <v>1</v>
      </c>
      <c r="O113" s="39"/>
      <c r="P113" s="16">
        <v>91088.9</v>
      </c>
      <c r="S113" s="17"/>
    </row>
    <row r="114" spans="1:19" x14ac:dyDescent="0.4">
      <c r="A114">
        <v>1474194</v>
      </c>
      <c r="B114" s="15">
        <v>33</v>
      </c>
      <c r="C114" s="12" t="s">
        <v>122</v>
      </c>
      <c r="D114" s="12" t="s">
        <v>134</v>
      </c>
      <c r="E114" s="12" t="s">
        <v>152</v>
      </c>
      <c r="F114" s="12" t="s">
        <v>159</v>
      </c>
      <c r="G114" s="14">
        <f t="shared" ca="1" si="1"/>
        <v>46763.623975319009</v>
      </c>
      <c r="H114" s="12" t="s">
        <v>172</v>
      </c>
      <c r="I114">
        <v>0</v>
      </c>
      <c r="J114">
        <v>40</v>
      </c>
      <c r="K114" s="12" t="s">
        <v>176</v>
      </c>
      <c r="L114">
        <v>0</v>
      </c>
      <c r="M114">
        <v>0</v>
      </c>
      <c r="O114" s="39"/>
      <c r="P114" s="15">
        <v>34078.480000000003</v>
      </c>
      <c r="S114" s="17"/>
    </row>
    <row r="115" spans="1:19" x14ac:dyDescent="0.4">
      <c r="A115">
        <v>1474221</v>
      </c>
      <c r="B115" s="16">
        <v>39</v>
      </c>
      <c r="C115" s="12" t="s">
        <v>122</v>
      </c>
      <c r="D115" s="12" t="s">
        <v>135</v>
      </c>
      <c r="E115" s="12" t="s">
        <v>152</v>
      </c>
      <c r="F115" s="12" t="s">
        <v>163</v>
      </c>
      <c r="G115" s="14">
        <f t="shared" ca="1" si="1"/>
        <v>33624.512852071923</v>
      </c>
      <c r="H115" s="12" t="s">
        <v>172</v>
      </c>
      <c r="I115">
        <v>0</v>
      </c>
      <c r="J115">
        <v>50</v>
      </c>
      <c r="K115" s="12" t="s">
        <v>176</v>
      </c>
      <c r="L115">
        <v>1002</v>
      </c>
      <c r="M115">
        <v>1</v>
      </c>
      <c r="O115" s="39"/>
      <c r="P115" s="16">
        <v>27397.18</v>
      </c>
      <c r="S115" s="17"/>
    </row>
    <row r="116" spans="1:19" x14ac:dyDescent="0.4">
      <c r="A116">
        <v>1488053</v>
      </c>
      <c r="B116" s="15">
        <v>60</v>
      </c>
      <c r="C116" s="12" t="s">
        <v>122</v>
      </c>
      <c r="D116" s="12" t="s">
        <v>132</v>
      </c>
      <c r="E116" s="12" t="s">
        <v>151</v>
      </c>
      <c r="F116" s="12" t="s">
        <v>159</v>
      </c>
      <c r="G116" s="14">
        <f t="shared" ca="1" si="1"/>
        <v>105671.35148179193</v>
      </c>
      <c r="H116" s="12" t="s">
        <v>172</v>
      </c>
      <c r="I116">
        <v>0</v>
      </c>
      <c r="J116">
        <v>44</v>
      </c>
      <c r="K116" s="12" t="s">
        <v>176</v>
      </c>
      <c r="L116">
        <v>7510</v>
      </c>
      <c r="M116">
        <v>1</v>
      </c>
      <c r="O116" s="39"/>
      <c r="P116" s="15">
        <v>86618.25</v>
      </c>
      <c r="S116" s="17"/>
    </row>
    <row r="117" spans="1:19" x14ac:dyDescent="0.4">
      <c r="A117">
        <v>1493406</v>
      </c>
      <c r="B117" s="16">
        <v>43</v>
      </c>
      <c r="C117" s="12" t="s">
        <v>122</v>
      </c>
      <c r="D117" s="12" t="s">
        <v>132</v>
      </c>
      <c r="E117" s="12" t="s">
        <v>152</v>
      </c>
      <c r="F117" s="12" t="s">
        <v>144</v>
      </c>
      <c r="G117" s="14">
        <f t="shared" ca="1" si="1"/>
        <v>50341.219619862939</v>
      </c>
      <c r="H117" s="12" t="s">
        <v>172</v>
      </c>
      <c r="I117">
        <v>0</v>
      </c>
      <c r="J117">
        <v>40</v>
      </c>
      <c r="K117" s="12" t="s">
        <v>176</v>
      </c>
      <c r="L117">
        <v>0</v>
      </c>
      <c r="M117">
        <v>0</v>
      </c>
      <c r="O117" s="39"/>
      <c r="P117" s="16">
        <v>27604.3</v>
      </c>
      <c r="S117" s="17"/>
    </row>
    <row r="118" spans="1:19" x14ac:dyDescent="0.4">
      <c r="A118">
        <v>1495310</v>
      </c>
      <c r="B118" s="15">
        <v>35</v>
      </c>
      <c r="C118" s="12" t="s">
        <v>122</v>
      </c>
      <c r="D118" s="12" t="s">
        <v>134</v>
      </c>
      <c r="E118" s="12" t="s">
        <v>150</v>
      </c>
      <c r="F118" s="12" t="s">
        <v>158</v>
      </c>
      <c r="G118" s="14">
        <f t="shared" ca="1" si="1"/>
        <v>114879.94639633955</v>
      </c>
      <c r="H118" s="12" t="s">
        <v>172</v>
      </c>
      <c r="I118">
        <v>0</v>
      </c>
      <c r="J118">
        <v>40</v>
      </c>
      <c r="K118" s="12" t="s">
        <v>176</v>
      </c>
      <c r="L118">
        <v>8614</v>
      </c>
      <c r="M118">
        <v>1</v>
      </c>
      <c r="O118" s="39"/>
      <c r="P118" s="15">
        <v>60272.71</v>
      </c>
      <c r="S118" s="17"/>
    </row>
    <row r="119" spans="1:19" x14ac:dyDescent="0.4">
      <c r="A119">
        <v>1495484</v>
      </c>
      <c r="B119" s="16">
        <v>22</v>
      </c>
      <c r="C119" s="12" t="s">
        <v>122</v>
      </c>
      <c r="D119" s="12" t="s">
        <v>140</v>
      </c>
      <c r="E119" s="12" t="s">
        <v>150</v>
      </c>
      <c r="F119" s="12" t="s">
        <v>157</v>
      </c>
      <c r="G119" s="14">
        <f t="shared" ca="1" si="1"/>
        <v>59613.977795075873</v>
      </c>
      <c r="H119" s="12" t="s">
        <v>172</v>
      </c>
      <c r="I119">
        <v>0</v>
      </c>
      <c r="J119">
        <v>84</v>
      </c>
      <c r="K119" s="12" t="s">
        <v>176</v>
      </c>
      <c r="L119">
        <v>0</v>
      </c>
      <c r="M119">
        <v>0</v>
      </c>
      <c r="O119" s="39"/>
      <c r="P119" s="16">
        <v>54640.91</v>
      </c>
      <c r="S119" s="17"/>
    </row>
    <row r="120" spans="1:19" x14ac:dyDescent="0.4">
      <c r="A120">
        <v>1502038</v>
      </c>
      <c r="B120" s="15">
        <v>63</v>
      </c>
      <c r="C120" s="12" t="s">
        <v>122</v>
      </c>
      <c r="D120" s="12" t="s">
        <v>132</v>
      </c>
      <c r="E120" s="12" t="s">
        <v>152</v>
      </c>
      <c r="F120" s="12" t="s">
        <v>159</v>
      </c>
      <c r="G120" s="14">
        <f t="shared" ca="1" si="1"/>
        <v>36910.84294984267</v>
      </c>
      <c r="H120" s="12" t="s">
        <v>172</v>
      </c>
      <c r="I120">
        <v>0</v>
      </c>
      <c r="J120">
        <v>45</v>
      </c>
      <c r="K120" s="12" t="s">
        <v>176</v>
      </c>
      <c r="L120">
        <v>0</v>
      </c>
      <c r="M120">
        <v>0</v>
      </c>
      <c r="O120" s="39"/>
      <c r="P120" s="15">
        <v>32562.240000000002</v>
      </c>
      <c r="S120" s="17"/>
    </row>
    <row r="121" spans="1:19" x14ac:dyDescent="0.4">
      <c r="A121">
        <v>1502111</v>
      </c>
      <c r="B121" s="16">
        <v>64</v>
      </c>
      <c r="C121" s="12" t="s">
        <v>122</v>
      </c>
      <c r="D121" s="12" t="s">
        <v>132</v>
      </c>
      <c r="E121" s="12" t="s">
        <v>153</v>
      </c>
      <c r="F121" s="12" t="s">
        <v>160</v>
      </c>
      <c r="G121" s="14">
        <f t="shared" ca="1" si="1"/>
        <v>134090.93988035381</v>
      </c>
      <c r="H121" s="12" t="s">
        <v>171</v>
      </c>
      <c r="I121">
        <v>0</v>
      </c>
      <c r="J121">
        <v>3</v>
      </c>
      <c r="K121" s="12" t="s">
        <v>176</v>
      </c>
      <c r="L121">
        <v>0</v>
      </c>
      <c r="M121">
        <v>0</v>
      </c>
      <c r="O121" s="39"/>
      <c r="P121" s="16">
        <v>73525.600000000006</v>
      </c>
      <c r="S121" s="17"/>
    </row>
    <row r="122" spans="1:19" x14ac:dyDescent="0.4">
      <c r="A122">
        <v>1505676</v>
      </c>
      <c r="B122" s="15">
        <v>54</v>
      </c>
      <c r="C122" s="12" t="s">
        <v>122</v>
      </c>
      <c r="D122" s="12" t="s">
        <v>134</v>
      </c>
      <c r="E122" s="12" t="s">
        <v>152</v>
      </c>
      <c r="F122" s="12" t="s">
        <v>161</v>
      </c>
      <c r="G122" s="14">
        <f t="shared" ca="1" si="1"/>
        <v>35826.646410892849</v>
      </c>
      <c r="H122" s="12" t="s">
        <v>172</v>
      </c>
      <c r="I122">
        <v>0</v>
      </c>
      <c r="J122">
        <v>45</v>
      </c>
      <c r="K122" s="12" t="s">
        <v>176</v>
      </c>
      <c r="L122">
        <v>1650</v>
      </c>
      <c r="M122">
        <v>1</v>
      </c>
      <c r="O122" s="39"/>
      <c r="P122" s="15">
        <v>27254.75</v>
      </c>
      <c r="S122" s="17"/>
    </row>
    <row r="123" spans="1:19" x14ac:dyDescent="0.4">
      <c r="A123">
        <v>1509085</v>
      </c>
      <c r="B123" s="16">
        <v>57</v>
      </c>
      <c r="C123" s="12" t="s">
        <v>122</v>
      </c>
      <c r="D123" s="12" t="s">
        <v>134</v>
      </c>
      <c r="E123" s="12" t="s">
        <v>153</v>
      </c>
      <c r="F123" s="12" t="s">
        <v>158</v>
      </c>
      <c r="G123" s="14">
        <f t="shared" ca="1" si="1"/>
        <v>106400.36163620497</v>
      </c>
      <c r="H123" s="12" t="s">
        <v>171</v>
      </c>
      <c r="I123">
        <v>0</v>
      </c>
      <c r="J123">
        <v>40</v>
      </c>
      <c r="K123" s="12" t="s">
        <v>176</v>
      </c>
      <c r="L123">
        <v>0</v>
      </c>
      <c r="M123">
        <v>0</v>
      </c>
      <c r="O123" s="39"/>
      <c r="P123" s="16">
        <v>81343.45</v>
      </c>
      <c r="S123" s="17"/>
    </row>
    <row r="124" spans="1:19" x14ac:dyDescent="0.4">
      <c r="A124">
        <v>1515465</v>
      </c>
      <c r="B124" s="15">
        <v>45</v>
      </c>
      <c r="C124" s="12" t="s">
        <v>122</v>
      </c>
      <c r="D124" s="12" t="s">
        <v>132</v>
      </c>
      <c r="E124" s="12" t="s">
        <v>151</v>
      </c>
      <c r="F124" s="12" t="s">
        <v>163</v>
      </c>
      <c r="G124" s="14">
        <f t="shared" ca="1" si="1"/>
        <v>201690.27572863238</v>
      </c>
      <c r="H124" s="12" t="s">
        <v>171</v>
      </c>
      <c r="I124">
        <v>0</v>
      </c>
      <c r="J124">
        <v>40</v>
      </c>
      <c r="K124" s="12" t="s">
        <v>185</v>
      </c>
      <c r="L124">
        <v>0</v>
      </c>
      <c r="M124">
        <v>0</v>
      </c>
      <c r="O124" s="39"/>
      <c r="P124" s="15">
        <v>125370.21</v>
      </c>
      <c r="S124" s="17"/>
    </row>
    <row r="125" spans="1:19" x14ac:dyDescent="0.4">
      <c r="A125">
        <v>1518173</v>
      </c>
      <c r="B125" s="16">
        <v>33</v>
      </c>
      <c r="C125" s="12" t="s">
        <v>122</v>
      </c>
      <c r="D125" s="12" t="s">
        <v>135</v>
      </c>
      <c r="E125" s="12" t="s">
        <v>152</v>
      </c>
      <c r="F125" s="12" t="s">
        <v>160</v>
      </c>
      <c r="G125" s="14">
        <f t="shared" ca="1" si="1"/>
        <v>129851.22975633062</v>
      </c>
      <c r="H125" s="12" t="s">
        <v>171</v>
      </c>
      <c r="I125">
        <v>0</v>
      </c>
      <c r="J125">
        <v>40</v>
      </c>
      <c r="K125" s="12" t="s">
        <v>176</v>
      </c>
      <c r="L125">
        <v>4195</v>
      </c>
      <c r="M125">
        <v>1</v>
      </c>
      <c r="O125" s="39"/>
      <c r="P125" s="16">
        <v>129091.19</v>
      </c>
      <c r="S125" s="17"/>
    </row>
    <row r="126" spans="1:19" x14ac:dyDescent="0.4">
      <c r="A126">
        <v>1524841</v>
      </c>
      <c r="B126" s="15">
        <v>25</v>
      </c>
      <c r="C126" s="12" t="s">
        <v>122</v>
      </c>
      <c r="D126" s="12" t="s">
        <v>134</v>
      </c>
      <c r="E126" s="12" t="s">
        <v>150</v>
      </c>
      <c r="F126" s="12" t="s">
        <v>162</v>
      </c>
      <c r="G126" s="14">
        <f t="shared" ca="1" si="1"/>
        <v>251552.55544702511</v>
      </c>
      <c r="H126" s="12" t="s">
        <v>172</v>
      </c>
      <c r="I126">
        <v>0</v>
      </c>
      <c r="J126">
        <v>40</v>
      </c>
      <c r="K126" s="12" t="s">
        <v>176</v>
      </c>
      <c r="L126">
        <v>0</v>
      </c>
      <c r="M126">
        <v>0</v>
      </c>
      <c r="O126" s="39"/>
      <c r="P126" s="15">
        <v>177873.59</v>
      </c>
      <c r="S126" s="17"/>
    </row>
    <row r="127" spans="1:19" x14ac:dyDescent="0.4">
      <c r="A127">
        <v>1530194</v>
      </c>
      <c r="B127" s="16">
        <v>29</v>
      </c>
      <c r="C127" s="12" t="s">
        <v>122</v>
      </c>
      <c r="D127" s="12" t="s">
        <v>137</v>
      </c>
      <c r="E127" s="12" t="s">
        <v>150</v>
      </c>
      <c r="F127" s="12" t="s">
        <v>159</v>
      </c>
      <c r="G127" s="14">
        <f t="shared" ca="1" si="1"/>
        <v>110916.52041268612</v>
      </c>
      <c r="H127" s="12" t="s">
        <v>172</v>
      </c>
      <c r="I127">
        <v>0</v>
      </c>
      <c r="J127">
        <v>50</v>
      </c>
      <c r="K127" s="12" t="s">
        <v>176</v>
      </c>
      <c r="L127">
        <v>0</v>
      </c>
      <c r="M127">
        <v>0</v>
      </c>
      <c r="O127" s="39"/>
      <c r="P127" s="16">
        <v>64358.33</v>
      </c>
      <c r="S127" s="17"/>
    </row>
    <row r="128" spans="1:19" x14ac:dyDescent="0.4">
      <c r="A128">
        <v>1531306</v>
      </c>
      <c r="B128" s="15">
        <v>46</v>
      </c>
      <c r="C128" s="12" t="s">
        <v>122</v>
      </c>
      <c r="D128" s="12" t="s">
        <v>134</v>
      </c>
      <c r="E128" s="12" t="s">
        <v>152</v>
      </c>
      <c r="F128" s="12" t="s">
        <v>160</v>
      </c>
      <c r="G128" s="14">
        <f t="shared" ca="1" si="1"/>
        <v>42373.339402070174</v>
      </c>
      <c r="H128" s="12" t="s">
        <v>172</v>
      </c>
      <c r="I128">
        <v>0</v>
      </c>
      <c r="J128">
        <v>40</v>
      </c>
      <c r="K128" s="12" t="s">
        <v>176</v>
      </c>
      <c r="L128">
        <v>12334</v>
      </c>
      <c r="M128">
        <v>1</v>
      </c>
      <c r="O128" s="39"/>
      <c r="P128" s="15">
        <v>41442.67</v>
      </c>
      <c r="S128" s="17"/>
    </row>
    <row r="129" spans="1:19" x14ac:dyDescent="0.4">
      <c r="A129">
        <v>1534678</v>
      </c>
      <c r="B129" s="16">
        <v>46</v>
      </c>
      <c r="C129" s="12" t="s">
        <v>122</v>
      </c>
      <c r="D129" s="12" t="s">
        <v>133</v>
      </c>
      <c r="E129" s="12" t="s">
        <v>150</v>
      </c>
      <c r="F129" s="12" t="s">
        <v>144</v>
      </c>
      <c r="G129" s="14">
        <f t="shared" ca="1" si="1"/>
        <v>120324.99183505712</v>
      </c>
      <c r="H129" s="12" t="s">
        <v>171</v>
      </c>
      <c r="I129">
        <v>0</v>
      </c>
      <c r="J129">
        <v>33</v>
      </c>
      <c r="K129" s="12" t="s">
        <v>176</v>
      </c>
      <c r="L129">
        <v>0</v>
      </c>
      <c r="M129">
        <v>0</v>
      </c>
      <c r="O129" s="39"/>
      <c r="P129" s="16">
        <v>80318.75</v>
      </c>
      <c r="S129" s="17"/>
    </row>
    <row r="130" spans="1:19" x14ac:dyDescent="0.4">
      <c r="A130">
        <v>1541756</v>
      </c>
      <c r="B130" s="15">
        <v>22</v>
      </c>
      <c r="C130" s="12" t="s">
        <v>122</v>
      </c>
      <c r="D130" s="12" t="s">
        <v>134</v>
      </c>
      <c r="E130" s="12" t="s">
        <v>150</v>
      </c>
      <c r="F130" s="12" t="s">
        <v>156</v>
      </c>
      <c r="G130" s="14">
        <f t="shared" ca="1" si="1"/>
        <v>116580.77729121134</v>
      </c>
      <c r="H130" s="12" t="s">
        <v>171</v>
      </c>
      <c r="I130">
        <v>0</v>
      </c>
      <c r="J130">
        <v>35</v>
      </c>
      <c r="K130" s="12" t="s">
        <v>176</v>
      </c>
      <c r="L130">
        <v>0</v>
      </c>
      <c r="M130">
        <v>0</v>
      </c>
      <c r="O130" s="39"/>
      <c r="P130" s="15">
        <v>70541.91</v>
      </c>
      <c r="S130" s="17"/>
    </row>
    <row r="131" spans="1:19" x14ac:dyDescent="0.4">
      <c r="A131">
        <v>1545759</v>
      </c>
      <c r="B131" s="16">
        <v>36</v>
      </c>
      <c r="C131" s="12" t="s">
        <v>122</v>
      </c>
      <c r="D131" s="12" t="s">
        <v>134</v>
      </c>
      <c r="E131" s="12" t="s">
        <v>152</v>
      </c>
      <c r="F131" s="12" t="s">
        <v>159</v>
      </c>
      <c r="G131" s="14">
        <f t="shared" ca="1" si="1"/>
        <v>50712.252128112857</v>
      </c>
      <c r="H131" s="12" t="s">
        <v>172</v>
      </c>
      <c r="I131">
        <v>1887</v>
      </c>
      <c r="J131">
        <v>60</v>
      </c>
      <c r="K131" s="12" t="s">
        <v>176</v>
      </c>
      <c r="L131">
        <v>4604</v>
      </c>
      <c r="M131">
        <v>1</v>
      </c>
      <c r="O131" s="39"/>
      <c r="P131" s="16">
        <v>37634.410000000003</v>
      </c>
      <c r="S131" s="17"/>
    </row>
    <row r="132" spans="1:19" x14ac:dyDescent="0.4">
      <c r="A132">
        <v>1545762</v>
      </c>
      <c r="B132" s="15">
        <v>30</v>
      </c>
      <c r="C132" s="12" t="s">
        <v>122</v>
      </c>
      <c r="D132" s="12" t="s">
        <v>132</v>
      </c>
      <c r="E132" s="12" t="s">
        <v>152</v>
      </c>
      <c r="F132" s="12" t="s">
        <v>161</v>
      </c>
      <c r="G132" s="14">
        <f t="shared" ca="1" si="1"/>
        <v>96308.863561749909</v>
      </c>
      <c r="H132" s="12" t="s">
        <v>172</v>
      </c>
      <c r="I132">
        <v>0</v>
      </c>
      <c r="J132">
        <v>40</v>
      </c>
      <c r="K132" s="12" t="s">
        <v>176</v>
      </c>
      <c r="L132">
        <v>9972</v>
      </c>
      <c r="M132">
        <v>1</v>
      </c>
      <c r="O132" s="39"/>
      <c r="P132" s="15">
        <v>53662.74</v>
      </c>
      <c r="S132" s="17"/>
    </row>
    <row r="133" spans="1:19" x14ac:dyDescent="0.4">
      <c r="A133">
        <v>1548067</v>
      </c>
      <c r="B133" s="16">
        <v>28</v>
      </c>
      <c r="C133" s="12" t="s">
        <v>122</v>
      </c>
      <c r="D133" s="12" t="s">
        <v>134</v>
      </c>
      <c r="E133" s="12" t="s">
        <v>150</v>
      </c>
      <c r="F133" s="12" t="s">
        <v>164</v>
      </c>
      <c r="G133" s="14">
        <f t="shared" ca="1" si="1"/>
        <v>203715.22030096402</v>
      </c>
      <c r="H133" s="12" t="s">
        <v>172</v>
      </c>
      <c r="I133">
        <v>0</v>
      </c>
      <c r="J133">
        <v>30</v>
      </c>
      <c r="K133" s="12" t="s">
        <v>176</v>
      </c>
      <c r="L133">
        <v>0</v>
      </c>
      <c r="M133">
        <v>0</v>
      </c>
      <c r="O133" s="39"/>
      <c r="P133" s="16">
        <v>156434.13</v>
      </c>
      <c r="S133" s="17"/>
    </row>
    <row r="134" spans="1:19" x14ac:dyDescent="0.4">
      <c r="A134">
        <v>1548224</v>
      </c>
      <c r="B134" s="15">
        <v>21</v>
      </c>
      <c r="C134" s="12" t="s">
        <v>126</v>
      </c>
      <c r="D134" s="12" t="s">
        <v>132</v>
      </c>
      <c r="E134" s="12" t="s">
        <v>150</v>
      </c>
      <c r="F134" s="12" t="s">
        <v>156</v>
      </c>
      <c r="G134" s="14">
        <f t="shared" ca="1" si="1"/>
        <v>29526.267987369774</v>
      </c>
      <c r="H134" s="12" t="s">
        <v>171</v>
      </c>
      <c r="I134">
        <v>0</v>
      </c>
      <c r="J134">
        <v>10</v>
      </c>
      <c r="K134" s="12" t="s">
        <v>176</v>
      </c>
      <c r="L134">
        <v>0</v>
      </c>
      <c r="M134">
        <v>0</v>
      </c>
      <c r="O134" s="39"/>
      <c r="P134" s="15">
        <v>19720.37</v>
      </c>
      <c r="S134" s="17"/>
    </row>
    <row r="135" spans="1:19" x14ac:dyDescent="0.4">
      <c r="A135">
        <v>1551622</v>
      </c>
      <c r="B135" s="16">
        <v>63</v>
      </c>
      <c r="C135" s="12" t="s">
        <v>123</v>
      </c>
      <c r="D135" s="12" t="s">
        <v>132</v>
      </c>
      <c r="E135" s="12" t="s">
        <v>152</v>
      </c>
      <c r="F135" s="12" t="s">
        <v>161</v>
      </c>
      <c r="G135" s="14">
        <f t="shared" ca="1" si="1"/>
        <v>21194.278954264213</v>
      </c>
      <c r="H135" s="12" t="s">
        <v>172</v>
      </c>
      <c r="I135">
        <v>0</v>
      </c>
      <c r="J135">
        <v>35</v>
      </c>
      <c r="K135" s="12" t="s">
        <v>176</v>
      </c>
      <c r="L135">
        <v>6248</v>
      </c>
      <c r="M135">
        <v>1</v>
      </c>
      <c r="O135" s="39"/>
      <c r="P135" s="16">
        <v>17461.25</v>
      </c>
      <c r="S135" s="17"/>
    </row>
    <row r="136" spans="1:19" x14ac:dyDescent="0.4">
      <c r="A136">
        <v>1557461</v>
      </c>
      <c r="B136" s="15">
        <v>32</v>
      </c>
      <c r="C136" s="12" t="s">
        <v>122</v>
      </c>
      <c r="D136" s="12" t="s">
        <v>140</v>
      </c>
      <c r="E136" s="12" t="s">
        <v>150</v>
      </c>
      <c r="F136" s="12" t="s">
        <v>159</v>
      </c>
      <c r="G136" s="14">
        <f t="shared" ca="1" si="1"/>
        <v>139538.86574543925</v>
      </c>
      <c r="H136" s="12" t="s">
        <v>172</v>
      </c>
      <c r="I136">
        <v>0</v>
      </c>
      <c r="J136">
        <v>50</v>
      </c>
      <c r="K136" s="12" t="s">
        <v>176</v>
      </c>
      <c r="L136">
        <v>0</v>
      </c>
      <c r="M136">
        <v>0</v>
      </c>
      <c r="O136" s="39"/>
      <c r="P136" s="15">
        <v>103733.33</v>
      </c>
      <c r="S136" s="17"/>
    </row>
    <row r="137" spans="1:19" x14ac:dyDescent="0.4">
      <c r="A137">
        <v>1579205</v>
      </c>
      <c r="B137" s="16">
        <v>32</v>
      </c>
      <c r="C137" s="12" t="s">
        <v>125</v>
      </c>
      <c r="D137" s="12" t="s">
        <v>135</v>
      </c>
      <c r="E137" s="12" t="s">
        <v>152</v>
      </c>
      <c r="F137" s="12" t="s">
        <v>144</v>
      </c>
      <c r="G137" s="14">
        <f t="shared" ca="1" si="1"/>
        <v>281727.4809452871</v>
      </c>
      <c r="H137" s="12" t="s">
        <v>171</v>
      </c>
      <c r="I137">
        <v>0</v>
      </c>
      <c r="J137">
        <v>35</v>
      </c>
      <c r="K137" s="12" t="s">
        <v>176</v>
      </c>
      <c r="L137">
        <v>0</v>
      </c>
      <c r="M137">
        <v>1</v>
      </c>
      <c r="O137" s="39"/>
      <c r="P137" s="16">
        <v>163587.6</v>
      </c>
      <c r="S137" s="17"/>
    </row>
    <row r="138" spans="1:19" x14ac:dyDescent="0.4">
      <c r="A138">
        <v>1585271</v>
      </c>
      <c r="B138" s="15">
        <v>22</v>
      </c>
      <c r="C138" s="12" t="s">
        <v>122</v>
      </c>
      <c r="D138" s="12" t="s">
        <v>140</v>
      </c>
      <c r="E138" s="12" t="s">
        <v>150</v>
      </c>
      <c r="F138" s="12" t="s">
        <v>158</v>
      </c>
      <c r="G138" s="14">
        <f t="shared" ca="1" si="1"/>
        <v>123392.04704006825</v>
      </c>
      <c r="H138" s="12" t="s">
        <v>171</v>
      </c>
      <c r="I138">
        <v>0</v>
      </c>
      <c r="J138">
        <v>40</v>
      </c>
      <c r="K138" s="12" t="s">
        <v>176</v>
      </c>
      <c r="L138">
        <v>0</v>
      </c>
      <c r="M138">
        <v>0</v>
      </c>
      <c r="O138" s="39"/>
      <c r="P138" s="15">
        <v>94412.83</v>
      </c>
      <c r="S138" s="17"/>
    </row>
    <row r="139" spans="1:19" x14ac:dyDescent="0.4">
      <c r="A139">
        <v>1588605</v>
      </c>
      <c r="B139" s="16">
        <v>22</v>
      </c>
      <c r="C139" s="12" t="s">
        <v>122</v>
      </c>
      <c r="D139" s="12" t="s">
        <v>132</v>
      </c>
      <c r="E139" s="12" t="s">
        <v>150</v>
      </c>
      <c r="F139" s="12" t="s">
        <v>164</v>
      </c>
      <c r="G139" s="14">
        <f t="shared" ref="G139:G202" ca="1" si="2">P139*(1+RAND())</f>
        <v>430512.67862951854</v>
      </c>
      <c r="H139" s="12" t="s">
        <v>172</v>
      </c>
      <c r="I139">
        <v>0</v>
      </c>
      <c r="J139">
        <v>35</v>
      </c>
      <c r="K139" s="12" t="s">
        <v>176</v>
      </c>
      <c r="L139">
        <v>0</v>
      </c>
      <c r="M139">
        <v>0</v>
      </c>
      <c r="O139" s="39"/>
      <c r="P139" s="16">
        <v>223592.88</v>
      </c>
      <c r="S139" s="17"/>
    </row>
    <row r="140" spans="1:19" x14ac:dyDescent="0.4">
      <c r="A140">
        <v>1597428</v>
      </c>
      <c r="B140" s="15">
        <v>40</v>
      </c>
      <c r="C140" s="12" t="s">
        <v>122</v>
      </c>
      <c r="D140" s="12" t="s">
        <v>134</v>
      </c>
      <c r="E140" s="12" t="s">
        <v>152</v>
      </c>
      <c r="F140" s="12" t="s">
        <v>144</v>
      </c>
      <c r="G140" s="14">
        <f t="shared" ca="1" si="2"/>
        <v>74709.642661304882</v>
      </c>
      <c r="H140" s="12" t="s">
        <v>172</v>
      </c>
      <c r="I140">
        <v>1902</v>
      </c>
      <c r="J140">
        <v>40</v>
      </c>
      <c r="K140" s="12" t="s">
        <v>176</v>
      </c>
      <c r="L140">
        <v>0</v>
      </c>
      <c r="M140">
        <v>1</v>
      </c>
      <c r="O140" s="39"/>
      <c r="P140" s="15">
        <v>49546.92</v>
      </c>
      <c r="S140" s="17"/>
    </row>
    <row r="141" spans="1:19" x14ac:dyDescent="0.4">
      <c r="A141">
        <v>1598679</v>
      </c>
      <c r="B141" s="16">
        <v>31</v>
      </c>
      <c r="C141" s="12" t="s">
        <v>122</v>
      </c>
      <c r="D141" s="12" t="s">
        <v>132</v>
      </c>
      <c r="E141" s="12" t="s">
        <v>152</v>
      </c>
      <c r="F141" s="12" t="s">
        <v>158</v>
      </c>
      <c r="G141" s="14">
        <f t="shared" ca="1" si="2"/>
        <v>24545.961850212949</v>
      </c>
      <c r="H141" s="12" t="s">
        <v>172</v>
      </c>
      <c r="I141">
        <v>0</v>
      </c>
      <c r="J141">
        <v>40</v>
      </c>
      <c r="K141" s="12" t="s">
        <v>176</v>
      </c>
      <c r="L141">
        <v>0</v>
      </c>
      <c r="M141">
        <v>0</v>
      </c>
      <c r="O141" s="39"/>
      <c r="P141" s="16">
        <v>22086.63</v>
      </c>
      <c r="S141" s="17"/>
    </row>
    <row r="142" spans="1:19" x14ac:dyDescent="0.4">
      <c r="A142">
        <v>1600316</v>
      </c>
      <c r="B142" s="15">
        <v>33</v>
      </c>
      <c r="C142" s="12" t="s">
        <v>122</v>
      </c>
      <c r="D142" s="12" t="s">
        <v>133</v>
      </c>
      <c r="E142" s="12" t="s">
        <v>154</v>
      </c>
      <c r="F142" s="12" t="s">
        <v>161</v>
      </c>
      <c r="G142" s="14">
        <f t="shared" ca="1" si="2"/>
        <v>312895.54721904383</v>
      </c>
      <c r="H142" s="12" t="s">
        <v>172</v>
      </c>
      <c r="I142">
        <v>0</v>
      </c>
      <c r="J142">
        <v>40</v>
      </c>
      <c r="K142" s="12" t="s">
        <v>176</v>
      </c>
      <c r="L142">
        <v>0</v>
      </c>
      <c r="M142">
        <v>0</v>
      </c>
      <c r="O142" s="39"/>
      <c r="P142" s="15">
        <v>198418.74</v>
      </c>
      <c r="S142" s="17"/>
    </row>
    <row r="143" spans="1:19" x14ac:dyDescent="0.4">
      <c r="A143">
        <v>1608800</v>
      </c>
      <c r="B143" s="16">
        <v>23</v>
      </c>
      <c r="C143" s="12" t="s">
        <v>122</v>
      </c>
      <c r="D143" s="12" t="s">
        <v>132</v>
      </c>
      <c r="E143" s="12" t="s">
        <v>151</v>
      </c>
      <c r="F143" s="12" t="s">
        <v>162</v>
      </c>
      <c r="G143" s="14">
        <f t="shared" ca="1" si="2"/>
        <v>174616.33460468738</v>
      </c>
      <c r="H143" s="12" t="s">
        <v>171</v>
      </c>
      <c r="I143">
        <v>0</v>
      </c>
      <c r="J143">
        <v>40</v>
      </c>
      <c r="K143" s="12" t="s">
        <v>176</v>
      </c>
      <c r="L143">
        <v>0</v>
      </c>
      <c r="M143">
        <v>0</v>
      </c>
      <c r="O143" s="39"/>
      <c r="P143" s="16">
        <v>115237.91</v>
      </c>
      <c r="S143" s="17"/>
    </row>
    <row r="144" spans="1:19" x14ac:dyDescent="0.4">
      <c r="A144">
        <v>1611099</v>
      </c>
      <c r="B144" s="15">
        <v>59</v>
      </c>
      <c r="C144" s="12" t="s">
        <v>123</v>
      </c>
      <c r="D144" s="12" t="s">
        <v>135</v>
      </c>
      <c r="E144" s="12" t="s">
        <v>153</v>
      </c>
      <c r="F144" s="12" t="s">
        <v>144</v>
      </c>
      <c r="G144" s="14">
        <f t="shared" ca="1" si="2"/>
        <v>132370.00103327204</v>
      </c>
      <c r="H144" s="12" t="s">
        <v>171</v>
      </c>
      <c r="I144">
        <v>0</v>
      </c>
      <c r="J144">
        <v>50</v>
      </c>
      <c r="K144" s="12" t="s">
        <v>176</v>
      </c>
      <c r="L144">
        <v>1864</v>
      </c>
      <c r="M144">
        <v>1</v>
      </c>
      <c r="O144" s="39"/>
      <c r="P144" s="15">
        <v>126304</v>
      </c>
      <c r="S144" s="17"/>
    </row>
    <row r="145" spans="1:19" x14ac:dyDescent="0.4">
      <c r="A145">
        <v>1612385</v>
      </c>
      <c r="B145" s="16">
        <v>35</v>
      </c>
      <c r="C145" s="12" t="s">
        <v>122</v>
      </c>
      <c r="D145" s="12" t="s">
        <v>135</v>
      </c>
      <c r="E145" s="12" t="s">
        <v>152</v>
      </c>
      <c r="F145" s="12" t="s">
        <v>160</v>
      </c>
      <c r="G145" s="14">
        <f t="shared" ca="1" si="2"/>
        <v>91503.295681992357</v>
      </c>
      <c r="H145" s="12" t="s">
        <v>172</v>
      </c>
      <c r="I145">
        <v>0</v>
      </c>
      <c r="J145">
        <v>50</v>
      </c>
      <c r="K145" s="12" t="s">
        <v>176</v>
      </c>
      <c r="L145">
        <v>7688</v>
      </c>
      <c r="M145">
        <v>1</v>
      </c>
      <c r="O145" s="39"/>
      <c r="P145" s="16">
        <v>64517.85</v>
      </c>
      <c r="S145" s="17"/>
    </row>
    <row r="146" spans="1:19" x14ac:dyDescent="0.4">
      <c r="A146">
        <v>1624617</v>
      </c>
      <c r="B146" s="15">
        <v>39</v>
      </c>
      <c r="C146" s="12" t="s">
        <v>122</v>
      </c>
      <c r="D146" s="12" t="s">
        <v>134</v>
      </c>
      <c r="E146" s="12" t="s">
        <v>152</v>
      </c>
      <c r="F146" s="12" t="s">
        <v>158</v>
      </c>
      <c r="G146" s="14">
        <f t="shared" ca="1" si="2"/>
        <v>303209.08423226478</v>
      </c>
      <c r="H146" s="12" t="s">
        <v>171</v>
      </c>
      <c r="I146">
        <v>0</v>
      </c>
      <c r="J146">
        <v>25</v>
      </c>
      <c r="K146" s="12" t="s">
        <v>176</v>
      </c>
      <c r="L146">
        <v>0</v>
      </c>
      <c r="M146">
        <v>0</v>
      </c>
      <c r="O146" s="39"/>
      <c r="P146" s="15">
        <v>263252.34999999998</v>
      </c>
      <c r="S146" s="17"/>
    </row>
    <row r="147" spans="1:19" x14ac:dyDescent="0.4">
      <c r="A147">
        <v>1637260</v>
      </c>
      <c r="B147" s="16">
        <v>40</v>
      </c>
      <c r="C147" s="12" t="s">
        <v>123</v>
      </c>
      <c r="D147" s="12" t="s">
        <v>135</v>
      </c>
      <c r="E147" s="12" t="s">
        <v>152</v>
      </c>
      <c r="F147" s="12" t="s">
        <v>159</v>
      </c>
      <c r="G147" s="14">
        <f t="shared" ca="1" si="2"/>
        <v>40734.45941276339</v>
      </c>
      <c r="H147" s="12" t="s">
        <v>172</v>
      </c>
      <c r="I147">
        <v>0</v>
      </c>
      <c r="J147">
        <v>50</v>
      </c>
      <c r="K147" s="12" t="s">
        <v>176</v>
      </c>
      <c r="L147">
        <v>0</v>
      </c>
      <c r="M147">
        <v>0</v>
      </c>
      <c r="O147" s="39"/>
      <c r="P147" s="16">
        <v>34674.28</v>
      </c>
      <c r="S147" s="17"/>
    </row>
    <row r="148" spans="1:19" x14ac:dyDescent="0.4">
      <c r="A148">
        <v>1639863</v>
      </c>
      <c r="B148" s="15">
        <v>23</v>
      </c>
      <c r="C148" s="12" t="s">
        <v>122</v>
      </c>
      <c r="D148" s="12" t="s">
        <v>134</v>
      </c>
      <c r="E148" s="12" t="s">
        <v>150</v>
      </c>
      <c r="F148" s="12" t="s">
        <v>159</v>
      </c>
      <c r="G148" s="14">
        <f t="shared" ca="1" si="2"/>
        <v>59905.099977026723</v>
      </c>
      <c r="H148" s="12" t="s">
        <v>172</v>
      </c>
      <c r="I148">
        <v>0</v>
      </c>
      <c r="J148">
        <v>40</v>
      </c>
      <c r="K148" s="12" t="s">
        <v>176</v>
      </c>
      <c r="L148">
        <v>0</v>
      </c>
      <c r="M148">
        <v>0</v>
      </c>
      <c r="O148" s="39"/>
      <c r="P148" s="15">
        <v>50797.42</v>
      </c>
      <c r="S148" s="17"/>
    </row>
    <row r="149" spans="1:19" x14ac:dyDescent="0.4">
      <c r="A149">
        <v>1641472</v>
      </c>
      <c r="B149" s="16">
        <v>45</v>
      </c>
      <c r="C149" s="12" t="s">
        <v>122</v>
      </c>
      <c r="D149" s="12" t="s">
        <v>134</v>
      </c>
      <c r="E149" s="12" t="s">
        <v>150</v>
      </c>
      <c r="F149" s="12" t="s">
        <v>161</v>
      </c>
      <c r="G149" s="14">
        <f t="shared" ca="1" si="2"/>
        <v>191814.91624403847</v>
      </c>
      <c r="H149" s="12" t="s">
        <v>172</v>
      </c>
      <c r="I149">
        <v>0</v>
      </c>
      <c r="J149">
        <v>40</v>
      </c>
      <c r="K149" s="12" t="s">
        <v>176</v>
      </c>
      <c r="L149">
        <v>0</v>
      </c>
      <c r="M149">
        <v>0</v>
      </c>
      <c r="O149" s="39"/>
      <c r="P149" s="16">
        <v>123634.05</v>
      </c>
      <c r="S149" s="17"/>
    </row>
    <row r="150" spans="1:19" x14ac:dyDescent="0.4">
      <c r="A150">
        <v>1641476</v>
      </c>
      <c r="B150" s="15">
        <v>17</v>
      </c>
      <c r="C150" s="12" t="s">
        <v>122</v>
      </c>
      <c r="D150" s="12" t="s">
        <v>142</v>
      </c>
      <c r="E150" s="12" t="s">
        <v>150</v>
      </c>
      <c r="F150" s="12" t="s">
        <v>162</v>
      </c>
      <c r="G150" s="14">
        <f t="shared" ca="1" si="2"/>
        <v>204635.06094794252</v>
      </c>
      <c r="H150" s="12" t="s">
        <v>172</v>
      </c>
      <c r="I150">
        <v>0</v>
      </c>
      <c r="J150">
        <v>22</v>
      </c>
      <c r="K150" s="12" t="s">
        <v>176</v>
      </c>
      <c r="L150">
        <v>0</v>
      </c>
      <c r="M150">
        <v>0</v>
      </c>
      <c r="O150" s="39"/>
      <c r="P150" s="15">
        <v>130301.1</v>
      </c>
      <c r="S150" s="17"/>
    </row>
    <row r="151" spans="1:19" x14ac:dyDescent="0.4">
      <c r="A151">
        <v>1647650</v>
      </c>
      <c r="B151" s="16">
        <v>59</v>
      </c>
      <c r="C151" s="12" t="s">
        <v>122</v>
      </c>
      <c r="D151" s="12" t="s">
        <v>134</v>
      </c>
      <c r="E151" s="12" t="s">
        <v>153</v>
      </c>
      <c r="F151" s="12" t="s">
        <v>156</v>
      </c>
      <c r="G151" s="14">
        <f t="shared" ca="1" si="2"/>
        <v>105051.12909517373</v>
      </c>
      <c r="H151" s="12" t="s">
        <v>171</v>
      </c>
      <c r="I151">
        <v>0</v>
      </c>
      <c r="J151">
        <v>10</v>
      </c>
      <c r="K151" s="12" t="s">
        <v>176</v>
      </c>
      <c r="L151">
        <v>0</v>
      </c>
      <c r="M151">
        <v>0</v>
      </c>
      <c r="O151" s="39"/>
      <c r="P151" s="16">
        <v>53968.46</v>
      </c>
      <c r="S151" s="17"/>
    </row>
    <row r="152" spans="1:19" x14ac:dyDescent="0.4">
      <c r="A152">
        <v>1648985</v>
      </c>
      <c r="B152" s="15">
        <v>37</v>
      </c>
      <c r="C152" s="12" t="s">
        <v>122</v>
      </c>
      <c r="D152" s="12" t="s">
        <v>132</v>
      </c>
      <c r="E152" s="12" t="s">
        <v>151</v>
      </c>
      <c r="F152" s="12" t="s">
        <v>157</v>
      </c>
      <c r="G152" s="14">
        <f t="shared" ca="1" si="2"/>
        <v>75039.022069159153</v>
      </c>
      <c r="H152" s="12" t="s">
        <v>172</v>
      </c>
      <c r="I152">
        <v>0</v>
      </c>
      <c r="J152">
        <v>40</v>
      </c>
      <c r="K152" s="12" t="s">
        <v>176</v>
      </c>
      <c r="L152">
        <v>0</v>
      </c>
      <c r="M152">
        <v>0</v>
      </c>
      <c r="O152" s="39"/>
      <c r="P152" s="15">
        <v>66341.59</v>
      </c>
      <c r="S152" s="17"/>
    </row>
    <row r="153" spans="1:19" x14ac:dyDescent="0.4">
      <c r="A153">
        <v>1654599</v>
      </c>
      <c r="B153" s="16">
        <v>27</v>
      </c>
      <c r="C153" s="12" t="s">
        <v>122</v>
      </c>
      <c r="D153" s="12" t="s">
        <v>134</v>
      </c>
      <c r="E153" s="12" t="s">
        <v>152</v>
      </c>
      <c r="F153" s="12" t="s">
        <v>161</v>
      </c>
      <c r="G153" s="14">
        <f t="shared" ca="1" si="2"/>
        <v>19429.605456314919</v>
      </c>
      <c r="H153" s="12" t="s">
        <v>172</v>
      </c>
      <c r="I153">
        <v>0</v>
      </c>
      <c r="J153">
        <v>40</v>
      </c>
      <c r="K153" s="12" t="s">
        <v>176</v>
      </c>
      <c r="L153">
        <v>0</v>
      </c>
      <c r="M153">
        <v>0</v>
      </c>
      <c r="O153" s="39"/>
      <c r="P153" s="16">
        <v>13567.01</v>
      </c>
      <c r="S153" s="17"/>
    </row>
    <row r="154" spans="1:19" x14ac:dyDescent="0.4">
      <c r="A154">
        <v>1667037</v>
      </c>
      <c r="B154" s="15">
        <v>82</v>
      </c>
      <c r="C154" s="12" t="s">
        <v>122</v>
      </c>
      <c r="D154" s="12" t="s">
        <v>143</v>
      </c>
      <c r="E154" s="12" t="s">
        <v>153</v>
      </c>
      <c r="F154" s="12" t="s">
        <v>156</v>
      </c>
      <c r="G154" s="14">
        <f t="shared" ca="1" si="2"/>
        <v>321397.44009702798</v>
      </c>
      <c r="H154" s="12" t="s">
        <v>172</v>
      </c>
      <c r="I154">
        <v>0</v>
      </c>
      <c r="J154">
        <v>20</v>
      </c>
      <c r="K154" s="12" t="s">
        <v>176</v>
      </c>
      <c r="L154">
        <v>0</v>
      </c>
      <c r="M154">
        <v>0</v>
      </c>
      <c r="O154" s="39"/>
      <c r="P154" s="15">
        <v>252435.63</v>
      </c>
      <c r="S154" s="17"/>
    </row>
    <row r="155" spans="1:19" x14ac:dyDescent="0.4">
      <c r="A155">
        <v>1670669</v>
      </c>
      <c r="B155" s="16">
        <v>30</v>
      </c>
      <c r="C155" s="12" t="s">
        <v>122</v>
      </c>
      <c r="D155" s="12" t="s">
        <v>134</v>
      </c>
      <c r="E155" s="12" t="s">
        <v>152</v>
      </c>
      <c r="F155" s="12" t="s">
        <v>161</v>
      </c>
      <c r="G155" s="14">
        <f t="shared" ca="1" si="2"/>
        <v>47137.319119118467</v>
      </c>
      <c r="H155" s="12" t="s">
        <v>172</v>
      </c>
      <c r="I155">
        <v>0</v>
      </c>
      <c r="J155">
        <v>60</v>
      </c>
      <c r="K155" s="12" t="s">
        <v>186</v>
      </c>
      <c r="L155">
        <v>1681</v>
      </c>
      <c r="M155">
        <v>1</v>
      </c>
      <c r="O155" s="39"/>
      <c r="P155" s="16">
        <v>35880.85</v>
      </c>
      <c r="S155" s="17"/>
    </row>
    <row r="156" spans="1:19" x14ac:dyDescent="0.4">
      <c r="A156">
        <v>1679323</v>
      </c>
      <c r="B156" s="15">
        <v>23</v>
      </c>
      <c r="C156" s="12" t="s">
        <v>122</v>
      </c>
      <c r="D156" s="12" t="s">
        <v>135</v>
      </c>
      <c r="E156" s="12" t="s">
        <v>150</v>
      </c>
      <c r="F156" s="12" t="s">
        <v>160</v>
      </c>
      <c r="G156" s="14">
        <f t="shared" ca="1" si="2"/>
        <v>106065.36036903737</v>
      </c>
      <c r="H156" s="12" t="s">
        <v>172</v>
      </c>
      <c r="I156">
        <v>0</v>
      </c>
      <c r="J156">
        <v>30</v>
      </c>
      <c r="K156" s="12" t="s">
        <v>129</v>
      </c>
      <c r="L156">
        <v>0</v>
      </c>
      <c r="M156">
        <v>0</v>
      </c>
      <c r="O156" s="39"/>
      <c r="P156" s="15">
        <v>106057.24</v>
      </c>
      <c r="S156" s="17"/>
    </row>
    <row r="157" spans="1:19" x14ac:dyDescent="0.4">
      <c r="A157">
        <v>1681753</v>
      </c>
      <c r="B157" s="16">
        <v>30</v>
      </c>
      <c r="C157" s="12" t="s">
        <v>122</v>
      </c>
      <c r="D157" s="12" t="s">
        <v>134</v>
      </c>
      <c r="E157" s="12" t="s">
        <v>152</v>
      </c>
      <c r="F157" s="12" t="s">
        <v>164</v>
      </c>
      <c r="G157" s="14">
        <f t="shared" ca="1" si="2"/>
        <v>53519.09648219373</v>
      </c>
      <c r="H157" s="12" t="s">
        <v>172</v>
      </c>
      <c r="I157">
        <v>0</v>
      </c>
      <c r="J157">
        <v>40</v>
      </c>
      <c r="K157" s="12" t="s">
        <v>176</v>
      </c>
      <c r="L157">
        <v>0</v>
      </c>
      <c r="M157">
        <v>0</v>
      </c>
      <c r="O157" s="39"/>
      <c r="P157" s="16">
        <v>50241.5</v>
      </c>
      <c r="S157" s="17"/>
    </row>
    <row r="158" spans="1:19" x14ac:dyDescent="0.4">
      <c r="A158">
        <v>1688602</v>
      </c>
      <c r="B158" s="15">
        <v>43</v>
      </c>
      <c r="C158" s="12" t="s">
        <v>122</v>
      </c>
      <c r="D158" s="12" t="s">
        <v>132</v>
      </c>
      <c r="E158" s="12" t="s">
        <v>151</v>
      </c>
      <c r="F158" s="12" t="s">
        <v>160</v>
      </c>
      <c r="G158" s="14">
        <f t="shared" ca="1" si="2"/>
        <v>287649.68056698958</v>
      </c>
      <c r="H158" s="12" t="s">
        <v>171</v>
      </c>
      <c r="I158">
        <v>0</v>
      </c>
      <c r="J158">
        <v>45</v>
      </c>
      <c r="K158" s="12" t="s">
        <v>187</v>
      </c>
      <c r="L158">
        <v>0</v>
      </c>
      <c r="M158">
        <v>0</v>
      </c>
      <c r="O158" s="39"/>
      <c r="P158" s="15">
        <v>175224.4</v>
      </c>
      <c r="S158" s="17"/>
    </row>
    <row r="159" spans="1:19" x14ac:dyDescent="0.4">
      <c r="A159">
        <v>1690774</v>
      </c>
      <c r="B159" s="16">
        <v>33</v>
      </c>
      <c r="C159" s="12" t="s">
        <v>122</v>
      </c>
      <c r="D159" s="12" t="s">
        <v>135</v>
      </c>
      <c r="E159" s="12" t="s">
        <v>152</v>
      </c>
      <c r="F159" s="12" t="s">
        <v>144</v>
      </c>
      <c r="G159" s="14">
        <f t="shared" ca="1" si="2"/>
        <v>12758.24492798276</v>
      </c>
      <c r="H159" s="12" t="s">
        <v>172</v>
      </c>
      <c r="I159">
        <v>0</v>
      </c>
      <c r="J159">
        <v>40</v>
      </c>
      <c r="K159" s="12" t="s">
        <v>176</v>
      </c>
      <c r="L159">
        <v>0</v>
      </c>
      <c r="M159">
        <v>0</v>
      </c>
      <c r="O159" s="39"/>
      <c r="P159" s="16">
        <v>9371.51</v>
      </c>
      <c r="S159" s="17"/>
    </row>
    <row r="160" spans="1:19" x14ac:dyDescent="0.4">
      <c r="A160">
        <v>1699810</v>
      </c>
      <c r="B160" s="15">
        <v>28</v>
      </c>
      <c r="C160" s="12" t="s">
        <v>122</v>
      </c>
      <c r="D160" s="12" t="s">
        <v>134</v>
      </c>
      <c r="E160" s="12" t="s">
        <v>152</v>
      </c>
      <c r="F160" s="12" t="s">
        <v>157</v>
      </c>
      <c r="G160" s="14">
        <f t="shared" ca="1" si="2"/>
        <v>48940.120840502328</v>
      </c>
      <c r="H160" s="12" t="s">
        <v>172</v>
      </c>
      <c r="I160">
        <v>0</v>
      </c>
      <c r="J160">
        <v>55</v>
      </c>
      <c r="K160" s="12" t="s">
        <v>176</v>
      </c>
      <c r="L160">
        <v>0</v>
      </c>
      <c r="M160">
        <v>0</v>
      </c>
      <c r="O160" s="39"/>
      <c r="P160" s="15">
        <v>35189.050000000003</v>
      </c>
      <c r="S160" s="17"/>
    </row>
    <row r="161" spans="1:19" x14ac:dyDescent="0.4">
      <c r="A161">
        <v>1706370</v>
      </c>
      <c r="B161" s="16">
        <v>37</v>
      </c>
      <c r="C161" s="12" t="s">
        <v>122</v>
      </c>
      <c r="D161" s="12" t="s">
        <v>143</v>
      </c>
      <c r="E161" s="12" t="s">
        <v>150</v>
      </c>
      <c r="F161" s="12" t="s">
        <v>158</v>
      </c>
      <c r="G161" s="14">
        <f t="shared" ca="1" si="2"/>
        <v>123041.64795215022</v>
      </c>
      <c r="H161" s="12" t="s">
        <v>171</v>
      </c>
      <c r="I161">
        <v>0</v>
      </c>
      <c r="J161">
        <v>40</v>
      </c>
      <c r="K161" s="12" t="s">
        <v>179</v>
      </c>
      <c r="L161">
        <v>0</v>
      </c>
      <c r="M161">
        <v>0</v>
      </c>
      <c r="O161" s="39"/>
      <c r="P161" s="16">
        <v>98176.24</v>
      </c>
      <c r="S161" s="17"/>
    </row>
    <row r="162" spans="1:19" x14ac:dyDescent="0.4">
      <c r="A162">
        <v>1709319</v>
      </c>
      <c r="B162" s="15">
        <v>39</v>
      </c>
      <c r="C162" s="12" t="s">
        <v>122</v>
      </c>
      <c r="D162" s="12" t="s">
        <v>135</v>
      </c>
      <c r="E162" s="12" t="s">
        <v>152</v>
      </c>
      <c r="F162" s="12" t="s">
        <v>160</v>
      </c>
      <c r="G162" s="14">
        <f t="shared" ca="1" si="2"/>
        <v>38526.226085006776</v>
      </c>
      <c r="H162" s="12" t="s">
        <v>172</v>
      </c>
      <c r="I162">
        <v>0</v>
      </c>
      <c r="J162">
        <v>45</v>
      </c>
      <c r="K162" s="12" t="s">
        <v>176</v>
      </c>
      <c r="L162">
        <v>0</v>
      </c>
      <c r="M162">
        <v>0</v>
      </c>
      <c r="O162" s="39"/>
      <c r="P162" s="15">
        <v>22030.33</v>
      </c>
      <c r="S162" s="17"/>
    </row>
    <row r="163" spans="1:19" x14ac:dyDescent="0.4">
      <c r="A163">
        <v>1711915</v>
      </c>
      <c r="B163" s="16">
        <v>62</v>
      </c>
      <c r="C163" s="12" t="s">
        <v>126</v>
      </c>
      <c r="D163" s="12" t="s">
        <v>135</v>
      </c>
      <c r="E163" s="12" t="s">
        <v>151</v>
      </c>
      <c r="F163" s="12" t="s">
        <v>144</v>
      </c>
      <c r="G163" s="14">
        <f t="shared" ca="1" si="2"/>
        <v>79190.010898361375</v>
      </c>
      <c r="H163" s="12" t="s">
        <v>172</v>
      </c>
      <c r="I163">
        <v>0</v>
      </c>
      <c r="J163">
        <v>40</v>
      </c>
      <c r="K163" s="12" t="s">
        <v>176</v>
      </c>
      <c r="L163">
        <v>0</v>
      </c>
      <c r="M163">
        <v>0</v>
      </c>
      <c r="O163" s="39"/>
      <c r="P163" s="16">
        <v>77664.69</v>
      </c>
      <c r="S163" s="17"/>
    </row>
    <row r="164" spans="1:19" x14ac:dyDescent="0.4">
      <c r="A164">
        <v>1718282</v>
      </c>
      <c r="B164" s="15">
        <v>41</v>
      </c>
      <c r="C164" s="12" t="s">
        <v>122</v>
      </c>
      <c r="D164" s="12" t="s">
        <v>135</v>
      </c>
      <c r="E164" s="12" t="s">
        <v>152</v>
      </c>
      <c r="F164" s="12" t="s">
        <v>144</v>
      </c>
      <c r="G164" s="14">
        <f t="shared" ca="1" si="2"/>
        <v>35884.74323780273</v>
      </c>
      <c r="H164" s="12" t="s">
        <v>172</v>
      </c>
      <c r="I164">
        <v>0</v>
      </c>
      <c r="J164">
        <v>40</v>
      </c>
      <c r="K164" s="12" t="s">
        <v>176</v>
      </c>
      <c r="L164">
        <v>-961</v>
      </c>
      <c r="M164">
        <v>1</v>
      </c>
      <c r="O164" s="39"/>
      <c r="P164" s="15">
        <v>18754.25</v>
      </c>
      <c r="S164" s="17"/>
    </row>
    <row r="165" spans="1:19" x14ac:dyDescent="0.4">
      <c r="A165">
        <v>1718309</v>
      </c>
      <c r="B165" s="16">
        <v>44</v>
      </c>
      <c r="C165" s="12" t="s">
        <v>125</v>
      </c>
      <c r="D165" s="12" t="s">
        <v>135</v>
      </c>
      <c r="E165" s="12" t="s">
        <v>151</v>
      </c>
      <c r="F165" s="12" t="s">
        <v>144</v>
      </c>
      <c r="G165" s="14">
        <f t="shared" ca="1" si="2"/>
        <v>375227.58040275483</v>
      </c>
      <c r="H165" s="12" t="s">
        <v>171</v>
      </c>
      <c r="I165">
        <v>0</v>
      </c>
      <c r="J165">
        <v>60</v>
      </c>
      <c r="K165" s="12" t="s">
        <v>176</v>
      </c>
      <c r="L165">
        <v>0</v>
      </c>
      <c r="M165">
        <v>0</v>
      </c>
      <c r="O165" s="39"/>
      <c r="P165" s="16">
        <v>243076.64</v>
      </c>
      <c r="S165" s="17"/>
    </row>
    <row r="166" spans="1:19" x14ac:dyDescent="0.4">
      <c r="A166">
        <v>1722201</v>
      </c>
      <c r="B166" s="15">
        <v>43</v>
      </c>
      <c r="C166" s="12" t="s">
        <v>122</v>
      </c>
      <c r="D166" s="12" t="s">
        <v>134</v>
      </c>
      <c r="E166" s="12" t="s">
        <v>151</v>
      </c>
      <c r="F166" s="12" t="s">
        <v>158</v>
      </c>
      <c r="G166" s="14">
        <f t="shared" ca="1" si="2"/>
        <v>59628.750321198509</v>
      </c>
      <c r="H166" s="12" t="s">
        <v>171</v>
      </c>
      <c r="I166">
        <v>0</v>
      </c>
      <c r="J166">
        <v>40</v>
      </c>
      <c r="K166" s="12" t="s">
        <v>176</v>
      </c>
      <c r="L166">
        <v>0</v>
      </c>
      <c r="M166">
        <v>0</v>
      </c>
      <c r="O166" s="39"/>
      <c r="P166" s="15">
        <v>43002.61</v>
      </c>
      <c r="S166" s="17"/>
    </row>
    <row r="167" spans="1:19" x14ac:dyDescent="0.4">
      <c r="A167">
        <v>1722542</v>
      </c>
      <c r="B167" s="16">
        <v>29</v>
      </c>
      <c r="C167" s="12" t="s">
        <v>122</v>
      </c>
      <c r="D167" s="12" t="s">
        <v>132</v>
      </c>
      <c r="E167" s="12" t="s">
        <v>150</v>
      </c>
      <c r="F167" s="12" t="s">
        <v>144</v>
      </c>
      <c r="G167" s="14">
        <f t="shared" ca="1" si="2"/>
        <v>161846.65926341267</v>
      </c>
      <c r="H167" s="12" t="s">
        <v>171</v>
      </c>
      <c r="I167">
        <v>0</v>
      </c>
      <c r="J167">
        <v>40</v>
      </c>
      <c r="K167" s="12" t="s">
        <v>176</v>
      </c>
      <c r="L167">
        <v>0</v>
      </c>
      <c r="M167">
        <v>0</v>
      </c>
      <c r="O167" s="39"/>
      <c r="P167" s="16">
        <v>88981.36</v>
      </c>
      <c r="S167" s="17"/>
    </row>
    <row r="168" spans="1:19" x14ac:dyDescent="0.4">
      <c r="A168">
        <v>1723024</v>
      </c>
      <c r="B168" s="15">
        <v>42</v>
      </c>
      <c r="C168" s="12" t="s">
        <v>122</v>
      </c>
      <c r="D168" s="12" t="s">
        <v>135</v>
      </c>
      <c r="E168" s="12" t="s">
        <v>152</v>
      </c>
      <c r="F168" s="12" t="s">
        <v>160</v>
      </c>
      <c r="G168" s="14">
        <f t="shared" ca="1" si="2"/>
        <v>129295.5607861522</v>
      </c>
      <c r="H168" s="12" t="s">
        <v>172</v>
      </c>
      <c r="I168">
        <v>0</v>
      </c>
      <c r="J168">
        <v>40</v>
      </c>
      <c r="K168" s="12" t="s">
        <v>176</v>
      </c>
      <c r="L168">
        <v>0</v>
      </c>
      <c r="M168">
        <v>0</v>
      </c>
      <c r="O168" s="39"/>
      <c r="P168" s="15">
        <v>66952.28</v>
      </c>
      <c r="S168" s="17"/>
    </row>
    <row r="169" spans="1:19" x14ac:dyDescent="0.4">
      <c r="A169">
        <v>1731662</v>
      </c>
      <c r="B169" s="16">
        <v>40</v>
      </c>
      <c r="C169" s="12" t="s">
        <v>122</v>
      </c>
      <c r="D169" s="12" t="s">
        <v>134</v>
      </c>
      <c r="E169" s="12" t="s">
        <v>152</v>
      </c>
      <c r="F169" s="12" t="s">
        <v>159</v>
      </c>
      <c r="G169" s="14">
        <f t="shared" ca="1" si="2"/>
        <v>261426.81061892986</v>
      </c>
      <c r="H169" s="12" t="s">
        <v>171</v>
      </c>
      <c r="I169">
        <v>0</v>
      </c>
      <c r="J169">
        <v>40</v>
      </c>
      <c r="K169" s="12" t="s">
        <v>176</v>
      </c>
      <c r="L169">
        <v>7298</v>
      </c>
      <c r="M169">
        <v>1</v>
      </c>
      <c r="O169" s="39"/>
      <c r="P169" s="16">
        <v>144187.19</v>
      </c>
      <c r="S169" s="17"/>
    </row>
    <row r="170" spans="1:19" x14ac:dyDescent="0.4">
      <c r="A170">
        <v>1742535</v>
      </c>
      <c r="B170" s="15">
        <v>29</v>
      </c>
      <c r="C170" s="12" t="s">
        <v>127</v>
      </c>
      <c r="D170" s="12" t="s">
        <v>132</v>
      </c>
      <c r="E170" s="12" t="s">
        <v>152</v>
      </c>
      <c r="F170" s="12" t="s">
        <v>158</v>
      </c>
      <c r="G170" s="14">
        <f t="shared" ca="1" si="2"/>
        <v>87338.066698597831</v>
      </c>
      <c r="H170" s="12" t="s">
        <v>172</v>
      </c>
      <c r="I170">
        <v>0</v>
      </c>
      <c r="J170">
        <v>40</v>
      </c>
      <c r="K170" s="12" t="s">
        <v>176</v>
      </c>
      <c r="L170">
        <v>5298</v>
      </c>
      <c r="M170">
        <v>1</v>
      </c>
      <c r="O170" s="39"/>
      <c r="P170" s="15">
        <v>54390.65</v>
      </c>
      <c r="S170" s="17"/>
    </row>
    <row r="171" spans="1:19" x14ac:dyDescent="0.4">
      <c r="A171">
        <v>1747347</v>
      </c>
      <c r="B171" s="16">
        <v>55</v>
      </c>
      <c r="C171" s="12" t="s">
        <v>127</v>
      </c>
      <c r="D171" s="12" t="s">
        <v>132</v>
      </c>
      <c r="E171" s="12" t="s">
        <v>152</v>
      </c>
      <c r="F171" s="12" t="s">
        <v>158</v>
      </c>
      <c r="G171" s="14">
        <f t="shared" ca="1" si="2"/>
        <v>56516.691789081728</v>
      </c>
      <c r="H171" s="12" t="s">
        <v>172</v>
      </c>
      <c r="I171">
        <v>0</v>
      </c>
      <c r="J171">
        <v>40</v>
      </c>
      <c r="K171" s="12" t="s">
        <v>176</v>
      </c>
      <c r="L171">
        <v>2889</v>
      </c>
      <c r="M171">
        <v>1</v>
      </c>
      <c r="O171" s="39"/>
      <c r="P171" s="16">
        <v>45804.12</v>
      </c>
      <c r="S171" s="17"/>
    </row>
    <row r="172" spans="1:19" x14ac:dyDescent="0.4">
      <c r="A172">
        <v>1761439</v>
      </c>
      <c r="B172" s="15">
        <v>45</v>
      </c>
      <c r="C172" s="12" t="s">
        <v>125</v>
      </c>
      <c r="D172" s="12" t="s">
        <v>138</v>
      </c>
      <c r="E172" s="12" t="s">
        <v>151</v>
      </c>
      <c r="F172" s="12" t="s">
        <v>144</v>
      </c>
      <c r="G172" s="14">
        <f t="shared" ca="1" si="2"/>
        <v>159651.48810564139</v>
      </c>
      <c r="H172" s="12" t="s">
        <v>171</v>
      </c>
      <c r="I172">
        <v>0</v>
      </c>
      <c r="J172">
        <v>40</v>
      </c>
      <c r="K172" s="12" t="s">
        <v>176</v>
      </c>
      <c r="L172">
        <v>0</v>
      </c>
      <c r="M172">
        <v>0</v>
      </c>
      <c r="O172" s="39"/>
      <c r="P172" s="15">
        <v>133907.32999999999</v>
      </c>
      <c r="S172" s="17"/>
    </row>
    <row r="173" spans="1:19" x14ac:dyDescent="0.4">
      <c r="A173">
        <v>1767024</v>
      </c>
      <c r="B173" s="16">
        <v>30</v>
      </c>
      <c r="C173" s="12" t="s">
        <v>122</v>
      </c>
      <c r="D173" s="12" t="s">
        <v>134</v>
      </c>
      <c r="E173" s="12" t="s">
        <v>152</v>
      </c>
      <c r="F173" s="12" t="s">
        <v>160</v>
      </c>
      <c r="G173" s="14">
        <f t="shared" ca="1" si="2"/>
        <v>100193.92922528664</v>
      </c>
      <c r="H173" s="12" t="s">
        <v>172</v>
      </c>
      <c r="I173">
        <v>0</v>
      </c>
      <c r="J173">
        <v>50</v>
      </c>
      <c r="K173" s="12" t="s">
        <v>176</v>
      </c>
      <c r="L173">
        <v>0</v>
      </c>
      <c r="M173">
        <v>0</v>
      </c>
      <c r="O173" s="39"/>
      <c r="P173" s="16">
        <v>56622.85</v>
      </c>
      <c r="S173" s="17"/>
    </row>
    <row r="174" spans="1:19" x14ac:dyDescent="0.4">
      <c r="A174">
        <v>1770057</v>
      </c>
      <c r="B174" s="15">
        <v>34</v>
      </c>
      <c r="C174" s="12" t="s">
        <v>122</v>
      </c>
      <c r="D174" s="12" t="s">
        <v>134</v>
      </c>
      <c r="E174" s="12" t="s">
        <v>152</v>
      </c>
      <c r="F174" s="12" t="s">
        <v>160</v>
      </c>
      <c r="G174" s="14">
        <f t="shared" ca="1" si="2"/>
        <v>8556.9268925450378</v>
      </c>
      <c r="H174" s="12" t="s">
        <v>172</v>
      </c>
      <c r="I174">
        <v>0</v>
      </c>
      <c r="J174">
        <v>40</v>
      </c>
      <c r="K174" s="12" t="s">
        <v>176</v>
      </c>
      <c r="L174">
        <v>0</v>
      </c>
      <c r="M174">
        <v>1</v>
      </c>
      <c r="O174" s="39"/>
      <c r="P174" s="15">
        <v>4524.8599999999997</v>
      </c>
      <c r="S174" s="17"/>
    </row>
    <row r="175" spans="1:19" x14ac:dyDescent="0.4">
      <c r="A175">
        <v>1777740</v>
      </c>
      <c r="B175" s="16">
        <v>46</v>
      </c>
      <c r="C175" s="12" t="s">
        <v>122</v>
      </c>
      <c r="D175" s="12" t="s">
        <v>134</v>
      </c>
      <c r="E175" s="12" t="s">
        <v>152</v>
      </c>
      <c r="F175" s="12" t="s">
        <v>162</v>
      </c>
      <c r="G175" s="14">
        <f t="shared" ca="1" si="2"/>
        <v>55306.389677129278</v>
      </c>
      <c r="H175" s="12" t="s">
        <v>172</v>
      </c>
      <c r="I175">
        <v>0</v>
      </c>
      <c r="J175">
        <v>45</v>
      </c>
      <c r="K175" s="12" t="s">
        <v>176</v>
      </c>
      <c r="L175">
        <v>3875</v>
      </c>
      <c r="M175">
        <v>1</v>
      </c>
      <c r="O175" s="39"/>
      <c r="P175" s="16">
        <v>32944.03</v>
      </c>
      <c r="S175" s="17"/>
    </row>
    <row r="176" spans="1:19" x14ac:dyDescent="0.4">
      <c r="A176">
        <v>1782051</v>
      </c>
      <c r="B176" s="15">
        <v>54</v>
      </c>
      <c r="C176" s="12" t="s">
        <v>126</v>
      </c>
      <c r="D176" s="12" t="s">
        <v>141</v>
      </c>
      <c r="E176" s="12" t="s">
        <v>150</v>
      </c>
      <c r="F176" s="12" t="s">
        <v>160</v>
      </c>
      <c r="G176" s="14">
        <f t="shared" ca="1" si="2"/>
        <v>127299.67700367684</v>
      </c>
      <c r="H176" s="12" t="s">
        <v>171</v>
      </c>
      <c r="I176">
        <v>0</v>
      </c>
      <c r="J176">
        <v>50</v>
      </c>
      <c r="K176" s="12" t="s">
        <v>176</v>
      </c>
      <c r="L176">
        <v>7879</v>
      </c>
      <c r="M176">
        <v>1</v>
      </c>
      <c r="O176" s="39"/>
      <c r="P176" s="15">
        <v>71715.5</v>
      </c>
      <c r="S176" s="17"/>
    </row>
    <row r="177" spans="1:19" x14ac:dyDescent="0.4">
      <c r="A177">
        <v>1782989</v>
      </c>
      <c r="B177" s="16">
        <v>19</v>
      </c>
      <c r="C177" s="12" t="s">
        <v>122</v>
      </c>
      <c r="D177" s="12" t="s">
        <v>132</v>
      </c>
      <c r="E177" s="12" t="s">
        <v>150</v>
      </c>
      <c r="F177" s="12" t="s">
        <v>162</v>
      </c>
      <c r="G177" s="14">
        <f t="shared" ca="1" si="2"/>
        <v>135035.25987354148</v>
      </c>
      <c r="H177" s="12" t="s">
        <v>171</v>
      </c>
      <c r="I177">
        <v>0</v>
      </c>
      <c r="J177">
        <v>30</v>
      </c>
      <c r="K177" s="12" t="s">
        <v>176</v>
      </c>
      <c r="L177">
        <v>0</v>
      </c>
      <c r="M177">
        <v>0</v>
      </c>
      <c r="O177" s="39"/>
      <c r="P177" s="16">
        <v>93070</v>
      </c>
      <c r="S177" s="17"/>
    </row>
    <row r="178" spans="1:19" x14ac:dyDescent="0.4">
      <c r="A178">
        <v>1787841</v>
      </c>
      <c r="B178" s="15">
        <v>37</v>
      </c>
      <c r="C178" s="12" t="s">
        <v>122</v>
      </c>
      <c r="D178" s="12" t="s">
        <v>138</v>
      </c>
      <c r="E178" s="12" t="s">
        <v>152</v>
      </c>
      <c r="F178" s="12" t="s">
        <v>163</v>
      </c>
      <c r="G178" s="14">
        <f t="shared" ca="1" si="2"/>
        <v>50509.855553457819</v>
      </c>
      <c r="H178" s="12" t="s">
        <v>172</v>
      </c>
      <c r="I178">
        <v>0</v>
      </c>
      <c r="J178">
        <v>60</v>
      </c>
      <c r="K178" s="12" t="s">
        <v>176</v>
      </c>
      <c r="L178">
        <v>5627</v>
      </c>
      <c r="M178">
        <v>1</v>
      </c>
      <c r="O178" s="39"/>
      <c r="P178" s="15">
        <v>30353.77</v>
      </c>
      <c r="S178" s="17"/>
    </row>
    <row r="179" spans="1:19" x14ac:dyDescent="0.4">
      <c r="A179">
        <v>1792615</v>
      </c>
      <c r="B179" s="16">
        <v>61</v>
      </c>
      <c r="C179" s="12" t="s">
        <v>122</v>
      </c>
      <c r="D179" s="12" t="s">
        <v>145</v>
      </c>
      <c r="E179" s="12" t="s">
        <v>151</v>
      </c>
      <c r="F179" s="12" t="s">
        <v>161</v>
      </c>
      <c r="G179" s="14">
        <f t="shared" ca="1" si="2"/>
        <v>321790.09900937515</v>
      </c>
      <c r="H179" s="12" t="s">
        <v>171</v>
      </c>
      <c r="I179">
        <v>0</v>
      </c>
      <c r="J179">
        <v>40</v>
      </c>
      <c r="K179" s="12" t="s">
        <v>176</v>
      </c>
      <c r="L179">
        <v>0</v>
      </c>
      <c r="M179">
        <v>0</v>
      </c>
      <c r="O179" s="39"/>
      <c r="P179" s="16">
        <v>184682.08</v>
      </c>
      <c r="S179" s="17"/>
    </row>
    <row r="180" spans="1:19" x14ac:dyDescent="0.4">
      <c r="A180">
        <v>1796280</v>
      </c>
      <c r="B180" s="15">
        <v>50</v>
      </c>
      <c r="C180" s="12" t="s">
        <v>122</v>
      </c>
      <c r="D180" s="12" t="s">
        <v>134</v>
      </c>
      <c r="E180" s="12" t="s">
        <v>152</v>
      </c>
      <c r="F180" s="12" t="s">
        <v>159</v>
      </c>
      <c r="G180" s="14">
        <f t="shared" ca="1" si="2"/>
        <v>18912.562795616363</v>
      </c>
      <c r="H180" s="12" t="s">
        <v>172</v>
      </c>
      <c r="I180">
        <v>0</v>
      </c>
      <c r="J180">
        <v>40</v>
      </c>
      <c r="K180" s="12" t="s">
        <v>176</v>
      </c>
      <c r="L180">
        <v>0</v>
      </c>
      <c r="M180">
        <v>0</v>
      </c>
      <c r="O180" s="39"/>
      <c r="P180" s="15">
        <v>16026.5</v>
      </c>
      <c r="S180" s="17"/>
    </row>
    <row r="181" spans="1:19" x14ac:dyDescent="0.4">
      <c r="A181">
        <v>1797150</v>
      </c>
      <c r="B181" s="16">
        <v>70</v>
      </c>
      <c r="C181" s="12" t="s">
        <v>122</v>
      </c>
      <c r="D181" s="12" t="s">
        <v>135</v>
      </c>
      <c r="E181" s="12" t="s">
        <v>152</v>
      </c>
      <c r="F181" s="12" t="s">
        <v>164</v>
      </c>
      <c r="G181" s="14">
        <f t="shared" ca="1" si="2"/>
        <v>132403.88350843117</v>
      </c>
      <c r="H181" s="12" t="s">
        <v>172</v>
      </c>
      <c r="I181">
        <v>0</v>
      </c>
      <c r="J181">
        <v>40</v>
      </c>
      <c r="K181" s="12" t="s">
        <v>176</v>
      </c>
      <c r="L181">
        <v>6418</v>
      </c>
      <c r="M181">
        <v>1</v>
      </c>
      <c r="O181" s="39"/>
      <c r="P181" s="16">
        <v>72715.960000000006</v>
      </c>
      <c r="S181" s="17"/>
    </row>
    <row r="182" spans="1:19" x14ac:dyDescent="0.4">
      <c r="A182">
        <v>1797445</v>
      </c>
      <c r="B182" s="15">
        <v>51</v>
      </c>
      <c r="C182" s="12" t="s">
        <v>122</v>
      </c>
      <c r="D182" s="12" t="s">
        <v>134</v>
      </c>
      <c r="E182" s="12" t="s">
        <v>149</v>
      </c>
      <c r="F182" s="12" t="s">
        <v>161</v>
      </c>
      <c r="G182" s="14">
        <f t="shared" ca="1" si="2"/>
        <v>96587.930807599216</v>
      </c>
      <c r="H182" s="12" t="s">
        <v>172</v>
      </c>
      <c r="I182">
        <v>1250.6666666666699</v>
      </c>
      <c r="J182">
        <v>40</v>
      </c>
      <c r="K182" s="12" t="s">
        <v>176</v>
      </c>
      <c r="L182">
        <v>0</v>
      </c>
      <c r="M182">
        <v>0</v>
      </c>
      <c r="O182" s="39"/>
      <c r="P182" s="15">
        <v>70442.44</v>
      </c>
      <c r="S182" s="17"/>
    </row>
    <row r="183" spans="1:19" x14ac:dyDescent="0.4">
      <c r="A183">
        <v>1807406</v>
      </c>
      <c r="B183" s="16">
        <v>56</v>
      </c>
      <c r="C183" s="12" t="s">
        <v>122</v>
      </c>
      <c r="D183" s="12" t="s">
        <v>145</v>
      </c>
      <c r="E183" s="12" t="s">
        <v>152</v>
      </c>
      <c r="F183" s="12" t="s">
        <v>159</v>
      </c>
      <c r="G183" s="14">
        <f t="shared" ca="1" si="2"/>
        <v>80595.07557730563</v>
      </c>
      <c r="H183" s="12" t="s">
        <v>172</v>
      </c>
      <c r="I183">
        <v>0</v>
      </c>
      <c r="J183">
        <v>26</v>
      </c>
      <c r="K183" s="12" t="s">
        <v>176</v>
      </c>
      <c r="L183">
        <v>0</v>
      </c>
      <c r="M183">
        <v>0</v>
      </c>
      <c r="O183" s="39"/>
      <c r="P183" s="16">
        <v>49237.33</v>
      </c>
      <c r="S183" s="17"/>
    </row>
    <row r="184" spans="1:19" x14ac:dyDescent="0.4">
      <c r="A184">
        <v>1808117</v>
      </c>
      <c r="B184" s="15">
        <v>18</v>
      </c>
      <c r="C184" s="12" t="s">
        <v>122</v>
      </c>
      <c r="D184" s="12" t="s">
        <v>136</v>
      </c>
      <c r="E184" s="12" t="s">
        <v>150</v>
      </c>
      <c r="F184" s="12" t="s">
        <v>156</v>
      </c>
      <c r="G184" s="14">
        <f t="shared" ca="1" si="2"/>
        <v>103749.80048925953</v>
      </c>
      <c r="H184" s="12" t="s">
        <v>171</v>
      </c>
      <c r="I184">
        <v>0</v>
      </c>
      <c r="J184">
        <v>25</v>
      </c>
      <c r="K184" s="12" t="s">
        <v>176</v>
      </c>
      <c r="L184">
        <v>0</v>
      </c>
      <c r="M184">
        <v>0</v>
      </c>
      <c r="O184" s="39"/>
      <c r="P184" s="15">
        <v>52489.11</v>
      </c>
      <c r="S184" s="17"/>
    </row>
    <row r="185" spans="1:19" x14ac:dyDescent="0.4">
      <c r="A185">
        <v>1819322</v>
      </c>
      <c r="B185" s="16">
        <v>21</v>
      </c>
      <c r="C185" s="12" t="s">
        <v>122</v>
      </c>
      <c r="D185" s="12" t="s">
        <v>137</v>
      </c>
      <c r="E185" s="12" t="s">
        <v>150</v>
      </c>
      <c r="F185" s="12" t="s">
        <v>165</v>
      </c>
      <c r="G185" s="14">
        <f t="shared" ca="1" si="2"/>
        <v>92127.674075426607</v>
      </c>
      <c r="H185" s="12" t="s">
        <v>171</v>
      </c>
      <c r="I185">
        <v>1068</v>
      </c>
      <c r="J185">
        <v>30</v>
      </c>
      <c r="K185" s="12" t="s">
        <v>176</v>
      </c>
      <c r="L185">
        <v>0</v>
      </c>
      <c r="M185">
        <v>0</v>
      </c>
      <c r="O185" s="39"/>
      <c r="P185" s="16">
        <v>82725.179999999993</v>
      </c>
      <c r="S185" s="17"/>
    </row>
    <row r="186" spans="1:19" x14ac:dyDescent="0.4">
      <c r="A186">
        <v>1823237</v>
      </c>
      <c r="B186" s="15">
        <v>65</v>
      </c>
      <c r="C186" s="12" t="s">
        <v>122</v>
      </c>
      <c r="D186" s="12" t="s">
        <v>134</v>
      </c>
      <c r="E186" s="12" t="s">
        <v>153</v>
      </c>
      <c r="F186" s="12" t="s">
        <v>158</v>
      </c>
      <c r="G186" s="14">
        <f t="shared" ca="1" si="2"/>
        <v>221773.85241667152</v>
      </c>
      <c r="H186" s="12" t="s">
        <v>171</v>
      </c>
      <c r="I186">
        <v>0</v>
      </c>
      <c r="J186">
        <v>20</v>
      </c>
      <c r="K186" s="12" t="s">
        <v>176</v>
      </c>
      <c r="L186">
        <v>0</v>
      </c>
      <c r="M186">
        <v>0</v>
      </c>
      <c r="O186" s="39"/>
      <c r="P186" s="15">
        <v>115548.72</v>
      </c>
      <c r="S186" s="17"/>
    </row>
    <row r="187" spans="1:19" x14ac:dyDescent="0.4">
      <c r="A187">
        <v>1824560</v>
      </c>
      <c r="B187" s="16">
        <v>24</v>
      </c>
      <c r="C187" s="12" t="s">
        <v>122</v>
      </c>
      <c r="D187" s="12" t="s">
        <v>132</v>
      </c>
      <c r="E187" s="12" t="s">
        <v>150</v>
      </c>
      <c r="F187" s="12" t="s">
        <v>156</v>
      </c>
      <c r="G187" s="14">
        <f t="shared" ca="1" si="2"/>
        <v>211599.47307229842</v>
      </c>
      <c r="H187" s="12" t="s">
        <v>171</v>
      </c>
      <c r="I187">
        <v>0</v>
      </c>
      <c r="J187">
        <v>35</v>
      </c>
      <c r="K187" s="12" t="s">
        <v>176</v>
      </c>
      <c r="L187">
        <v>0</v>
      </c>
      <c r="M187">
        <v>0</v>
      </c>
      <c r="O187" s="39"/>
      <c r="P187" s="16">
        <v>113979.53</v>
      </c>
      <c r="S187" s="17"/>
    </row>
    <row r="188" spans="1:19" x14ac:dyDescent="0.4">
      <c r="A188">
        <v>1827120</v>
      </c>
      <c r="B188" s="15">
        <v>35</v>
      </c>
      <c r="C188" s="12" t="s">
        <v>124</v>
      </c>
      <c r="D188" s="12" t="s">
        <v>135</v>
      </c>
      <c r="E188" s="12" t="s">
        <v>149</v>
      </c>
      <c r="F188" s="12" t="s">
        <v>144</v>
      </c>
      <c r="G188" s="14">
        <f t="shared" ca="1" si="2"/>
        <v>82313.574217759728</v>
      </c>
      <c r="H188" s="12" t="s">
        <v>171</v>
      </c>
      <c r="I188">
        <v>0</v>
      </c>
      <c r="J188">
        <v>50</v>
      </c>
      <c r="K188" s="12" t="s">
        <v>176</v>
      </c>
      <c r="L188">
        <v>0</v>
      </c>
      <c r="M188">
        <v>0</v>
      </c>
      <c r="O188" s="39"/>
      <c r="P188" s="15">
        <v>42736.77</v>
      </c>
      <c r="S188" s="17"/>
    </row>
    <row r="189" spans="1:19" x14ac:dyDescent="0.4">
      <c r="A189">
        <v>1833635</v>
      </c>
      <c r="B189" s="16">
        <v>32</v>
      </c>
      <c r="C189" s="12" t="s">
        <v>122</v>
      </c>
      <c r="D189" s="12" t="s">
        <v>132</v>
      </c>
      <c r="E189" s="12" t="s">
        <v>150</v>
      </c>
      <c r="F189" s="12" t="s">
        <v>159</v>
      </c>
      <c r="G189" s="14">
        <f t="shared" ca="1" si="2"/>
        <v>147550.7455211046</v>
      </c>
      <c r="H189" s="12" t="s">
        <v>172</v>
      </c>
      <c r="I189">
        <v>0</v>
      </c>
      <c r="J189">
        <v>72</v>
      </c>
      <c r="K189" s="12" t="s">
        <v>179</v>
      </c>
      <c r="L189">
        <v>0</v>
      </c>
      <c r="M189">
        <v>0</v>
      </c>
      <c r="O189" s="39"/>
      <c r="P189" s="16">
        <v>96488.54</v>
      </c>
      <c r="S189" s="17"/>
    </row>
    <row r="190" spans="1:19" x14ac:dyDescent="0.4">
      <c r="A190">
        <v>1834675</v>
      </c>
      <c r="B190" s="15">
        <v>42</v>
      </c>
      <c r="C190" s="12" t="s">
        <v>122</v>
      </c>
      <c r="D190" s="12" t="s">
        <v>135</v>
      </c>
      <c r="E190" s="12" t="s">
        <v>154</v>
      </c>
      <c r="F190" s="12" t="s">
        <v>157</v>
      </c>
      <c r="G190" s="14">
        <f t="shared" ca="1" si="2"/>
        <v>175883.94590761111</v>
      </c>
      <c r="H190" s="12" t="s">
        <v>172</v>
      </c>
      <c r="I190">
        <v>0</v>
      </c>
      <c r="J190">
        <v>60</v>
      </c>
      <c r="K190" s="12" t="s">
        <v>176</v>
      </c>
      <c r="L190">
        <v>0</v>
      </c>
      <c r="M190">
        <v>0</v>
      </c>
      <c r="O190" s="39"/>
      <c r="P190" s="15">
        <v>97187.73</v>
      </c>
      <c r="S190" s="17"/>
    </row>
    <row r="191" spans="1:19" x14ac:dyDescent="0.4">
      <c r="A191">
        <v>1838203</v>
      </c>
      <c r="B191" s="16">
        <v>34</v>
      </c>
      <c r="C191" s="12" t="s">
        <v>122</v>
      </c>
      <c r="D191" s="12" t="s">
        <v>135</v>
      </c>
      <c r="E191" s="12" t="s">
        <v>152</v>
      </c>
      <c r="F191" s="12" t="s">
        <v>160</v>
      </c>
      <c r="G191" s="14">
        <f t="shared" ca="1" si="2"/>
        <v>43836.010798033742</v>
      </c>
      <c r="H191" s="12" t="s">
        <v>172</v>
      </c>
      <c r="I191">
        <v>1977</v>
      </c>
      <c r="J191">
        <v>45</v>
      </c>
      <c r="K191" s="12" t="s">
        <v>176</v>
      </c>
      <c r="L191">
        <v>4033</v>
      </c>
      <c r="M191">
        <v>1</v>
      </c>
      <c r="O191" s="39"/>
      <c r="P191" s="16">
        <v>35573.040000000001</v>
      </c>
      <c r="S191" s="17"/>
    </row>
    <row r="192" spans="1:19" x14ac:dyDescent="0.4">
      <c r="A192">
        <v>1839135</v>
      </c>
      <c r="B192" s="15">
        <v>53</v>
      </c>
      <c r="C192" s="12" t="s">
        <v>122</v>
      </c>
      <c r="D192" s="12" t="s">
        <v>134</v>
      </c>
      <c r="E192" s="12" t="s">
        <v>152</v>
      </c>
      <c r="F192" s="12" t="s">
        <v>160</v>
      </c>
      <c r="G192" s="14">
        <f t="shared" ca="1" si="2"/>
        <v>45485.602301776722</v>
      </c>
      <c r="H192" s="12" t="s">
        <v>172</v>
      </c>
      <c r="I192">
        <v>0</v>
      </c>
      <c r="J192">
        <v>60</v>
      </c>
      <c r="K192" s="12" t="s">
        <v>176</v>
      </c>
      <c r="L192">
        <v>2890</v>
      </c>
      <c r="M192">
        <v>1</v>
      </c>
      <c r="O192" s="39"/>
      <c r="P192" s="15">
        <v>30301.98</v>
      </c>
      <c r="S192" s="17"/>
    </row>
    <row r="193" spans="1:19" x14ac:dyDescent="0.4">
      <c r="A193">
        <v>1841487</v>
      </c>
      <c r="B193" s="16">
        <v>30</v>
      </c>
      <c r="C193" s="12" t="s">
        <v>122</v>
      </c>
      <c r="D193" s="12" t="s">
        <v>137</v>
      </c>
      <c r="E193" s="12" t="s">
        <v>152</v>
      </c>
      <c r="F193" s="12" t="s">
        <v>158</v>
      </c>
      <c r="G193" s="14">
        <f t="shared" ca="1" si="2"/>
        <v>29678.212449454713</v>
      </c>
      <c r="H193" s="12" t="s">
        <v>171</v>
      </c>
      <c r="I193">
        <v>0</v>
      </c>
      <c r="J193">
        <v>24</v>
      </c>
      <c r="K193" s="12" t="s">
        <v>176</v>
      </c>
      <c r="L193">
        <v>0</v>
      </c>
      <c r="M193">
        <v>0</v>
      </c>
      <c r="O193" s="39"/>
      <c r="P193" s="16">
        <v>21551.74</v>
      </c>
      <c r="S193" s="17"/>
    </row>
    <row r="194" spans="1:19" x14ac:dyDescent="0.4">
      <c r="A194">
        <v>1845737</v>
      </c>
      <c r="B194" s="15">
        <v>28</v>
      </c>
      <c r="C194" s="12" t="s">
        <v>122</v>
      </c>
      <c r="D194" s="12" t="s">
        <v>134</v>
      </c>
      <c r="E194" s="12" t="s">
        <v>151</v>
      </c>
      <c r="F194" s="12" t="s">
        <v>164</v>
      </c>
      <c r="G194" s="14">
        <f t="shared" ca="1" si="2"/>
        <v>84085.471858315708</v>
      </c>
      <c r="H194" s="12" t="s">
        <v>172</v>
      </c>
      <c r="I194">
        <v>0</v>
      </c>
      <c r="J194">
        <v>40</v>
      </c>
      <c r="K194" s="12" t="s">
        <v>176</v>
      </c>
      <c r="L194">
        <v>0</v>
      </c>
      <c r="M194">
        <v>0</v>
      </c>
      <c r="O194" s="39"/>
      <c r="P194" s="15">
        <v>73730.39</v>
      </c>
      <c r="S194" s="17"/>
    </row>
    <row r="195" spans="1:19" x14ac:dyDescent="0.4">
      <c r="A195">
        <v>1851537</v>
      </c>
      <c r="B195" s="16">
        <v>36</v>
      </c>
      <c r="C195" s="12" t="s">
        <v>122</v>
      </c>
      <c r="D195" s="12" t="s">
        <v>134</v>
      </c>
      <c r="E195" s="12" t="s">
        <v>150</v>
      </c>
      <c r="F195" s="12" t="s">
        <v>160</v>
      </c>
      <c r="G195" s="14">
        <f t="shared" ca="1" si="2"/>
        <v>39327.800442963417</v>
      </c>
      <c r="H195" s="12" t="s">
        <v>171</v>
      </c>
      <c r="I195">
        <v>0</v>
      </c>
      <c r="J195">
        <v>38</v>
      </c>
      <c r="K195" s="12" t="s">
        <v>176</v>
      </c>
      <c r="L195">
        <v>0</v>
      </c>
      <c r="M195">
        <v>0</v>
      </c>
      <c r="O195" s="39"/>
      <c r="P195" s="16">
        <v>22529.54</v>
      </c>
      <c r="S195" s="17"/>
    </row>
    <row r="196" spans="1:19" x14ac:dyDescent="0.4">
      <c r="A196">
        <v>1860764</v>
      </c>
      <c r="B196" s="15">
        <v>44</v>
      </c>
      <c r="C196" s="12" t="s">
        <v>123</v>
      </c>
      <c r="D196" s="12" t="s">
        <v>134</v>
      </c>
      <c r="E196" s="12" t="s">
        <v>152</v>
      </c>
      <c r="F196" s="12" t="s">
        <v>159</v>
      </c>
      <c r="G196" s="14">
        <f t="shared" ca="1" si="2"/>
        <v>61314.428401087433</v>
      </c>
      <c r="H196" s="12" t="s">
        <v>172</v>
      </c>
      <c r="I196">
        <v>0</v>
      </c>
      <c r="J196">
        <v>50</v>
      </c>
      <c r="K196" s="12" t="s">
        <v>188</v>
      </c>
      <c r="L196">
        <v>7298</v>
      </c>
      <c r="M196">
        <v>1</v>
      </c>
      <c r="O196" s="39"/>
      <c r="P196" s="15">
        <v>45104.93</v>
      </c>
      <c r="S196" s="17"/>
    </row>
    <row r="197" spans="1:19" x14ac:dyDescent="0.4">
      <c r="A197">
        <v>1861969</v>
      </c>
      <c r="B197" s="16">
        <v>34</v>
      </c>
      <c r="C197" s="12" t="s">
        <v>122</v>
      </c>
      <c r="D197" s="12" t="s">
        <v>144</v>
      </c>
      <c r="E197" s="12" t="s">
        <v>150</v>
      </c>
      <c r="F197" s="12" t="s">
        <v>144</v>
      </c>
      <c r="G197" s="14">
        <f t="shared" ca="1" si="2"/>
        <v>100095.71680649585</v>
      </c>
      <c r="H197" s="12" t="s">
        <v>171</v>
      </c>
      <c r="I197">
        <v>0</v>
      </c>
      <c r="J197">
        <v>40</v>
      </c>
      <c r="K197" s="12" t="s">
        <v>176</v>
      </c>
      <c r="L197">
        <v>0</v>
      </c>
      <c r="M197">
        <v>0</v>
      </c>
      <c r="O197" s="39"/>
      <c r="P197" s="16">
        <v>70635.850000000006</v>
      </c>
      <c r="S197" s="17"/>
    </row>
    <row r="198" spans="1:19" x14ac:dyDescent="0.4">
      <c r="A198">
        <v>1866077</v>
      </c>
      <c r="B198" s="15">
        <v>52</v>
      </c>
      <c r="C198" s="12" t="s">
        <v>122</v>
      </c>
      <c r="D198" s="12" t="s">
        <v>134</v>
      </c>
      <c r="E198" s="12" t="s">
        <v>151</v>
      </c>
      <c r="F198" s="12" t="s">
        <v>159</v>
      </c>
      <c r="G198" s="14">
        <f t="shared" ca="1" si="2"/>
        <v>4580.4382452318569</v>
      </c>
      <c r="H198" s="12" t="s">
        <v>172</v>
      </c>
      <c r="I198">
        <v>0</v>
      </c>
      <c r="J198">
        <v>40</v>
      </c>
      <c r="K198" s="12" t="s">
        <v>176</v>
      </c>
      <c r="L198">
        <v>0</v>
      </c>
      <c r="M198">
        <v>0</v>
      </c>
      <c r="O198" s="39"/>
      <c r="P198" s="15">
        <v>2382.4299999999998</v>
      </c>
      <c r="S198" s="17"/>
    </row>
    <row r="199" spans="1:19" x14ac:dyDescent="0.4">
      <c r="A199">
        <v>1872825</v>
      </c>
      <c r="B199" s="16">
        <v>36</v>
      </c>
      <c r="C199" s="12" t="s">
        <v>122</v>
      </c>
      <c r="D199" s="12" t="s">
        <v>140</v>
      </c>
      <c r="E199" s="12" t="s">
        <v>152</v>
      </c>
      <c r="F199" s="12" t="s">
        <v>161</v>
      </c>
      <c r="G199" s="14">
        <f t="shared" ca="1" si="2"/>
        <v>36261.443136601927</v>
      </c>
      <c r="H199" s="12" t="s">
        <v>172</v>
      </c>
      <c r="I199">
        <v>0</v>
      </c>
      <c r="J199">
        <v>40</v>
      </c>
      <c r="K199" s="12" t="s">
        <v>176</v>
      </c>
      <c r="L199">
        <v>0</v>
      </c>
      <c r="M199">
        <v>0</v>
      </c>
      <c r="O199" s="39"/>
      <c r="P199" s="16">
        <v>34268.18</v>
      </c>
      <c r="S199" s="17"/>
    </row>
    <row r="200" spans="1:19" x14ac:dyDescent="0.4">
      <c r="A200">
        <v>1875875</v>
      </c>
      <c r="B200" s="15">
        <v>32</v>
      </c>
      <c r="C200" s="12" t="s">
        <v>127</v>
      </c>
      <c r="D200" s="12" t="s">
        <v>134</v>
      </c>
      <c r="E200" s="12" t="s">
        <v>150</v>
      </c>
      <c r="F200" s="12" t="s">
        <v>156</v>
      </c>
      <c r="G200" s="14">
        <f t="shared" ca="1" si="2"/>
        <v>197770.00974462682</v>
      </c>
      <c r="H200" s="12" t="s">
        <v>171</v>
      </c>
      <c r="I200">
        <v>0</v>
      </c>
      <c r="J200">
        <v>32</v>
      </c>
      <c r="K200" s="12" t="s">
        <v>176</v>
      </c>
      <c r="L200">
        <v>0</v>
      </c>
      <c r="M200">
        <v>0</v>
      </c>
      <c r="O200" s="39"/>
      <c r="P200" s="15">
        <v>112250.05</v>
      </c>
      <c r="S200" s="17"/>
    </row>
    <row r="201" spans="1:19" x14ac:dyDescent="0.4">
      <c r="A201">
        <v>1877898</v>
      </c>
      <c r="B201" s="16">
        <v>73</v>
      </c>
      <c r="C201" s="12" t="s">
        <v>124</v>
      </c>
      <c r="D201" s="12" t="s">
        <v>135</v>
      </c>
      <c r="E201" s="12" t="s">
        <v>152</v>
      </c>
      <c r="F201" s="12" t="s">
        <v>162</v>
      </c>
      <c r="G201" s="14">
        <f t="shared" ca="1" si="2"/>
        <v>26631.253864822549</v>
      </c>
      <c r="H201" s="12" t="s">
        <v>172</v>
      </c>
      <c r="I201">
        <v>0</v>
      </c>
      <c r="J201">
        <v>50</v>
      </c>
      <c r="K201" s="12" t="s">
        <v>176</v>
      </c>
      <c r="L201">
        <v>1639</v>
      </c>
      <c r="M201">
        <v>1</v>
      </c>
      <c r="O201" s="39"/>
      <c r="P201" s="16">
        <v>20608.32</v>
      </c>
      <c r="S201" s="17"/>
    </row>
    <row r="202" spans="1:19" x14ac:dyDescent="0.4">
      <c r="A202">
        <v>1880936</v>
      </c>
      <c r="B202" s="15">
        <v>54</v>
      </c>
      <c r="C202" s="12" t="s">
        <v>125</v>
      </c>
      <c r="D202" s="12" t="s">
        <v>138</v>
      </c>
      <c r="E202" s="12" t="s">
        <v>151</v>
      </c>
      <c r="F202" s="12" t="s">
        <v>144</v>
      </c>
      <c r="G202" s="14">
        <f t="shared" ca="1" si="2"/>
        <v>169239.07625446896</v>
      </c>
      <c r="H202" s="12" t="s">
        <v>171</v>
      </c>
      <c r="I202">
        <v>0</v>
      </c>
      <c r="J202">
        <v>40</v>
      </c>
      <c r="K202" s="12" t="s">
        <v>176</v>
      </c>
      <c r="L202">
        <v>0</v>
      </c>
      <c r="M202">
        <v>0</v>
      </c>
      <c r="O202" s="39"/>
      <c r="P202" s="15">
        <v>95784.2</v>
      </c>
      <c r="S202" s="17"/>
    </row>
    <row r="203" spans="1:19" x14ac:dyDescent="0.4">
      <c r="A203">
        <v>1892697</v>
      </c>
      <c r="B203" s="16">
        <v>22</v>
      </c>
      <c r="C203" s="12" t="s">
        <v>125</v>
      </c>
      <c r="D203" s="12" t="s">
        <v>132</v>
      </c>
      <c r="E203" s="12" t="s">
        <v>150</v>
      </c>
      <c r="F203" s="12" t="s">
        <v>158</v>
      </c>
      <c r="G203" s="14">
        <f t="shared" ref="G203:G266" ca="1" si="3">P203*(1+RAND())</f>
        <v>80597.887494882336</v>
      </c>
      <c r="H203" s="12" t="s">
        <v>171</v>
      </c>
      <c r="I203">
        <v>0</v>
      </c>
      <c r="J203">
        <v>55</v>
      </c>
      <c r="K203" s="12" t="s">
        <v>176</v>
      </c>
      <c r="L203">
        <v>0</v>
      </c>
      <c r="M203">
        <v>0</v>
      </c>
      <c r="O203" s="39"/>
      <c r="P203" s="16">
        <v>72111.64</v>
      </c>
      <c r="S203" s="17"/>
    </row>
    <row r="204" spans="1:19" x14ac:dyDescent="0.4">
      <c r="A204">
        <v>1906994</v>
      </c>
      <c r="B204" s="15">
        <v>45</v>
      </c>
      <c r="C204" s="12" t="s">
        <v>122</v>
      </c>
      <c r="D204" s="12" t="s">
        <v>134</v>
      </c>
      <c r="E204" s="12" t="s">
        <v>152</v>
      </c>
      <c r="F204" s="12" t="s">
        <v>159</v>
      </c>
      <c r="G204" s="14">
        <f t="shared" ca="1" si="3"/>
        <v>49294.243288152255</v>
      </c>
      <c r="H204" s="12" t="s">
        <v>172</v>
      </c>
      <c r="I204">
        <v>0</v>
      </c>
      <c r="J204">
        <v>40</v>
      </c>
      <c r="K204" s="12" t="s">
        <v>176</v>
      </c>
      <c r="L204">
        <v>0</v>
      </c>
      <c r="M204">
        <v>0</v>
      </c>
      <c r="O204" s="39"/>
      <c r="P204" s="15">
        <v>37605.81</v>
      </c>
      <c r="S204" s="17"/>
    </row>
    <row r="205" spans="1:19" x14ac:dyDescent="0.4">
      <c r="A205">
        <v>1940825</v>
      </c>
      <c r="B205" s="16">
        <v>34</v>
      </c>
      <c r="C205" s="12" t="s">
        <v>122</v>
      </c>
      <c r="D205" s="12" t="s">
        <v>134</v>
      </c>
      <c r="E205" s="12" t="s">
        <v>150</v>
      </c>
      <c r="F205" s="12" t="s">
        <v>161</v>
      </c>
      <c r="G205" s="14">
        <f t="shared" ca="1" si="3"/>
        <v>192139.15763177947</v>
      </c>
      <c r="H205" s="12" t="s">
        <v>172</v>
      </c>
      <c r="I205">
        <v>0</v>
      </c>
      <c r="J205">
        <v>40</v>
      </c>
      <c r="K205" s="12" t="s">
        <v>176</v>
      </c>
      <c r="L205">
        <v>0</v>
      </c>
      <c r="M205">
        <v>0</v>
      </c>
      <c r="O205" s="39"/>
      <c r="P205" s="16">
        <v>110412.9</v>
      </c>
      <c r="S205" s="17"/>
    </row>
    <row r="206" spans="1:19" x14ac:dyDescent="0.4">
      <c r="A206">
        <v>1943338</v>
      </c>
      <c r="B206" s="15">
        <v>53</v>
      </c>
      <c r="C206" s="12" t="s">
        <v>125</v>
      </c>
      <c r="D206" s="12" t="s">
        <v>146</v>
      </c>
      <c r="E206" s="12" t="s">
        <v>150</v>
      </c>
      <c r="F206" s="12" t="s">
        <v>161</v>
      </c>
      <c r="G206" s="14">
        <f t="shared" ca="1" si="3"/>
        <v>219159.82075250373</v>
      </c>
      <c r="H206" s="12" t="s">
        <v>171</v>
      </c>
      <c r="I206">
        <v>0</v>
      </c>
      <c r="J206">
        <v>35</v>
      </c>
      <c r="K206" s="12" t="s">
        <v>176</v>
      </c>
      <c r="L206">
        <v>0</v>
      </c>
      <c r="M206">
        <v>0</v>
      </c>
      <c r="O206" s="39"/>
      <c r="P206" s="15">
        <v>123739.96</v>
      </c>
      <c r="S206" s="17"/>
    </row>
    <row r="207" spans="1:19" x14ac:dyDescent="0.4">
      <c r="A207">
        <v>1947669</v>
      </c>
      <c r="B207" s="16">
        <v>30</v>
      </c>
      <c r="C207" s="12" t="s">
        <v>122</v>
      </c>
      <c r="D207" s="12" t="s">
        <v>134</v>
      </c>
      <c r="E207" s="12" t="s">
        <v>152</v>
      </c>
      <c r="F207" s="12" t="s">
        <v>161</v>
      </c>
      <c r="G207" s="14">
        <f t="shared" ca="1" si="3"/>
        <v>53303.296639252476</v>
      </c>
      <c r="H207" s="12" t="s">
        <v>172</v>
      </c>
      <c r="I207">
        <v>0</v>
      </c>
      <c r="J207">
        <v>40</v>
      </c>
      <c r="K207" s="12" t="s">
        <v>176</v>
      </c>
      <c r="L207">
        <v>0</v>
      </c>
      <c r="M207">
        <v>0</v>
      </c>
      <c r="O207" s="39"/>
      <c r="P207" s="16">
        <v>28988.26</v>
      </c>
      <c r="S207" s="17"/>
    </row>
    <row r="208" spans="1:19" x14ac:dyDescent="0.4">
      <c r="A208">
        <v>1950125</v>
      </c>
      <c r="B208" s="15">
        <v>40</v>
      </c>
      <c r="C208" s="12" t="s">
        <v>125</v>
      </c>
      <c r="D208" s="12" t="s">
        <v>135</v>
      </c>
      <c r="E208" s="12" t="s">
        <v>151</v>
      </c>
      <c r="F208" s="12" t="s">
        <v>144</v>
      </c>
      <c r="G208" s="14">
        <f t="shared" ca="1" si="3"/>
        <v>380879.35309128562</v>
      </c>
      <c r="H208" s="12" t="s">
        <v>171</v>
      </c>
      <c r="I208">
        <v>0</v>
      </c>
      <c r="J208">
        <v>40</v>
      </c>
      <c r="K208" s="12" t="s">
        <v>176</v>
      </c>
      <c r="L208">
        <v>0</v>
      </c>
      <c r="M208">
        <v>0</v>
      </c>
      <c r="O208" s="39"/>
      <c r="P208" s="15">
        <v>296284.55</v>
      </c>
      <c r="S208" s="17"/>
    </row>
    <row r="209" spans="1:19" x14ac:dyDescent="0.4">
      <c r="A209">
        <v>1956654</v>
      </c>
      <c r="B209" s="16">
        <v>25</v>
      </c>
      <c r="C209" s="12" t="s">
        <v>122</v>
      </c>
      <c r="D209" s="12" t="s">
        <v>134</v>
      </c>
      <c r="E209" s="12" t="s">
        <v>150</v>
      </c>
      <c r="F209" s="12" t="s">
        <v>160</v>
      </c>
      <c r="G209" s="14">
        <f t="shared" ca="1" si="3"/>
        <v>129807.7979152483</v>
      </c>
      <c r="H209" s="12" t="s">
        <v>172</v>
      </c>
      <c r="I209">
        <v>0</v>
      </c>
      <c r="J209">
        <v>45</v>
      </c>
      <c r="K209" s="12" t="s">
        <v>176</v>
      </c>
      <c r="L209">
        <v>0</v>
      </c>
      <c r="M209">
        <v>0</v>
      </c>
      <c r="O209" s="39"/>
      <c r="P209" s="16">
        <v>74001.2</v>
      </c>
      <c r="S209" s="17"/>
    </row>
    <row r="210" spans="1:19" x14ac:dyDescent="0.4">
      <c r="A210">
        <v>1965508</v>
      </c>
      <c r="B210" s="15">
        <v>60</v>
      </c>
      <c r="C210" s="12" t="s">
        <v>124</v>
      </c>
      <c r="D210" s="12" t="s">
        <v>134</v>
      </c>
      <c r="E210" s="12" t="s">
        <v>152</v>
      </c>
      <c r="F210" s="12" t="s">
        <v>158</v>
      </c>
      <c r="G210" s="14">
        <f t="shared" ca="1" si="3"/>
        <v>287310.59498474561</v>
      </c>
      <c r="H210" s="12" t="s">
        <v>171</v>
      </c>
      <c r="I210">
        <v>0</v>
      </c>
      <c r="J210">
        <v>15</v>
      </c>
      <c r="K210" s="12" t="s">
        <v>176</v>
      </c>
      <c r="L210">
        <v>15024</v>
      </c>
      <c r="M210">
        <v>1</v>
      </c>
      <c r="O210" s="39"/>
      <c r="P210" s="15">
        <v>235662.8</v>
      </c>
      <c r="S210" s="17"/>
    </row>
    <row r="211" spans="1:19" x14ac:dyDescent="0.4">
      <c r="A211">
        <v>1967691</v>
      </c>
      <c r="B211" s="16">
        <v>38</v>
      </c>
      <c r="C211" s="12" t="s">
        <v>122</v>
      </c>
      <c r="D211" s="12" t="s">
        <v>140</v>
      </c>
      <c r="E211" s="12" t="s">
        <v>151</v>
      </c>
      <c r="F211" s="12" t="s">
        <v>161</v>
      </c>
      <c r="G211" s="14">
        <f t="shared" ca="1" si="3"/>
        <v>106749.05882614914</v>
      </c>
      <c r="H211" s="12" t="s">
        <v>171</v>
      </c>
      <c r="I211">
        <v>0</v>
      </c>
      <c r="J211">
        <v>40</v>
      </c>
      <c r="K211" s="12" t="s">
        <v>189</v>
      </c>
      <c r="L211">
        <v>0</v>
      </c>
      <c r="M211">
        <v>0</v>
      </c>
      <c r="O211" s="39"/>
      <c r="P211" s="16">
        <v>68357.88</v>
      </c>
      <c r="S211" s="17"/>
    </row>
    <row r="212" spans="1:19" x14ac:dyDescent="0.4">
      <c r="A212">
        <v>1970671</v>
      </c>
      <c r="B212" s="15">
        <v>23</v>
      </c>
      <c r="C212" s="12" t="s">
        <v>122</v>
      </c>
      <c r="D212" s="12" t="s">
        <v>132</v>
      </c>
      <c r="E212" s="12" t="s">
        <v>150</v>
      </c>
      <c r="F212" s="12" t="s">
        <v>162</v>
      </c>
      <c r="G212" s="14">
        <f t="shared" ca="1" si="3"/>
        <v>95124.190172250223</v>
      </c>
      <c r="H212" s="12" t="s">
        <v>172</v>
      </c>
      <c r="I212">
        <v>0</v>
      </c>
      <c r="J212">
        <v>25</v>
      </c>
      <c r="K212" s="12" t="s">
        <v>178</v>
      </c>
      <c r="L212">
        <v>0</v>
      </c>
      <c r="M212">
        <v>0</v>
      </c>
      <c r="O212" s="39"/>
      <c r="P212" s="15">
        <v>48397.69</v>
      </c>
      <c r="S212" s="17"/>
    </row>
    <row r="213" spans="1:19" x14ac:dyDescent="0.4">
      <c r="A213">
        <v>1972687</v>
      </c>
      <c r="B213" s="16">
        <v>31</v>
      </c>
      <c r="C213" s="12" t="s">
        <v>122</v>
      </c>
      <c r="D213" s="12" t="s">
        <v>132</v>
      </c>
      <c r="E213" s="12" t="s">
        <v>152</v>
      </c>
      <c r="F213" s="12" t="s">
        <v>159</v>
      </c>
      <c r="G213" s="14">
        <f t="shared" ca="1" si="3"/>
        <v>49638.990038765114</v>
      </c>
      <c r="H213" s="12" t="s">
        <v>172</v>
      </c>
      <c r="I213">
        <v>0</v>
      </c>
      <c r="J213">
        <v>40</v>
      </c>
      <c r="K213" s="12" t="s">
        <v>176</v>
      </c>
      <c r="L213">
        <v>4940</v>
      </c>
      <c r="M213">
        <v>1</v>
      </c>
      <c r="O213" s="39"/>
      <c r="P213" s="16">
        <v>37051.71</v>
      </c>
      <c r="S213" s="17"/>
    </row>
    <row r="214" spans="1:19" x14ac:dyDescent="0.4">
      <c r="A214">
        <v>1976104</v>
      </c>
      <c r="B214" s="15">
        <v>23</v>
      </c>
      <c r="C214" s="12" t="s">
        <v>122</v>
      </c>
      <c r="D214" s="12" t="s">
        <v>132</v>
      </c>
      <c r="E214" s="12" t="s">
        <v>152</v>
      </c>
      <c r="F214" s="12" t="s">
        <v>164</v>
      </c>
      <c r="G214" s="14">
        <f t="shared" ca="1" si="3"/>
        <v>62162.114058715641</v>
      </c>
      <c r="H214" s="12" t="s">
        <v>172</v>
      </c>
      <c r="I214">
        <v>0</v>
      </c>
      <c r="J214">
        <v>40</v>
      </c>
      <c r="K214" s="12" t="s">
        <v>176</v>
      </c>
      <c r="L214">
        <v>0</v>
      </c>
      <c r="M214">
        <v>0</v>
      </c>
      <c r="O214" s="39"/>
      <c r="P214" s="15">
        <v>47123.24</v>
      </c>
      <c r="S214" s="17"/>
    </row>
    <row r="215" spans="1:19" x14ac:dyDescent="0.4">
      <c r="A215">
        <v>1980500</v>
      </c>
      <c r="B215" s="16">
        <v>74</v>
      </c>
      <c r="C215" s="12" t="s">
        <v>123</v>
      </c>
      <c r="D215" s="12" t="s">
        <v>141</v>
      </c>
      <c r="E215" s="12" t="s">
        <v>154</v>
      </c>
      <c r="F215" s="12" t="s">
        <v>144</v>
      </c>
      <c r="G215" s="14">
        <f t="shared" ca="1" si="3"/>
        <v>46354.950210705021</v>
      </c>
      <c r="H215" s="12" t="s">
        <v>172</v>
      </c>
      <c r="I215">
        <v>0</v>
      </c>
      <c r="J215">
        <v>25</v>
      </c>
      <c r="K215" s="12" t="s">
        <v>176</v>
      </c>
      <c r="L215">
        <v>5911</v>
      </c>
      <c r="M215">
        <v>1</v>
      </c>
      <c r="O215" s="39"/>
      <c r="P215" s="16">
        <v>40643.160000000003</v>
      </c>
      <c r="S215" s="17"/>
    </row>
    <row r="216" spans="1:19" x14ac:dyDescent="0.4">
      <c r="A216">
        <v>1983846</v>
      </c>
      <c r="B216" s="15">
        <v>19</v>
      </c>
      <c r="C216" s="12" t="s">
        <v>122</v>
      </c>
      <c r="D216" s="12" t="s">
        <v>134</v>
      </c>
      <c r="E216" s="12" t="s">
        <v>150</v>
      </c>
      <c r="F216" s="12" t="s">
        <v>156</v>
      </c>
      <c r="G216" s="14">
        <f t="shared" ca="1" si="3"/>
        <v>38591.375514986416</v>
      </c>
      <c r="H216" s="12" t="s">
        <v>171</v>
      </c>
      <c r="I216">
        <v>0</v>
      </c>
      <c r="J216">
        <v>30</v>
      </c>
      <c r="K216" s="12" t="s">
        <v>176</v>
      </c>
      <c r="L216">
        <v>0</v>
      </c>
      <c r="M216">
        <v>0</v>
      </c>
      <c r="O216" s="39"/>
      <c r="P216" s="15">
        <v>20263.3</v>
      </c>
      <c r="S216" s="17"/>
    </row>
    <row r="217" spans="1:19" x14ac:dyDescent="0.4">
      <c r="A217">
        <v>1985107</v>
      </c>
      <c r="B217" s="16">
        <v>39</v>
      </c>
      <c r="C217" s="12" t="s">
        <v>122</v>
      </c>
      <c r="D217" s="12" t="s">
        <v>135</v>
      </c>
      <c r="E217" s="12" t="s">
        <v>150</v>
      </c>
      <c r="F217" s="12" t="s">
        <v>160</v>
      </c>
      <c r="G217" s="14">
        <f t="shared" ca="1" si="3"/>
        <v>91727.363765314614</v>
      </c>
      <c r="H217" s="12" t="s">
        <v>172</v>
      </c>
      <c r="I217">
        <v>0</v>
      </c>
      <c r="J217">
        <v>45</v>
      </c>
      <c r="K217" s="12" t="s">
        <v>176</v>
      </c>
      <c r="L217">
        <v>0</v>
      </c>
      <c r="M217">
        <v>0</v>
      </c>
      <c r="O217" s="39"/>
      <c r="P217" s="16">
        <v>57245.29</v>
      </c>
      <c r="S217" s="17"/>
    </row>
    <row r="218" spans="1:19" x14ac:dyDescent="0.4">
      <c r="A218">
        <v>1985953</v>
      </c>
      <c r="B218" s="15">
        <v>29</v>
      </c>
      <c r="C218" s="12" t="s">
        <v>122</v>
      </c>
      <c r="D218" s="12" t="s">
        <v>132</v>
      </c>
      <c r="E218" s="12" t="s">
        <v>150</v>
      </c>
      <c r="F218" s="12" t="s">
        <v>162</v>
      </c>
      <c r="G218" s="14">
        <f t="shared" ca="1" si="3"/>
        <v>210203.08122698354</v>
      </c>
      <c r="H218" s="12" t="s">
        <v>172</v>
      </c>
      <c r="I218">
        <v>0</v>
      </c>
      <c r="J218">
        <v>30</v>
      </c>
      <c r="K218" s="12" t="s">
        <v>176</v>
      </c>
      <c r="L218">
        <v>0</v>
      </c>
      <c r="M218">
        <v>0</v>
      </c>
      <c r="O218" s="39"/>
      <c r="P218" s="15">
        <v>113713.14</v>
      </c>
      <c r="S218" s="17"/>
    </row>
    <row r="219" spans="1:19" x14ac:dyDescent="0.4">
      <c r="A219">
        <v>1992467</v>
      </c>
      <c r="B219" s="16">
        <v>43</v>
      </c>
      <c r="C219" s="12" t="s">
        <v>122</v>
      </c>
      <c r="D219" s="12" t="s">
        <v>138</v>
      </c>
      <c r="E219" s="12" t="s">
        <v>152</v>
      </c>
      <c r="F219" s="12" t="s">
        <v>160</v>
      </c>
      <c r="G219" s="14">
        <f t="shared" ca="1" si="3"/>
        <v>39579.749825343199</v>
      </c>
      <c r="H219" s="12" t="s">
        <v>172</v>
      </c>
      <c r="I219">
        <v>0</v>
      </c>
      <c r="J219">
        <v>50</v>
      </c>
      <c r="K219" s="12" t="s">
        <v>176</v>
      </c>
      <c r="L219">
        <v>4954</v>
      </c>
      <c r="M219">
        <v>1</v>
      </c>
      <c r="O219" s="39"/>
      <c r="P219" s="16">
        <v>26718.94</v>
      </c>
      <c r="S219" s="17"/>
    </row>
    <row r="220" spans="1:19" x14ac:dyDescent="0.4">
      <c r="A220">
        <v>1995711</v>
      </c>
      <c r="B220" s="15">
        <v>26</v>
      </c>
      <c r="C220" s="12" t="s">
        <v>125</v>
      </c>
      <c r="D220" s="12" t="s">
        <v>135</v>
      </c>
      <c r="E220" s="12" t="s">
        <v>150</v>
      </c>
      <c r="F220" s="12" t="s">
        <v>144</v>
      </c>
      <c r="G220" s="14">
        <f t="shared" ca="1" si="3"/>
        <v>146608.72787738111</v>
      </c>
      <c r="H220" s="12" t="s">
        <v>171</v>
      </c>
      <c r="I220">
        <v>0</v>
      </c>
      <c r="J220">
        <v>40</v>
      </c>
      <c r="K220" s="12" t="s">
        <v>176</v>
      </c>
      <c r="L220">
        <v>0</v>
      </c>
      <c r="M220">
        <v>0</v>
      </c>
      <c r="O220" s="39"/>
      <c r="P220" s="15">
        <v>80090.429999999993</v>
      </c>
      <c r="S220" s="17"/>
    </row>
    <row r="221" spans="1:19" x14ac:dyDescent="0.4">
      <c r="A221">
        <v>1996140</v>
      </c>
      <c r="B221" s="16">
        <v>19</v>
      </c>
      <c r="C221" s="12" t="s">
        <v>122</v>
      </c>
      <c r="D221" s="12" t="s">
        <v>139</v>
      </c>
      <c r="E221" s="12" t="s">
        <v>150</v>
      </c>
      <c r="F221" s="12" t="s">
        <v>159</v>
      </c>
      <c r="G221" s="14">
        <f t="shared" ca="1" si="3"/>
        <v>76417.822231592872</v>
      </c>
      <c r="H221" s="12" t="s">
        <v>172</v>
      </c>
      <c r="I221">
        <v>0</v>
      </c>
      <c r="J221">
        <v>56</v>
      </c>
      <c r="K221" s="12" t="s">
        <v>176</v>
      </c>
      <c r="L221">
        <v>0</v>
      </c>
      <c r="M221">
        <v>0</v>
      </c>
      <c r="O221" s="39"/>
      <c r="P221" s="16">
        <v>71065.53</v>
      </c>
      <c r="S221" s="17"/>
    </row>
    <row r="222" spans="1:19" x14ac:dyDescent="0.4">
      <c r="A222">
        <v>1997523</v>
      </c>
      <c r="B222" s="15">
        <v>40</v>
      </c>
      <c r="C222" s="12" t="s">
        <v>124</v>
      </c>
      <c r="D222" s="12" t="s">
        <v>135</v>
      </c>
      <c r="E222" s="12" t="s">
        <v>152</v>
      </c>
      <c r="F222" s="12" t="s">
        <v>144</v>
      </c>
      <c r="G222" s="14">
        <f t="shared" ca="1" si="3"/>
        <v>30590.421758691882</v>
      </c>
      <c r="H222" s="12" t="s">
        <v>172</v>
      </c>
      <c r="I222">
        <v>0</v>
      </c>
      <c r="J222">
        <v>60</v>
      </c>
      <c r="K222" s="12" t="s">
        <v>176</v>
      </c>
      <c r="L222">
        <v>0</v>
      </c>
      <c r="M222">
        <v>0</v>
      </c>
      <c r="O222" s="39"/>
      <c r="P222" s="15">
        <v>30140.84</v>
      </c>
      <c r="S222" s="17"/>
    </row>
    <row r="223" spans="1:19" x14ac:dyDescent="0.4">
      <c r="A223">
        <v>2000211</v>
      </c>
      <c r="B223" s="16">
        <v>57</v>
      </c>
      <c r="C223" s="12" t="s">
        <v>122</v>
      </c>
      <c r="D223" s="12" t="s">
        <v>134</v>
      </c>
      <c r="E223" s="12" t="s">
        <v>153</v>
      </c>
      <c r="F223" s="12" t="s">
        <v>158</v>
      </c>
      <c r="G223" s="14">
        <f t="shared" ca="1" si="3"/>
        <v>61038.285969224817</v>
      </c>
      <c r="H223" s="12" t="s">
        <v>171</v>
      </c>
      <c r="I223">
        <v>0</v>
      </c>
      <c r="J223">
        <v>36</v>
      </c>
      <c r="K223" s="12" t="s">
        <v>176</v>
      </c>
      <c r="L223">
        <v>0</v>
      </c>
      <c r="M223">
        <v>0</v>
      </c>
      <c r="O223" s="39"/>
      <c r="P223" s="16">
        <v>55758.54</v>
      </c>
      <c r="S223" s="17"/>
    </row>
    <row r="224" spans="1:19" x14ac:dyDescent="0.4">
      <c r="A224">
        <v>2011832</v>
      </c>
      <c r="B224" s="15">
        <v>40</v>
      </c>
      <c r="C224" s="12" t="s">
        <v>122</v>
      </c>
      <c r="D224" s="12" t="s">
        <v>134</v>
      </c>
      <c r="E224" s="12" t="s">
        <v>151</v>
      </c>
      <c r="F224" s="12" t="s">
        <v>159</v>
      </c>
      <c r="G224" s="14">
        <f t="shared" ca="1" si="3"/>
        <v>111732.3419437557</v>
      </c>
      <c r="H224" s="12" t="s">
        <v>172</v>
      </c>
      <c r="I224">
        <v>0</v>
      </c>
      <c r="J224">
        <v>40</v>
      </c>
      <c r="K224" s="12" t="s">
        <v>176</v>
      </c>
      <c r="L224">
        <v>0</v>
      </c>
      <c r="M224">
        <v>0</v>
      </c>
      <c r="O224" s="39"/>
      <c r="P224" s="15">
        <v>63728.57</v>
      </c>
      <c r="S224" s="17"/>
    </row>
    <row r="225" spans="1:19" x14ac:dyDescent="0.4">
      <c r="A225">
        <v>2012035</v>
      </c>
      <c r="B225" s="16">
        <v>29</v>
      </c>
      <c r="C225" s="12" t="s">
        <v>122</v>
      </c>
      <c r="D225" s="12" t="s">
        <v>132</v>
      </c>
      <c r="E225" s="12" t="s">
        <v>152</v>
      </c>
      <c r="F225" s="12" t="s">
        <v>164</v>
      </c>
      <c r="G225" s="14">
        <f t="shared" ca="1" si="3"/>
        <v>53798.912798996462</v>
      </c>
      <c r="H225" s="12" t="s">
        <v>172</v>
      </c>
      <c r="I225">
        <v>0</v>
      </c>
      <c r="J225">
        <v>20</v>
      </c>
      <c r="K225" s="12" t="s">
        <v>176</v>
      </c>
      <c r="L225">
        <v>0</v>
      </c>
      <c r="M225">
        <v>0</v>
      </c>
      <c r="O225" s="39"/>
      <c r="P225" s="16">
        <v>32079.84</v>
      </c>
      <c r="S225" s="17"/>
    </row>
    <row r="226" spans="1:19" x14ac:dyDescent="0.4">
      <c r="A226">
        <v>2016936</v>
      </c>
      <c r="B226" s="15">
        <v>36</v>
      </c>
      <c r="C226" s="12" t="s">
        <v>127</v>
      </c>
      <c r="D226" s="12" t="s">
        <v>134</v>
      </c>
      <c r="E226" s="12" t="s">
        <v>150</v>
      </c>
      <c r="F226" s="12" t="s">
        <v>158</v>
      </c>
      <c r="G226" s="14">
        <f t="shared" ca="1" si="3"/>
        <v>274869.48817302438</v>
      </c>
      <c r="H226" s="12" t="s">
        <v>171</v>
      </c>
      <c r="I226">
        <v>0</v>
      </c>
      <c r="J226">
        <v>36</v>
      </c>
      <c r="K226" s="12" t="s">
        <v>176</v>
      </c>
      <c r="L226">
        <v>0</v>
      </c>
      <c r="M226">
        <v>0</v>
      </c>
      <c r="O226" s="39"/>
      <c r="P226" s="15">
        <v>154637.16</v>
      </c>
      <c r="S226" s="17"/>
    </row>
    <row r="227" spans="1:19" x14ac:dyDescent="0.4">
      <c r="A227">
        <v>2023005</v>
      </c>
      <c r="B227" s="16">
        <v>57</v>
      </c>
      <c r="C227" s="12" t="s">
        <v>124</v>
      </c>
      <c r="D227" s="12" t="s">
        <v>132</v>
      </c>
      <c r="E227" s="12" t="s">
        <v>152</v>
      </c>
      <c r="F227" s="12" t="s">
        <v>160</v>
      </c>
      <c r="G227" s="14">
        <f t="shared" ca="1" si="3"/>
        <v>6192.9382099449576</v>
      </c>
      <c r="H227" s="12" t="s">
        <v>172</v>
      </c>
      <c r="I227">
        <v>0</v>
      </c>
      <c r="J227">
        <v>40</v>
      </c>
      <c r="K227" s="12" t="s">
        <v>176</v>
      </c>
      <c r="L227">
        <v>0</v>
      </c>
      <c r="M227">
        <v>0</v>
      </c>
      <c r="O227" s="39"/>
      <c r="P227" s="16">
        <v>3392.03</v>
      </c>
      <c r="S227" s="17"/>
    </row>
    <row r="228" spans="1:19" x14ac:dyDescent="0.4">
      <c r="A228">
        <v>2025734</v>
      </c>
      <c r="B228" s="15">
        <v>19</v>
      </c>
      <c r="C228" s="12" t="s">
        <v>122</v>
      </c>
      <c r="D228" s="12" t="s">
        <v>132</v>
      </c>
      <c r="E228" s="12" t="s">
        <v>150</v>
      </c>
      <c r="F228" s="12" t="s">
        <v>164</v>
      </c>
      <c r="G228" s="14">
        <f t="shared" ca="1" si="3"/>
        <v>89117.103442929016</v>
      </c>
      <c r="H228" s="12" t="s">
        <v>172</v>
      </c>
      <c r="I228">
        <v>0</v>
      </c>
      <c r="J228">
        <v>20</v>
      </c>
      <c r="K228" s="12" t="s">
        <v>176</v>
      </c>
      <c r="L228">
        <v>0</v>
      </c>
      <c r="M228">
        <v>0</v>
      </c>
      <c r="O228" s="39"/>
      <c r="P228" s="15">
        <v>78338.210000000006</v>
      </c>
      <c r="S228" s="17"/>
    </row>
    <row r="229" spans="1:19" x14ac:dyDescent="0.4">
      <c r="A229">
        <v>2027200</v>
      </c>
      <c r="B229" s="16">
        <v>20</v>
      </c>
      <c r="C229" s="12" t="s">
        <v>122</v>
      </c>
      <c r="D229" s="12" t="s">
        <v>136</v>
      </c>
      <c r="E229" s="12" t="s">
        <v>150</v>
      </c>
      <c r="F229" s="12" t="s">
        <v>161</v>
      </c>
      <c r="G229" s="14">
        <f t="shared" ca="1" si="3"/>
        <v>300392.35258057312</v>
      </c>
      <c r="H229" s="12" t="s">
        <v>172</v>
      </c>
      <c r="I229">
        <v>0</v>
      </c>
      <c r="J229">
        <v>40</v>
      </c>
      <c r="K229" s="12" t="s">
        <v>176</v>
      </c>
      <c r="L229">
        <v>0</v>
      </c>
      <c r="M229">
        <v>0</v>
      </c>
      <c r="O229" s="39"/>
      <c r="P229" s="16">
        <v>177097.76</v>
      </c>
      <c r="S229" s="17"/>
    </row>
    <row r="230" spans="1:19" x14ac:dyDescent="0.4">
      <c r="A230">
        <v>2027449</v>
      </c>
      <c r="B230" s="15">
        <v>48</v>
      </c>
      <c r="C230" s="12" t="s">
        <v>122</v>
      </c>
      <c r="D230" s="12" t="s">
        <v>134</v>
      </c>
      <c r="E230" s="12" t="s">
        <v>153</v>
      </c>
      <c r="F230" s="12" t="s">
        <v>161</v>
      </c>
      <c r="G230" s="14">
        <f t="shared" ca="1" si="3"/>
        <v>225664.53234836156</v>
      </c>
      <c r="H230" s="12" t="s">
        <v>171</v>
      </c>
      <c r="I230">
        <v>0</v>
      </c>
      <c r="J230">
        <v>16</v>
      </c>
      <c r="K230" s="12" t="s">
        <v>176</v>
      </c>
      <c r="L230">
        <v>0</v>
      </c>
      <c r="M230">
        <v>0</v>
      </c>
      <c r="O230" s="39"/>
      <c r="P230" s="15">
        <v>116242.34</v>
      </c>
      <c r="S230" s="17"/>
    </row>
    <row r="231" spans="1:19" x14ac:dyDescent="0.4">
      <c r="A231">
        <v>2033495</v>
      </c>
      <c r="B231" s="16">
        <v>18</v>
      </c>
      <c r="C231" s="12" t="s">
        <v>122</v>
      </c>
      <c r="D231" s="12" t="s">
        <v>134</v>
      </c>
      <c r="E231" s="12" t="s">
        <v>150</v>
      </c>
      <c r="F231" s="12" t="s">
        <v>156</v>
      </c>
      <c r="G231" s="14">
        <f t="shared" ca="1" si="3"/>
        <v>91658.847331417506</v>
      </c>
      <c r="H231" s="12" t="s">
        <v>172</v>
      </c>
      <c r="I231">
        <v>0</v>
      </c>
      <c r="J231">
        <v>36</v>
      </c>
      <c r="K231" s="12" t="s">
        <v>176</v>
      </c>
      <c r="L231">
        <v>0</v>
      </c>
      <c r="M231">
        <v>0</v>
      </c>
      <c r="O231" s="39"/>
      <c r="P231" s="16">
        <v>76092.27</v>
      </c>
      <c r="S231" s="17"/>
    </row>
    <row r="232" spans="1:19" x14ac:dyDescent="0.4">
      <c r="A232">
        <v>2042579</v>
      </c>
      <c r="B232" s="15">
        <v>50</v>
      </c>
      <c r="C232" s="12" t="s">
        <v>122</v>
      </c>
      <c r="D232" s="12" t="s">
        <v>132</v>
      </c>
      <c r="E232" s="12" t="s">
        <v>152</v>
      </c>
      <c r="F232" s="12" t="s">
        <v>162</v>
      </c>
      <c r="G232" s="14">
        <f t="shared" ca="1" si="3"/>
        <v>48923.483593619516</v>
      </c>
      <c r="H232" s="12" t="s">
        <v>172</v>
      </c>
      <c r="I232">
        <v>0</v>
      </c>
      <c r="J232">
        <v>60</v>
      </c>
      <c r="K232" s="12" t="s">
        <v>176</v>
      </c>
      <c r="L232">
        <v>0</v>
      </c>
      <c r="M232">
        <v>0</v>
      </c>
      <c r="O232" s="39"/>
      <c r="P232" s="15">
        <v>33450.410000000003</v>
      </c>
      <c r="S232" s="17"/>
    </row>
    <row r="233" spans="1:19" x14ac:dyDescent="0.4">
      <c r="A233">
        <v>2044175</v>
      </c>
      <c r="B233" s="16">
        <v>72</v>
      </c>
      <c r="C233" s="12" t="s">
        <v>129</v>
      </c>
      <c r="D233" s="12" t="s">
        <v>134</v>
      </c>
      <c r="E233" s="12" t="s">
        <v>152</v>
      </c>
      <c r="F233" s="12" t="s">
        <v>129</v>
      </c>
      <c r="G233" s="14">
        <f t="shared" ca="1" si="3"/>
        <v>26474.274678128193</v>
      </c>
      <c r="H233" s="12" t="s">
        <v>172</v>
      </c>
      <c r="I233">
        <v>0</v>
      </c>
      <c r="J233">
        <v>8</v>
      </c>
      <c r="K233" s="12" t="s">
        <v>176</v>
      </c>
      <c r="L233">
        <v>0</v>
      </c>
      <c r="M233">
        <v>0</v>
      </c>
      <c r="O233" s="39"/>
      <c r="P233" s="16">
        <v>15651.39</v>
      </c>
      <c r="S233" s="17"/>
    </row>
    <row r="234" spans="1:19" x14ac:dyDescent="0.4">
      <c r="A234">
        <v>2049462</v>
      </c>
      <c r="B234" s="15">
        <v>58</v>
      </c>
      <c r="C234" s="12" t="s">
        <v>122</v>
      </c>
      <c r="D234" s="12" t="s">
        <v>134</v>
      </c>
      <c r="E234" s="12" t="s">
        <v>152</v>
      </c>
      <c r="F234" s="12" t="s">
        <v>157</v>
      </c>
      <c r="G234" s="14">
        <f t="shared" ca="1" si="3"/>
        <v>46193.591278653788</v>
      </c>
      <c r="H234" s="12" t="s">
        <v>172</v>
      </c>
      <c r="I234">
        <v>0</v>
      </c>
      <c r="J234">
        <v>40</v>
      </c>
      <c r="K234" s="12" t="s">
        <v>176</v>
      </c>
      <c r="L234">
        <v>3760</v>
      </c>
      <c r="M234">
        <v>1</v>
      </c>
      <c r="O234" s="39"/>
      <c r="P234" s="15">
        <v>37168.49</v>
      </c>
      <c r="S234" s="17"/>
    </row>
    <row r="235" spans="1:19" x14ac:dyDescent="0.4">
      <c r="A235">
        <v>2062685</v>
      </c>
      <c r="B235" s="16">
        <v>40</v>
      </c>
      <c r="C235" s="12" t="s">
        <v>122</v>
      </c>
      <c r="D235" s="12" t="s">
        <v>132</v>
      </c>
      <c r="E235" s="12" t="s">
        <v>152</v>
      </c>
      <c r="F235" s="12" t="s">
        <v>161</v>
      </c>
      <c r="G235" s="14">
        <f t="shared" ca="1" si="3"/>
        <v>59304.055059308848</v>
      </c>
      <c r="H235" s="12" t="s">
        <v>172</v>
      </c>
      <c r="I235">
        <v>0</v>
      </c>
      <c r="J235">
        <v>40</v>
      </c>
      <c r="K235" s="12" t="s">
        <v>176</v>
      </c>
      <c r="L235">
        <v>0</v>
      </c>
      <c r="M235">
        <v>0</v>
      </c>
      <c r="O235" s="39"/>
      <c r="P235" s="16">
        <v>39443.33</v>
      </c>
      <c r="S235" s="17"/>
    </row>
    <row r="236" spans="1:19" x14ac:dyDescent="0.4">
      <c r="A236">
        <v>2064390</v>
      </c>
      <c r="B236" s="15">
        <v>35</v>
      </c>
      <c r="C236" s="12" t="s">
        <v>122</v>
      </c>
      <c r="D236" s="12" t="s">
        <v>139</v>
      </c>
      <c r="E236" s="12" t="s">
        <v>152</v>
      </c>
      <c r="F236" s="12" t="s">
        <v>165</v>
      </c>
      <c r="G236" s="14">
        <f t="shared" ca="1" si="3"/>
        <v>59242.738573154893</v>
      </c>
      <c r="H236" s="12" t="s">
        <v>172</v>
      </c>
      <c r="I236">
        <v>0</v>
      </c>
      <c r="J236">
        <v>40</v>
      </c>
      <c r="K236" s="12" t="s">
        <v>176</v>
      </c>
      <c r="L236">
        <v>0</v>
      </c>
      <c r="M236">
        <v>0</v>
      </c>
      <c r="O236" s="39"/>
      <c r="P236" s="15">
        <v>38106.160000000003</v>
      </c>
      <c r="S236" s="17"/>
    </row>
    <row r="237" spans="1:19" x14ac:dyDescent="0.4">
      <c r="A237">
        <v>2065595</v>
      </c>
      <c r="B237" s="16">
        <v>22</v>
      </c>
      <c r="C237" s="12" t="s">
        <v>129</v>
      </c>
      <c r="D237" s="12" t="s">
        <v>134</v>
      </c>
      <c r="E237" s="12" t="s">
        <v>151</v>
      </c>
      <c r="F237" s="12" t="s">
        <v>129</v>
      </c>
      <c r="G237" s="14">
        <f t="shared" ca="1" si="3"/>
        <v>97659.359489837283</v>
      </c>
      <c r="H237" s="12" t="s">
        <v>171</v>
      </c>
      <c r="I237">
        <v>0</v>
      </c>
      <c r="J237">
        <v>40</v>
      </c>
      <c r="K237" s="12" t="s">
        <v>176</v>
      </c>
      <c r="L237">
        <v>0</v>
      </c>
      <c r="M237">
        <v>0</v>
      </c>
      <c r="O237" s="39"/>
      <c r="P237" s="16">
        <v>81137.850000000006</v>
      </c>
      <c r="S237" s="17"/>
    </row>
    <row r="238" spans="1:19" x14ac:dyDescent="0.4">
      <c r="A238">
        <v>2070773</v>
      </c>
      <c r="B238" s="15">
        <v>23</v>
      </c>
      <c r="C238" s="12" t="s">
        <v>122</v>
      </c>
      <c r="D238" s="12" t="s">
        <v>134</v>
      </c>
      <c r="E238" s="12" t="s">
        <v>150</v>
      </c>
      <c r="F238" s="12" t="s">
        <v>162</v>
      </c>
      <c r="G238" s="14">
        <f t="shared" ca="1" si="3"/>
        <v>193724.74720962282</v>
      </c>
      <c r="H238" s="12" t="s">
        <v>172</v>
      </c>
      <c r="I238">
        <v>0</v>
      </c>
      <c r="J238">
        <v>40</v>
      </c>
      <c r="K238" s="12" t="s">
        <v>176</v>
      </c>
      <c r="L238">
        <v>0</v>
      </c>
      <c r="M238">
        <v>0</v>
      </c>
      <c r="O238" s="39"/>
      <c r="P238" s="15">
        <v>106275.4</v>
      </c>
      <c r="S238" s="17"/>
    </row>
    <row r="239" spans="1:19" x14ac:dyDescent="0.4">
      <c r="A239">
        <v>2077101</v>
      </c>
      <c r="B239" s="16">
        <v>41</v>
      </c>
      <c r="C239" s="12" t="s">
        <v>122</v>
      </c>
      <c r="D239" s="12" t="s">
        <v>132</v>
      </c>
      <c r="E239" s="12" t="s">
        <v>152</v>
      </c>
      <c r="F239" s="12" t="s">
        <v>161</v>
      </c>
      <c r="G239" s="14">
        <f t="shared" ca="1" si="3"/>
        <v>13011.516521301879</v>
      </c>
      <c r="H239" s="12" t="s">
        <v>172</v>
      </c>
      <c r="I239">
        <v>0</v>
      </c>
      <c r="J239">
        <v>42</v>
      </c>
      <c r="K239" s="12" t="s">
        <v>176</v>
      </c>
      <c r="L239">
        <v>7298</v>
      </c>
      <c r="M239">
        <v>1</v>
      </c>
      <c r="O239" s="39"/>
      <c r="P239" s="16">
        <v>12651.15</v>
      </c>
      <c r="S239" s="17"/>
    </row>
    <row r="240" spans="1:19" x14ac:dyDescent="0.4">
      <c r="A240">
        <v>2094476</v>
      </c>
      <c r="B240" s="15">
        <v>18</v>
      </c>
      <c r="C240" s="12" t="s">
        <v>122</v>
      </c>
      <c r="D240" s="12" t="s">
        <v>134</v>
      </c>
      <c r="E240" s="12" t="s">
        <v>150</v>
      </c>
      <c r="F240" s="12" t="s">
        <v>156</v>
      </c>
      <c r="G240" s="14">
        <f t="shared" ca="1" si="3"/>
        <v>319366.21421579778</v>
      </c>
      <c r="H240" s="12" t="s">
        <v>171</v>
      </c>
      <c r="I240">
        <v>0</v>
      </c>
      <c r="J240">
        <v>30</v>
      </c>
      <c r="K240" s="12" t="s">
        <v>176</v>
      </c>
      <c r="L240">
        <v>0</v>
      </c>
      <c r="M240">
        <v>0</v>
      </c>
      <c r="O240" s="39"/>
      <c r="P240" s="15">
        <v>209114.75</v>
      </c>
      <c r="S240" s="17"/>
    </row>
    <row r="241" spans="1:19" x14ac:dyDescent="0.4">
      <c r="A241">
        <v>2101387</v>
      </c>
      <c r="B241" s="16">
        <v>42</v>
      </c>
      <c r="C241" s="12" t="s">
        <v>123</v>
      </c>
      <c r="D241" s="12" t="s">
        <v>141</v>
      </c>
      <c r="E241" s="12" t="s">
        <v>150</v>
      </c>
      <c r="F241" s="12" t="s">
        <v>144</v>
      </c>
      <c r="G241" s="14">
        <f t="shared" ca="1" si="3"/>
        <v>86660.959480913429</v>
      </c>
      <c r="H241" s="12" t="s">
        <v>171</v>
      </c>
      <c r="I241">
        <v>0</v>
      </c>
      <c r="J241">
        <v>45</v>
      </c>
      <c r="K241" s="12" t="s">
        <v>176</v>
      </c>
      <c r="L241">
        <v>0</v>
      </c>
      <c r="M241">
        <v>0</v>
      </c>
      <c r="O241" s="39"/>
      <c r="P241" s="16">
        <v>74757.490000000005</v>
      </c>
      <c r="S241" s="17"/>
    </row>
    <row r="242" spans="1:19" x14ac:dyDescent="0.4">
      <c r="A242">
        <v>2102127</v>
      </c>
      <c r="B242" s="15">
        <v>54</v>
      </c>
      <c r="C242" s="12" t="s">
        <v>123</v>
      </c>
      <c r="D242" s="12" t="s">
        <v>132</v>
      </c>
      <c r="E242" s="12" t="s">
        <v>152</v>
      </c>
      <c r="F242" s="12" t="s">
        <v>157</v>
      </c>
      <c r="G242" s="14">
        <f t="shared" ca="1" si="3"/>
        <v>32290.067329300764</v>
      </c>
      <c r="H242" s="12" t="s">
        <v>172</v>
      </c>
      <c r="I242">
        <v>0</v>
      </c>
      <c r="J242">
        <v>30</v>
      </c>
      <c r="K242" s="12" t="s">
        <v>176</v>
      </c>
      <c r="L242">
        <v>0</v>
      </c>
      <c r="M242">
        <v>0</v>
      </c>
      <c r="O242" s="39"/>
      <c r="P242" s="15">
        <v>29282.080000000002</v>
      </c>
      <c r="S242" s="17"/>
    </row>
    <row r="243" spans="1:19" x14ac:dyDescent="0.4">
      <c r="A243">
        <v>2102378</v>
      </c>
      <c r="B243" s="16">
        <v>44</v>
      </c>
      <c r="C243" s="12" t="s">
        <v>123</v>
      </c>
      <c r="D243" s="12" t="s">
        <v>134</v>
      </c>
      <c r="E243" s="12" t="s">
        <v>152</v>
      </c>
      <c r="F243" s="12" t="s">
        <v>165</v>
      </c>
      <c r="G243" s="14">
        <f t="shared" ca="1" si="3"/>
        <v>39076.885556141955</v>
      </c>
      <c r="H243" s="12" t="s">
        <v>172</v>
      </c>
      <c r="I243">
        <v>0</v>
      </c>
      <c r="J243">
        <v>40</v>
      </c>
      <c r="K243" s="12" t="s">
        <v>176</v>
      </c>
      <c r="L243">
        <v>0</v>
      </c>
      <c r="M243">
        <v>0</v>
      </c>
      <c r="O243" s="39"/>
      <c r="P243" s="16">
        <v>22917.759999999998</v>
      </c>
      <c r="S243" s="17"/>
    </row>
    <row r="244" spans="1:19" x14ac:dyDescent="0.4">
      <c r="A244">
        <v>2109381</v>
      </c>
      <c r="B244" s="15">
        <v>44</v>
      </c>
      <c r="C244" s="12" t="s">
        <v>122</v>
      </c>
      <c r="D244" s="12" t="s">
        <v>134</v>
      </c>
      <c r="E244" s="12" t="s">
        <v>152</v>
      </c>
      <c r="F244" s="12" t="s">
        <v>159</v>
      </c>
      <c r="G244" s="14">
        <f t="shared" ca="1" si="3"/>
        <v>70944.94935355513</v>
      </c>
      <c r="H244" s="12" t="s">
        <v>172</v>
      </c>
      <c r="I244">
        <v>0</v>
      </c>
      <c r="J244">
        <v>41</v>
      </c>
      <c r="K244" s="12" t="s">
        <v>176</v>
      </c>
      <c r="L244">
        <v>0</v>
      </c>
      <c r="M244">
        <v>0</v>
      </c>
      <c r="O244" s="39"/>
      <c r="P244" s="15">
        <v>35956.04</v>
      </c>
      <c r="S244" s="17"/>
    </row>
    <row r="245" spans="1:19" x14ac:dyDescent="0.4">
      <c r="A245">
        <v>2109898</v>
      </c>
      <c r="B245" s="16">
        <v>51</v>
      </c>
      <c r="C245" s="12" t="s">
        <v>122</v>
      </c>
      <c r="D245" s="12" t="s">
        <v>132</v>
      </c>
      <c r="E245" s="12" t="s">
        <v>152</v>
      </c>
      <c r="F245" s="12" t="s">
        <v>159</v>
      </c>
      <c r="G245" s="14">
        <f t="shared" ca="1" si="3"/>
        <v>80226.642302373875</v>
      </c>
      <c r="H245" s="12" t="s">
        <v>172</v>
      </c>
      <c r="I245">
        <v>0</v>
      </c>
      <c r="J245">
        <v>48</v>
      </c>
      <c r="K245" s="12" t="s">
        <v>176</v>
      </c>
      <c r="L245">
        <v>3103</v>
      </c>
      <c r="M245">
        <v>1</v>
      </c>
      <c r="O245" s="39"/>
      <c r="P245" s="16">
        <v>42628.43</v>
      </c>
      <c r="S245" s="17"/>
    </row>
    <row r="246" spans="1:19" x14ac:dyDescent="0.4">
      <c r="A246">
        <v>2114154</v>
      </c>
      <c r="B246" s="15">
        <v>38</v>
      </c>
      <c r="C246" s="12" t="s">
        <v>126</v>
      </c>
      <c r="D246" s="12" t="s">
        <v>135</v>
      </c>
      <c r="E246" s="12" t="s">
        <v>150</v>
      </c>
      <c r="F246" s="12" t="s">
        <v>160</v>
      </c>
      <c r="G246" s="14">
        <f t="shared" ca="1" si="3"/>
        <v>98279.081812931909</v>
      </c>
      <c r="H246" s="12" t="s">
        <v>172</v>
      </c>
      <c r="I246">
        <v>0</v>
      </c>
      <c r="J246">
        <v>40</v>
      </c>
      <c r="K246" s="12" t="s">
        <v>176</v>
      </c>
      <c r="L246">
        <v>0</v>
      </c>
      <c r="M246">
        <v>0</v>
      </c>
      <c r="O246" s="39"/>
      <c r="P246" s="15">
        <v>59178.12</v>
      </c>
      <c r="S246" s="17"/>
    </row>
    <row r="247" spans="1:19" x14ac:dyDescent="0.4">
      <c r="A247">
        <v>2114608</v>
      </c>
      <c r="B247" s="16">
        <v>41</v>
      </c>
      <c r="C247" s="12" t="s">
        <v>122</v>
      </c>
      <c r="D247" s="12" t="s">
        <v>132</v>
      </c>
      <c r="E247" s="12" t="s">
        <v>151</v>
      </c>
      <c r="F247" s="12" t="s">
        <v>162</v>
      </c>
      <c r="G247" s="14">
        <f t="shared" ca="1" si="3"/>
        <v>13001.479514167002</v>
      </c>
      <c r="H247" s="12" t="s">
        <v>171</v>
      </c>
      <c r="I247">
        <v>0</v>
      </c>
      <c r="J247">
        <v>48</v>
      </c>
      <c r="K247" s="12" t="s">
        <v>176</v>
      </c>
      <c r="L247">
        <v>0</v>
      </c>
      <c r="M247">
        <v>0</v>
      </c>
      <c r="O247" s="39"/>
      <c r="P247" s="16">
        <v>10747.59</v>
      </c>
      <c r="S247" s="17"/>
    </row>
    <row r="248" spans="1:19" x14ac:dyDescent="0.4">
      <c r="A248">
        <v>2129840</v>
      </c>
      <c r="B248" s="15">
        <v>33</v>
      </c>
      <c r="C248" s="12" t="s">
        <v>123</v>
      </c>
      <c r="D248" s="12" t="s">
        <v>134</v>
      </c>
      <c r="E248" s="12" t="s">
        <v>152</v>
      </c>
      <c r="F248" s="12" t="s">
        <v>157</v>
      </c>
      <c r="G248" s="14">
        <f t="shared" ca="1" si="3"/>
        <v>99886.723576111603</v>
      </c>
      <c r="H248" s="12" t="s">
        <v>172</v>
      </c>
      <c r="I248">
        <v>0</v>
      </c>
      <c r="J248">
        <v>60</v>
      </c>
      <c r="K248" s="12" t="s">
        <v>176</v>
      </c>
      <c r="L248">
        <v>0</v>
      </c>
      <c r="M248">
        <v>0</v>
      </c>
      <c r="O248" s="39"/>
      <c r="P248" s="15">
        <v>72286.490000000005</v>
      </c>
      <c r="S248" s="17"/>
    </row>
    <row r="249" spans="1:19" x14ac:dyDescent="0.4">
      <c r="A249">
        <v>2134046</v>
      </c>
      <c r="B249" s="16">
        <v>21</v>
      </c>
      <c r="C249" s="12" t="s">
        <v>122</v>
      </c>
      <c r="D249" s="12" t="s">
        <v>134</v>
      </c>
      <c r="E249" s="12" t="s">
        <v>150</v>
      </c>
      <c r="F249" s="12" t="s">
        <v>162</v>
      </c>
      <c r="G249" s="14">
        <f t="shared" ca="1" si="3"/>
        <v>175105.40759017286</v>
      </c>
      <c r="H249" s="12" t="s">
        <v>172</v>
      </c>
      <c r="I249">
        <v>0</v>
      </c>
      <c r="J249">
        <v>40</v>
      </c>
      <c r="K249" s="12" t="s">
        <v>176</v>
      </c>
      <c r="L249">
        <v>0</v>
      </c>
      <c r="M249">
        <v>0</v>
      </c>
      <c r="O249" s="39"/>
      <c r="P249" s="16">
        <v>162103.43</v>
      </c>
      <c r="S249" s="17"/>
    </row>
    <row r="250" spans="1:19" x14ac:dyDescent="0.4">
      <c r="A250">
        <v>2134599</v>
      </c>
      <c r="B250" s="15">
        <v>37</v>
      </c>
      <c r="C250" s="12" t="s">
        <v>123</v>
      </c>
      <c r="D250" s="12" t="s">
        <v>134</v>
      </c>
      <c r="E250" s="12" t="s">
        <v>152</v>
      </c>
      <c r="F250" s="12" t="s">
        <v>159</v>
      </c>
      <c r="G250" s="14">
        <f t="shared" ca="1" si="3"/>
        <v>50743.74511152842</v>
      </c>
      <c r="H250" s="12" t="s">
        <v>172</v>
      </c>
      <c r="I250">
        <v>0</v>
      </c>
      <c r="J250">
        <v>40</v>
      </c>
      <c r="K250" s="12" t="s">
        <v>176</v>
      </c>
      <c r="L250">
        <v>0</v>
      </c>
      <c r="M250">
        <v>0</v>
      </c>
      <c r="O250" s="39"/>
      <c r="P250" s="15">
        <v>41964.4</v>
      </c>
      <c r="S250" s="17"/>
    </row>
    <row r="251" spans="1:19" x14ac:dyDescent="0.4">
      <c r="A251">
        <v>2134665</v>
      </c>
      <c r="B251" s="16">
        <v>41</v>
      </c>
      <c r="C251" s="12" t="s">
        <v>122</v>
      </c>
      <c r="D251" s="12" t="s">
        <v>132</v>
      </c>
      <c r="E251" s="12" t="s">
        <v>152</v>
      </c>
      <c r="F251" s="12" t="s">
        <v>160</v>
      </c>
      <c r="G251" s="14">
        <f t="shared" ca="1" si="3"/>
        <v>341444.39260368358</v>
      </c>
      <c r="H251" s="12" t="s">
        <v>172</v>
      </c>
      <c r="I251">
        <v>0</v>
      </c>
      <c r="J251">
        <v>40</v>
      </c>
      <c r="K251" s="12" t="s">
        <v>176</v>
      </c>
      <c r="L251">
        <v>1695</v>
      </c>
      <c r="M251">
        <v>1</v>
      </c>
      <c r="O251" s="39"/>
      <c r="P251" s="16">
        <v>192398.74</v>
      </c>
      <c r="S251" s="17"/>
    </row>
    <row r="252" spans="1:19" x14ac:dyDescent="0.4">
      <c r="A252">
        <v>2137895</v>
      </c>
      <c r="B252" s="15">
        <v>49</v>
      </c>
      <c r="C252" s="12" t="s">
        <v>124</v>
      </c>
      <c r="D252" s="12" t="s">
        <v>132</v>
      </c>
      <c r="E252" s="12" t="s">
        <v>152</v>
      </c>
      <c r="F252" s="12" t="s">
        <v>144</v>
      </c>
      <c r="G252" s="14">
        <f t="shared" ca="1" si="3"/>
        <v>199992.70468355279</v>
      </c>
      <c r="H252" s="12" t="s">
        <v>171</v>
      </c>
      <c r="I252">
        <v>0</v>
      </c>
      <c r="J252">
        <v>65</v>
      </c>
      <c r="K252" s="12" t="s">
        <v>176</v>
      </c>
      <c r="L252">
        <v>5600</v>
      </c>
      <c r="M252">
        <v>1</v>
      </c>
      <c r="O252" s="39"/>
      <c r="P252" s="15">
        <v>189129.57</v>
      </c>
      <c r="S252" s="17"/>
    </row>
    <row r="253" spans="1:19" x14ac:dyDescent="0.4">
      <c r="A253">
        <v>2143793</v>
      </c>
      <c r="B253" s="16">
        <v>39</v>
      </c>
      <c r="C253" s="12" t="s">
        <v>122</v>
      </c>
      <c r="D253" s="12" t="s">
        <v>134</v>
      </c>
      <c r="E253" s="12" t="s">
        <v>150</v>
      </c>
      <c r="F253" s="12" t="s">
        <v>161</v>
      </c>
      <c r="G253" s="14">
        <f t="shared" ca="1" si="3"/>
        <v>119094.80043814208</v>
      </c>
      <c r="H253" s="12" t="s">
        <v>172</v>
      </c>
      <c r="I253">
        <v>0</v>
      </c>
      <c r="J253">
        <v>40</v>
      </c>
      <c r="K253" s="12" t="s">
        <v>176</v>
      </c>
      <c r="L253">
        <v>0</v>
      </c>
      <c r="M253">
        <v>0</v>
      </c>
      <c r="O253" s="39"/>
      <c r="P253" s="16">
        <v>89935.48</v>
      </c>
      <c r="S253" s="17"/>
    </row>
    <row r="254" spans="1:19" x14ac:dyDescent="0.4">
      <c r="A254">
        <v>2160461</v>
      </c>
      <c r="B254" s="15">
        <v>24</v>
      </c>
      <c r="C254" s="12" t="s">
        <v>122</v>
      </c>
      <c r="D254" s="12" t="s">
        <v>134</v>
      </c>
      <c r="E254" s="12" t="s">
        <v>151</v>
      </c>
      <c r="F254" s="12" t="s">
        <v>161</v>
      </c>
      <c r="G254" s="14">
        <f t="shared" ca="1" si="3"/>
        <v>98579.455579374408</v>
      </c>
      <c r="H254" s="12" t="s">
        <v>172</v>
      </c>
      <c r="I254">
        <v>0</v>
      </c>
      <c r="J254">
        <v>40</v>
      </c>
      <c r="K254" s="12" t="s">
        <v>176</v>
      </c>
      <c r="L254">
        <v>0</v>
      </c>
      <c r="M254">
        <v>0</v>
      </c>
      <c r="O254" s="39"/>
      <c r="P254" s="15">
        <v>55642.17</v>
      </c>
      <c r="S254" s="17"/>
    </row>
    <row r="255" spans="1:19" x14ac:dyDescent="0.4">
      <c r="A255">
        <v>2161054</v>
      </c>
      <c r="B255" s="16">
        <v>65</v>
      </c>
      <c r="C255" s="12" t="s">
        <v>126</v>
      </c>
      <c r="D255" s="12" t="s">
        <v>134</v>
      </c>
      <c r="E255" s="12" t="s">
        <v>152</v>
      </c>
      <c r="F255" s="12" t="s">
        <v>158</v>
      </c>
      <c r="G255" s="14">
        <f t="shared" ca="1" si="3"/>
        <v>82415.623353501942</v>
      </c>
      <c r="H255" s="12" t="s">
        <v>172</v>
      </c>
      <c r="I255">
        <v>2174</v>
      </c>
      <c r="J255">
        <v>40</v>
      </c>
      <c r="K255" s="12" t="s">
        <v>176</v>
      </c>
      <c r="L255">
        <v>0</v>
      </c>
      <c r="M255">
        <v>1</v>
      </c>
      <c r="O255" s="39"/>
      <c r="P255" s="16">
        <v>49027.46</v>
      </c>
      <c r="S255" s="17"/>
    </row>
    <row r="256" spans="1:19" x14ac:dyDescent="0.4">
      <c r="A256">
        <v>2179519</v>
      </c>
      <c r="B256" s="15">
        <v>55</v>
      </c>
      <c r="C256" s="12" t="s">
        <v>122</v>
      </c>
      <c r="D256" s="12" t="s">
        <v>134</v>
      </c>
      <c r="E256" s="12" t="s">
        <v>152</v>
      </c>
      <c r="F256" s="12" t="s">
        <v>165</v>
      </c>
      <c r="G256" s="14">
        <f t="shared" ca="1" si="3"/>
        <v>44678.032619334961</v>
      </c>
      <c r="H256" s="12" t="s">
        <v>172</v>
      </c>
      <c r="I256">
        <v>0</v>
      </c>
      <c r="J256">
        <v>45</v>
      </c>
      <c r="K256" s="12" t="s">
        <v>176</v>
      </c>
      <c r="L256">
        <v>0</v>
      </c>
      <c r="M256">
        <v>1</v>
      </c>
      <c r="O256" s="39"/>
      <c r="P256" s="15">
        <v>29965.82</v>
      </c>
      <c r="S256" s="17"/>
    </row>
    <row r="257" spans="1:19" x14ac:dyDescent="0.4">
      <c r="A257">
        <v>2194621</v>
      </c>
      <c r="B257" s="16">
        <v>34</v>
      </c>
      <c r="C257" s="12" t="s">
        <v>122</v>
      </c>
      <c r="D257" s="12" t="s">
        <v>135</v>
      </c>
      <c r="E257" s="12" t="s">
        <v>154</v>
      </c>
      <c r="F257" s="12" t="s">
        <v>158</v>
      </c>
      <c r="G257" s="14">
        <f t="shared" ca="1" si="3"/>
        <v>112082.88089865679</v>
      </c>
      <c r="H257" s="12" t="s">
        <v>171</v>
      </c>
      <c r="I257">
        <v>0</v>
      </c>
      <c r="J257">
        <v>25</v>
      </c>
      <c r="K257" s="12" t="s">
        <v>176</v>
      </c>
      <c r="L257">
        <v>0</v>
      </c>
      <c r="M257">
        <v>0</v>
      </c>
      <c r="O257" s="39"/>
      <c r="P257" s="16">
        <v>81462.83</v>
      </c>
      <c r="S257" s="17"/>
    </row>
    <row r="258" spans="1:19" x14ac:dyDescent="0.4">
      <c r="A258">
        <v>2204629</v>
      </c>
      <c r="B258" s="15">
        <v>33</v>
      </c>
      <c r="C258" s="12" t="s">
        <v>122</v>
      </c>
      <c r="D258" s="12" t="s">
        <v>132</v>
      </c>
      <c r="E258" s="12" t="s">
        <v>152</v>
      </c>
      <c r="F258" s="12" t="s">
        <v>144</v>
      </c>
      <c r="G258" s="14">
        <f t="shared" ca="1" si="3"/>
        <v>30724.105071884318</v>
      </c>
      <c r="H258" s="12" t="s">
        <v>172</v>
      </c>
      <c r="I258">
        <v>0</v>
      </c>
      <c r="J258">
        <v>40</v>
      </c>
      <c r="K258" s="12" t="s">
        <v>176</v>
      </c>
      <c r="L258">
        <v>0</v>
      </c>
      <c r="M258">
        <v>0</v>
      </c>
      <c r="O258" s="39"/>
      <c r="P258" s="15">
        <v>27593.68</v>
      </c>
      <c r="S258" s="17"/>
    </row>
    <row r="259" spans="1:19" x14ac:dyDescent="0.4">
      <c r="A259">
        <v>2206284</v>
      </c>
      <c r="B259" s="16">
        <v>30</v>
      </c>
      <c r="C259" s="12" t="s">
        <v>122</v>
      </c>
      <c r="D259" s="12" t="s">
        <v>134</v>
      </c>
      <c r="E259" s="12" t="s">
        <v>152</v>
      </c>
      <c r="F259" s="12" t="s">
        <v>159</v>
      </c>
      <c r="G259" s="14">
        <f t="shared" ca="1" si="3"/>
        <v>48045.16944815281</v>
      </c>
      <c r="H259" s="12" t="s">
        <v>172</v>
      </c>
      <c r="I259">
        <v>1848</v>
      </c>
      <c r="J259">
        <v>40</v>
      </c>
      <c r="K259" s="12" t="s">
        <v>176</v>
      </c>
      <c r="L259">
        <v>5848</v>
      </c>
      <c r="M259">
        <v>1</v>
      </c>
      <c r="O259" s="39"/>
      <c r="P259" s="16">
        <v>29380.77</v>
      </c>
      <c r="S259" s="17"/>
    </row>
    <row r="260" spans="1:19" x14ac:dyDescent="0.4">
      <c r="A260">
        <v>2206428</v>
      </c>
      <c r="B260" s="15">
        <v>51</v>
      </c>
      <c r="C260" s="12" t="s">
        <v>122</v>
      </c>
      <c r="D260" s="12" t="s">
        <v>137</v>
      </c>
      <c r="E260" s="12" t="s">
        <v>152</v>
      </c>
      <c r="F260" s="12" t="s">
        <v>160</v>
      </c>
      <c r="G260" s="14">
        <f t="shared" ca="1" si="3"/>
        <v>30846.278026270847</v>
      </c>
      <c r="H260" s="12" t="s">
        <v>172</v>
      </c>
      <c r="I260">
        <v>0</v>
      </c>
      <c r="J260">
        <v>50</v>
      </c>
      <c r="K260" s="12" t="s">
        <v>176</v>
      </c>
      <c r="L260">
        <v>3925</v>
      </c>
      <c r="M260">
        <v>1</v>
      </c>
      <c r="O260" s="39"/>
      <c r="P260" s="15">
        <v>20300.740000000002</v>
      </c>
      <c r="S260" s="17"/>
    </row>
    <row r="261" spans="1:19" x14ac:dyDescent="0.4">
      <c r="A261">
        <v>2214801</v>
      </c>
      <c r="B261" s="16">
        <v>50</v>
      </c>
      <c r="C261" s="12" t="s">
        <v>122</v>
      </c>
      <c r="D261" s="12" t="s">
        <v>135</v>
      </c>
      <c r="E261" s="12" t="s">
        <v>151</v>
      </c>
      <c r="F261" s="12" t="s">
        <v>144</v>
      </c>
      <c r="G261" s="14">
        <f t="shared" ca="1" si="3"/>
        <v>164167.53892567009</v>
      </c>
      <c r="H261" s="12" t="s">
        <v>171</v>
      </c>
      <c r="I261">
        <v>0</v>
      </c>
      <c r="J261">
        <v>36</v>
      </c>
      <c r="K261" s="12" t="s">
        <v>186</v>
      </c>
      <c r="L261">
        <v>0</v>
      </c>
      <c r="M261">
        <v>0</v>
      </c>
      <c r="O261" s="39"/>
      <c r="P261" s="16">
        <v>133620.15</v>
      </c>
      <c r="S261" s="17"/>
    </row>
    <row r="262" spans="1:19" x14ac:dyDescent="0.4">
      <c r="A262">
        <v>2215657</v>
      </c>
      <c r="B262" s="15">
        <v>29</v>
      </c>
      <c r="C262" s="12" t="s">
        <v>122</v>
      </c>
      <c r="D262" s="12" t="s">
        <v>134</v>
      </c>
      <c r="E262" s="12" t="s">
        <v>150</v>
      </c>
      <c r="F262" s="12" t="s">
        <v>160</v>
      </c>
      <c r="G262" s="14">
        <f t="shared" ca="1" si="3"/>
        <v>90317.95724290605</v>
      </c>
      <c r="H262" s="12" t="s">
        <v>171</v>
      </c>
      <c r="I262">
        <v>0</v>
      </c>
      <c r="J262">
        <v>40</v>
      </c>
      <c r="K262" s="12" t="s">
        <v>176</v>
      </c>
      <c r="L262">
        <v>0</v>
      </c>
      <c r="M262">
        <v>0</v>
      </c>
      <c r="O262" s="39"/>
      <c r="P262" s="15">
        <v>86241.61</v>
      </c>
      <c r="S262" s="17"/>
    </row>
    <row r="263" spans="1:19" x14ac:dyDescent="0.4">
      <c r="A263">
        <v>2242093</v>
      </c>
      <c r="B263" s="16">
        <v>36</v>
      </c>
      <c r="C263" s="12" t="s">
        <v>122</v>
      </c>
      <c r="D263" s="12" t="s">
        <v>135</v>
      </c>
      <c r="E263" s="12" t="s">
        <v>152</v>
      </c>
      <c r="F263" s="12" t="s">
        <v>144</v>
      </c>
      <c r="G263" s="14">
        <f t="shared" ca="1" si="3"/>
        <v>13944.043245750367</v>
      </c>
      <c r="H263" s="12" t="s">
        <v>172</v>
      </c>
      <c r="I263">
        <v>1902</v>
      </c>
      <c r="J263">
        <v>50</v>
      </c>
      <c r="K263" s="12" t="s">
        <v>176</v>
      </c>
      <c r="L263">
        <v>5240</v>
      </c>
      <c r="M263">
        <v>1</v>
      </c>
      <c r="O263" s="39"/>
      <c r="P263" s="16">
        <v>7377.51</v>
      </c>
      <c r="S263" s="17"/>
    </row>
    <row r="264" spans="1:19" x14ac:dyDescent="0.4">
      <c r="A264">
        <v>2242654</v>
      </c>
      <c r="B264" s="15">
        <v>45</v>
      </c>
      <c r="C264" s="12" t="s">
        <v>125</v>
      </c>
      <c r="D264" s="12" t="s">
        <v>138</v>
      </c>
      <c r="E264" s="12" t="s">
        <v>151</v>
      </c>
      <c r="F264" s="12" t="s">
        <v>144</v>
      </c>
      <c r="G264" s="14">
        <f t="shared" ca="1" si="3"/>
        <v>44468.515589267539</v>
      </c>
      <c r="H264" s="12" t="s">
        <v>172</v>
      </c>
      <c r="I264">
        <v>0</v>
      </c>
      <c r="J264">
        <v>40</v>
      </c>
      <c r="K264" s="12" t="s">
        <v>176</v>
      </c>
      <c r="L264">
        <v>0</v>
      </c>
      <c r="M264">
        <v>0</v>
      </c>
      <c r="O264" s="39"/>
      <c r="P264" s="15">
        <v>25419.27</v>
      </c>
      <c r="S264" s="17"/>
    </row>
    <row r="265" spans="1:19" x14ac:dyDescent="0.4">
      <c r="A265">
        <v>2243150</v>
      </c>
      <c r="B265" s="16">
        <v>45</v>
      </c>
      <c r="C265" s="12" t="s">
        <v>123</v>
      </c>
      <c r="D265" s="12" t="s">
        <v>134</v>
      </c>
      <c r="E265" s="12" t="s">
        <v>152</v>
      </c>
      <c r="F265" s="12" t="s">
        <v>160</v>
      </c>
      <c r="G265" s="14">
        <f t="shared" ca="1" si="3"/>
        <v>16217.876781920753</v>
      </c>
      <c r="H265" s="12" t="s">
        <v>172</v>
      </c>
      <c r="I265">
        <v>0</v>
      </c>
      <c r="J265">
        <v>50</v>
      </c>
      <c r="K265" s="12" t="s">
        <v>176</v>
      </c>
      <c r="L265">
        <v>0</v>
      </c>
      <c r="M265">
        <v>0</v>
      </c>
      <c r="O265" s="39"/>
      <c r="P265" s="16">
        <v>11373.45</v>
      </c>
      <c r="S265" s="17"/>
    </row>
    <row r="266" spans="1:19" x14ac:dyDescent="0.4">
      <c r="A266">
        <v>2243772</v>
      </c>
      <c r="B266" s="15">
        <v>40</v>
      </c>
      <c r="C266" s="12" t="s">
        <v>122</v>
      </c>
      <c r="D266" s="12" t="s">
        <v>140</v>
      </c>
      <c r="E266" s="12" t="s">
        <v>150</v>
      </c>
      <c r="F266" s="12" t="s">
        <v>156</v>
      </c>
      <c r="G266" s="14">
        <f t="shared" ca="1" si="3"/>
        <v>237868.56658914423</v>
      </c>
      <c r="H266" s="12" t="s">
        <v>171</v>
      </c>
      <c r="I266">
        <v>0</v>
      </c>
      <c r="J266">
        <v>40</v>
      </c>
      <c r="K266" s="12" t="s">
        <v>176</v>
      </c>
      <c r="L266">
        <v>0</v>
      </c>
      <c r="M266">
        <v>0</v>
      </c>
      <c r="O266" s="39"/>
      <c r="P266" s="15">
        <v>166702.85999999999</v>
      </c>
      <c r="S266" s="17"/>
    </row>
    <row r="267" spans="1:19" x14ac:dyDescent="0.4">
      <c r="A267">
        <v>2245751</v>
      </c>
      <c r="B267" s="16">
        <v>27</v>
      </c>
      <c r="C267" s="12" t="s">
        <v>122</v>
      </c>
      <c r="D267" s="12" t="s">
        <v>132</v>
      </c>
      <c r="E267" s="12" t="s">
        <v>152</v>
      </c>
      <c r="F267" s="12" t="s">
        <v>162</v>
      </c>
      <c r="G267" s="14">
        <f t="shared" ref="G267:G330" ca="1" si="4">P267*(1+RAND())</f>
        <v>79815.047001230196</v>
      </c>
      <c r="H267" s="12" t="s">
        <v>172</v>
      </c>
      <c r="I267">
        <v>0</v>
      </c>
      <c r="J267">
        <v>50</v>
      </c>
      <c r="K267" s="12" t="s">
        <v>176</v>
      </c>
      <c r="L267">
        <v>0</v>
      </c>
      <c r="M267">
        <v>0</v>
      </c>
      <c r="O267" s="39"/>
      <c r="P267" s="16">
        <v>59321.84</v>
      </c>
      <c r="S267" s="17"/>
    </row>
    <row r="268" spans="1:19" x14ac:dyDescent="0.4">
      <c r="A268">
        <v>2254279</v>
      </c>
      <c r="B268" s="15">
        <v>20</v>
      </c>
      <c r="C268" s="12" t="s">
        <v>125</v>
      </c>
      <c r="D268" s="12" t="s">
        <v>134</v>
      </c>
      <c r="E268" s="12" t="s">
        <v>150</v>
      </c>
      <c r="F268" s="12" t="s">
        <v>164</v>
      </c>
      <c r="G268" s="14">
        <f t="shared" ca="1" si="4"/>
        <v>217508.78539686906</v>
      </c>
      <c r="H268" s="12" t="s">
        <v>172</v>
      </c>
      <c r="I268">
        <v>0</v>
      </c>
      <c r="J268">
        <v>40</v>
      </c>
      <c r="K268" s="12" t="s">
        <v>176</v>
      </c>
      <c r="L268">
        <v>0</v>
      </c>
      <c r="M268">
        <v>0</v>
      </c>
      <c r="O268" s="39"/>
      <c r="P268" s="15">
        <v>171960.33</v>
      </c>
      <c r="S268" s="17"/>
    </row>
    <row r="269" spans="1:19" x14ac:dyDescent="0.4">
      <c r="A269">
        <v>2288670</v>
      </c>
      <c r="B269" s="16">
        <v>30</v>
      </c>
      <c r="C269" s="12" t="s">
        <v>122</v>
      </c>
      <c r="D269" s="12" t="s">
        <v>132</v>
      </c>
      <c r="E269" s="12" t="s">
        <v>151</v>
      </c>
      <c r="F269" s="12" t="s">
        <v>157</v>
      </c>
      <c r="G269" s="14">
        <f t="shared" ca="1" si="4"/>
        <v>191693.07604791888</v>
      </c>
      <c r="H269" s="12" t="s">
        <v>172</v>
      </c>
      <c r="I269">
        <v>0</v>
      </c>
      <c r="J269">
        <v>40</v>
      </c>
      <c r="K269" s="12" t="s">
        <v>176</v>
      </c>
      <c r="L269">
        <v>0</v>
      </c>
      <c r="M269">
        <v>0</v>
      </c>
      <c r="O269" s="39"/>
      <c r="P269" s="16">
        <v>107142.62</v>
      </c>
      <c r="S269" s="17"/>
    </row>
    <row r="270" spans="1:19" x14ac:dyDescent="0.4">
      <c r="A270">
        <v>2293213</v>
      </c>
      <c r="B270" s="15">
        <v>47</v>
      </c>
      <c r="C270" s="12" t="s">
        <v>126</v>
      </c>
      <c r="D270" s="12" t="s">
        <v>134</v>
      </c>
      <c r="E270" s="12" t="s">
        <v>152</v>
      </c>
      <c r="F270" s="12" t="s">
        <v>158</v>
      </c>
      <c r="G270" s="14">
        <f t="shared" ca="1" si="4"/>
        <v>167136.22015716668</v>
      </c>
      <c r="H270" s="12" t="s">
        <v>171</v>
      </c>
      <c r="I270">
        <v>0</v>
      </c>
      <c r="J270">
        <v>40</v>
      </c>
      <c r="K270" s="12" t="s">
        <v>176</v>
      </c>
      <c r="L270">
        <v>15692</v>
      </c>
      <c r="M270">
        <v>1</v>
      </c>
      <c r="O270" s="39"/>
      <c r="P270" s="15">
        <v>146328.63</v>
      </c>
      <c r="S270" s="17"/>
    </row>
    <row r="271" spans="1:19" x14ac:dyDescent="0.4">
      <c r="A271">
        <v>2298185</v>
      </c>
      <c r="B271" s="16">
        <v>18</v>
      </c>
      <c r="C271" s="12" t="s">
        <v>129</v>
      </c>
      <c r="D271" s="12" t="s">
        <v>132</v>
      </c>
      <c r="E271" s="12" t="s">
        <v>150</v>
      </c>
      <c r="F271" s="12" t="s">
        <v>129</v>
      </c>
      <c r="G271" s="14">
        <f t="shared" ca="1" si="4"/>
        <v>407371.49687511625</v>
      </c>
      <c r="H271" s="12" t="s">
        <v>172</v>
      </c>
      <c r="I271">
        <v>0</v>
      </c>
      <c r="J271">
        <v>16</v>
      </c>
      <c r="K271" s="12" t="s">
        <v>176</v>
      </c>
      <c r="L271">
        <v>0</v>
      </c>
      <c r="M271">
        <v>0</v>
      </c>
      <c r="O271" s="39"/>
      <c r="P271" s="16">
        <v>258160.48</v>
      </c>
      <c r="S271" s="17"/>
    </row>
    <row r="272" spans="1:19" x14ac:dyDescent="0.4">
      <c r="A272">
        <v>2298621</v>
      </c>
      <c r="B272" s="15">
        <v>41</v>
      </c>
      <c r="C272" s="12" t="s">
        <v>122</v>
      </c>
      <c r="D272" s="12" t="s">
        <v>132</v>
      </c>
      <c r="E272" s="12" t="s">
        <v>151</v>
      </c>
      <c r="F272" s="12" t="s">
        <v>158</v>
      </c>
      <c r="G272" s="14">
        <f t="shared" ca="1" si="4"/>
        <v>80896.288335232326</v>
      </c>
      <c r="H272" s="12" t="s">
        <v>171</v>
      </c>
      <c r="I272">
        <v>0</v>
      </c>
      <c r="J272">
        <v>55</v>
      </c>
      <c r="K272" s="12" t="s">
        <v>176</v>
      </c>
      <c r="L272">
        <v>0</v>
      </c>
      <c r="M272">
        <v>0</v>
      </c>
      <c r="O272" s="39"/>
      <c r="P272" s="15">
        <v>59474.99</v>
      </c>
      <c r="S272" s="17"/>
    </row>
    <row r="273" spans="1:19" x14ac:dyDescent="0.4">
      <c r="A273">
        <v>2300606</v>
      </c>
      <c r="B273" s="16">
        <v>26</v>
      </c>
      <c r="C273" s="12" t="s">
        <v>125</v>
      </c>
      <c r="D273" s="12" t="s">
        <v>135</v>
      </c>
      <c r="E273" s="12" t="s">
        <v>150</v>
      </c>
      <c r="F273" s="12" t="s">
        <v>158</v>
      </c>
      <c r="G273" s="14">
        <f t="shared" ca="1" si="4"/>
        <v>80977.500193887157</v>
      </c>
      <c r="H273" s="12" t="s">
        <v>172</v>
      </c>
      <c r="I273">
        <v>0</v>
      </c>
      <c r="J273">
        <v>42</v>
      </c>
      <c r="K273" s="12" t="s">
        <v>176</v>
      </c>
      <c r="L273">
        <v>0</v>
      </c>
      <c r="M273">
        <v>0</v>
      </c>
      <c r="O273" s="39"/>
      <c r="P273" s="16">
        <v>64037.85</v>
      </c>
      <c r="S273" s="17"/>
    </row>
    <row r="274" spans="1:19" x14ac:dyDescent="0.4">
      <c r="A274">
        <v>2305277</v>
      </c>
      <c r="B274" s="15">
        <v>45</v>
      </c>
      <c r="C274" s="12" t="s">
        <v>123</v>
      </c>
      <c r="D274" s="12" t="s">
        <v>135</v>
      </c>
      <c r="E274" s="12" t="s">
        <v>152</v>
      </c>
      <c r="F274" s="12" t="s">
        <v>157</v>
      </c>
      <c r="G274" s="14">
        <f t="shared" ca="1" si="4"/>
        <v>34942.790351790805</v>
      </c>
      <c r="H274" s="12" t="s">
        <v>172</v>
      </c>
      <c r="I274">
        <v>0</v>
      </c>
      <c r="J274">
        <v>40</v>
      </c>
      <c r="K274" s="12" t="s">
        <v>176</v>
      </c>
      <c r="L274">
        <v>0</v>
      </c>
      <c r="M274">
        <v>1</v>
      </c>
      <c r="O274" s="39"/>
      <c r="P274" s="15">
        <v>24800.44</v>
      </c>
      <c r="S274" s="17"/>
    </row>
    <row r="275" spans="1:19" x14ac:dyDescent="0.4">
      <c r="A275">
        <v>2314294</v>
      </c>
      <c r="B275" s="16">
        <v>39</v>
      </c>
      <c r="C275" s="12" t="s">
        <v>122</v>
      </c>
      <c r="D275" s="12" t="s">
        <v>138</v>
      </c>
      <c r="E275" s="12" t="s">
        <v>150</v>
      </c>
      <c r="F275" s="12" t="s">
        <v>160</v>
      </c>
      <c r="G275" s="14">
        <f t="shared" ca="1" si="4"/>
        <v>78711.190954113044</v>
      </c>
      <c r="H275" s="12" t="s">
        <v>172</v>
      </c>
      <c r="I275">
        <v>0</v>
      </c>
      <c r="J275">
        <v>50</v>
      </c>
      <c r="K275" s="12" t="s">
        <v>176</v>
      </c>
      <c r="L275">
        <v>0</v>
      </c>
      <c r="M275">
        <v>1</v>
      </c>
      <c r="O275" s="39"/>
      <c r="P275" s="16">
        <v>75918.149999999994</v>
      </c>
      <c r="S275" s="17"/>
    </row>
    <row r="276" spans="1:19" x14ac:dyDescent="0.4">
      <c r="A276">
        <v>2323070</v>
      </c>
      <c r="B276" s="15">
        <v>55</v>
      </c>
      <c r="C276" s="12" t="s">
        <v>122</v>
      </c>
      <c r="D276" s="12" t="s">
        <v>132</v>
      </c>
      <c r="E276" s="12" t="s">
        <v>152</v>
      </c>
      <c r="F276" s="12" t="s">
        <v>144</v>
      </c>
      <c r="G276" s="14">
        <f t="shared" ca="1" si="4"/>
        <v>53417.797474333005</v>
      </c>
      <c r="H276" s="12" t="s">
        <v>172</v>
      </c>
      <c r="I276">
        <v>0</v>
      </c>
      <c r="J276">
        <v>40</v>
      </c>
      <c r="K276" s="12" t="s">
        <v>176</v>
      </c>
      <c r="L276">
        <v>0</v>
      </c>
      <c r="M276">
        <v>0</v>
      </c>
      <c r="O276" s="39"/>
      <c r="P276" s="15">
        <v>35359</v>
      </c>
      <c r="S276" s="17"/>
    </row>
    <row r="277" spans="1:19" x14ac:dyDescent="0.4">
      <c r="A277">
        <v>2326052</v>
      </c>
      <c r="B277" s="16">
        <v>46</v>
      </c>
      <c r="C277" s="12" t="s">
        <v>122</v>
      </c>
      <c r="D277" s="12" t="s">
        <v>134</v>
      </c>
      <c r="E277" s="12" t="s">
        <v>151</v>
      </c>
      <c r="F277" s="12" t="s">
        <v>144</v>
      </c>
      <c r="G277" s="14">
        <f t="shared" ca="1" si="4"/>
        <v>248795.48018885709</v>
      </c>
      <c r="H277" s="12" t="s">
        <v>171</v>
      </c>
      <c r="I277">
        <v>0</v>
      </c>
      <c r="J277">
        <v>40</v>
      </c>
      <c r="K277" s="12" t="s">
        <v>176</v>
      </c>
      <c r="L277">
        <v>0</v>
      </c>
      <c r="M277">
        <v>0</v>
      </c>
      <c r="O277" s="39"/>
      <c r="P277" s="16">
        <v>126466.42</v>
      </c>
      <c r="S277" s="17"/>
    </row>
    <row r="278" spans="1:19" x14ac:dyDescent="0.4">
      <c r="A278">
        <v>2336844</v>
      </c>
      <c r="B278" s="15">
        <v>27</v>
      </c>
      <c r="C278" s="12" t="s">
        <v>122</v>
      </c>
      <c r="D278" s="12" t="s">
        <v>142</v>
      </c>
      <c r="E278" s="12" t="s">
        <v>152</v>
      </c>
      <c r="F278" s="12" t="s">
        <v>166</v>
      </c>
      <c r="G278" s="14">
        <f t="shared" ca="1" si="4"/>
        <v>43389.624409319498</v>
      </c>
      <c r="H278" s="12" t="s">
        <v>172</v>
      </c>
      <c r="I278">
        <v>0</v>
      </c>
      <c r="J278">
        <v>40</v>
      </c>
      <c r="K278" s="12" t="s">
        <v>190</v>
      </c>
      <c r="L278">
        <v>0</v>
      </c>
      <c r="M278">
        <v>0</v>
      </c>
      <c r="O278" s="39"/>
      <c r="P278" s="15">
        <v>27989.97</v>
      </c>
      <c r="S278" s="17"/>
    </row>
    <row r="279" spans="1:19" x14ac:dyDescent="0.4">
      <c r="A279">
        <v>2345121</v>
      </c>
      <c r="B279" s="16">
        <v>51</v>
      </c>
      <c r="C279" s="12" t="s">
        <v>122</v>
      </c>
      <c r="D279" s="12" t="s">
        <v>132</v>
      </c>
      <c r="E279" s="12" t="s">
        <v>150</v>
      </c>
      <c r="F279" s="12" t="s">
        <v>160</v>
      </c>
      <c r="G279" s="14">
        <f t="shared" ca="1" si="4"/>
        <v>142995.64752951401</v>
      </c>
      <c r="H279" s="12" t="s">
        <v>171</v>
      </c>
      <c r="I279">
        <v>0</v>
      </c>
      <c r="J279">
        <v>12</v>
      </c>
      <c r="K279" s="12" t="s">
        <v>176</v>
      </c>
      <c r="L279">
        <v>0</v>
      </c>
      <c r="M279">
        <v>0</v>
      </c>
      <c r="O279" s="39"/>
      <c r="P279" s="16">
        <v>75170.570000000007</v>
      </c>
      <c r="S279" s="17"/>
    </row>
    <row r="280" spans="1:19" x14ac:dyDescent="0.4">
      <c r="A280">
        <v>2350330</v>
      </c>
      <c r="B280" s="15">
        <v>25</v>
      </c>
      <c r="C280" s="12" t="s">
        <v>125</v>
      </c>
      <c r="D280" s="12" t="s">
        <v>134</v>
      </c>
      <c r="E280" s="12" t="s">
        <v>150</v>
      </c>
      <c r="F280" s="12" t="s">
        <v>165</v>
      </c>
      <c r="G280" s="14">
        <f t="shared" ca="1" si="4"/>
        <v>330670.3756335479</v>
      </c>
      <c r="H280" s="12" t="s">
        <v>172</v>
      </c>
      <c r="I280">
        <v>1146</v>
      </c>
      <c r="J280">
        <v>16</v>
      </c>
      <c r="K280" s="12" t="s">
        <v>176</v>
      </c>
      <c r="L280">
        <v>0</v>
      </c>
      <c r="M280">
        <v>0</v>
      </c>
      <c r="O280" s="39"/>
      <c r="P280" s="15">
        <v>179015.01</v>
      </c>
      <c r="S280" s="17"/>
    </row>
    <row r="281" spans="1:19" x14ac:dyDescent="0.4">
      <c r="A281">
        <v>2350883</v>
      </c>
      <c r="B281" s="16">
        <v>37</v>
      </c>
      <c r="C281" s="12" t="s">
        <v>127</v>
      </c>
      <c r="D281" s="12" t="s">
        <v>132</v>
      </c>
      <c r="E281" s="12" t="s">
        <v>152</v>
      </c>
      <c r="F281" s="12" t="s">
        <v>161</v>
      </c>
      <c r="G281" s="14">
        <f t="shared" ca="1" si="4"/>
        <v>23262.18614828034</v>
      </c>
      <c r="H281" s="12" t="s">
        <v>172</v>
      </c>
      <c r="I281">
        <v>0</v>
      </c>
      <c r="J281">
        <v>40</v>
      </c>
      <c r="K281" s="12" t="s">
        <v>176</v>
      </c>
      <c r="L281">
        <v>0</v>
      </c>
      <c r="M281">
        <v>0</v>
      </c>
      <c r="O281" s="39"/>
      <c r="P281" s="16">
        <v>21520.560000000001</v>
      </c>
      <c r="S281" s="17"/>
    </row>
    <row r="282" spans="1:19" x14ac:dyDescent="0.4">
      <c r="A282">
        <v>2361729</v>
      </c>
      <c r="B282" s="15">
        <v>44</v>
      </c>
      <c r="C282" s="12" t="s">
        <v>122</v>
      </c>
      <c r="D282" s="12" t="s">
        <v>132</v>
      </c>
      <c r="E282" s="12" t="s">
        <v>149</v>
      </c>
      <c r="F282" s="12" t="s">
        <v>160</v>
      </c>
      <c r="G282" s="14">
        <f t="shared" ca="1" si="4"/>
        <v>148858.04200064711</v>
      </c>
      <c r="H282" s="12" t="s">
        <v>172</v>
      </c>
      <c r="I282">
        <v>1320</v>
      </c>
      <c r="J282">
        <v>45</v>
      </c>
      <c r="K282" s="12" t="s">
        <v>188</v>
      </c>
      <c r="L282">
        <v>0</v>
      </c>
      <c r="M282">
        <v>0</v>
      </c>
      <c r="O282" s="39"/>
      <c r="P282" s="15">
        <v>80553.73</v>
      </c>
      <c r="S282" s="17"/>
    </row>
    <row r="283" spans="1:19" x14ac:dyDescent="0.4">
      <c r="A283">
        <v>2361855</v>
      </c>
      <c r="B283" s="16">
        <v>27</v>
      </c>
      <c r="C283" s="12" t="s">
        <v>122</v>
      </c>
      <c r="D283" s="12" t="s">
        <v>133</v>
      </c>
      <c r="E283" s="12" t="s">
        <v>152</v>
      </c>
      <c r="F283" s="12" t="s">
        <v>158</v>
      </c>
      <c r="G283" s="14">
        <f t="shared" ca="1" si="4"/>
        <v>267093.44886024354</v>
      </c>
      <c r="H283" s="12" t="s">
        <v>171</v>
      </c>
      <c r="I283">
        <v>0</v>
      </c>
      <c r="J283">
        <v>25</v>
      </c>
      <c r="K283" s="12" t="s">
        <v>176</v>
      </c>
      <c r="L283">
        <v>0</v>
      </c>
      <c r="M283">
        <v>0</v>
      </c>
      <c r="O283" s="39"/>
      <c r="P283" s="16">
        <v>199104.55</v>
      </c>
      <c r="S283" s="17"/>
    </row>
    <row r="284" spans="1:19" x14ac:dyDescent="0.4">
      <c r="A284">
        <v>2364781</v>
      </c>
      <c r="B284" s="15">
        <v>63</v>
      </c>
      <c r="C284" s="12" t="s">
        <v>122</v>
      </c>
      <c r="D284" s="12" t="s">
        <v>134</v>
      </c>
      <c r="E284" s="12" t="s">
        <v>153</v>
      </c>
      <c r="F284" s="12" t="s">
        <v>156</v>
      </c>
      <c r="G284" s="14">
        <f t="shared" ca="1" si="4"/>
        <v>275978.75339246786</v>
      </c>
      <c r="H284" s="12" t="s">
        <v>171</v>
      </c>
      <c r="I284">
        <v>0</v>
      </c>
      <c r="J284">
        <v>40</v>
      </c>
      <c r="K284" s="12" t="s">
        <v>176</v>
      </c>
      <c r="L284">
        <v>0</v>
      </c>
      <c r="M284">
        <v>0</v>
      </c>
      <c r="O284" s="39"/>
      <c r="P284" s="15">
        <v>155241.01</v>
      </c>
      <c r="S284" s="17"/>
    </row>
    <row r="285" spans="1:19" x14ac:dyDescent="0.4">
      <c r="A285">
        <v>2369739</v>
      </c>
      <c r="B285" s="16">
        <v>21</v>
      </c>
      <c r="C285" s="12" t="s">
        <v>122</v>
      </c>
      <c r="D285" s="12" t="s">
        <v>137</v>
      </c>
      <c r="E285" s="12" t="s">
        <v>150</v>
      </c>
      <c r="F285" s="12" t="s">
        <v>161</v>
      </c>
      <c r="G285" s="14">
        <f t="shared" ca="1" si="4"/>
        <v>51180.548275094916</v>
      </c>
      <c r="H285" s="12" t="s">
        <v>172</v>
      </c>
      <c r="I285">
        <v>0</v>
      </c>
      <c r="J285">
        <v>30</v>
      </c>
      <c r="K285" s="12" t="s">
        <v>176</v>
      </c>
      <c r="L285">
        <v>0</v>
      </c>
      <c r="M285">
        <v>0</v>
      </c>
      <c r="O285" s="39"/>
      <c r="P285" s="16">
        <v>39249.370000000003</v>
      </c>
      <c r="S285" s="17"/>
    </row>
    <row r="286" spans="1:19" x14ac:dyDescent="0.4">
      <c r="A286">
        <v>2371361</v>
      </c>
      <c r="B286" s="15">
        <v>41</v>
      </c>
      <c r="C286" s="12" t="s">
        <v>125</v>
      </c>
      <c r="D286" s="12" t="s">
        <v>133</v>
      </c>
      <c r="E286" s="12" t="s">
        <v>152</v>
      </c>
      <c r="F286" s="12" t="s">
        <v>163</v>
      </c>
      <c r="G286" s="14">
        <f t="shared" ca="1" si="4"/>
        <v>30244.949900545646</v>
      </c>
      <c r="H286" s="12" t="s">
        <v>172</v>
      </c>
      <c r="I286">
        <v>0</v>
      </c>
      <c r="J286">
        <v>40</v>
      </c>
      <c r="K286" s="12" t="s">
        <v>176</v>
      </c>
      <c r="L286">
        <v>1457</v>
      </c>
      <c r="M286">
        <v>1</v>
      </c>
      <c r="O286" s="39"/>
      <c r="P286" s="15">
        <v>27621.040000000001</v>
      </c>
      <c r="S286" s="17"/>
    </row>
    <row r="287" spans="1:19" x14ac:dyDescent="0.4">
      <c r="A287">
        <v>2371954</v>
      </c>
      <c r="B287" s="16">
        <v>38</v>
      </c>
      <c r="C287" s="12" t="s">
        <v>122</v>
      </c>
      <c r="D287" s="12" t="s">
        <v>137</v>
      </c>
      <c r="E287" s="12" t="s">
        <v>152</v>
      </c>
      <c r="F287" s="12" t="s">
        <v>161</v>
      </c>
      <c r="G287" s="14">
        <f t="shared" ca="1" si="4"/>
        <v>82630.491839600872</v>
      </c>
      <c r="H287" s="12" t="s">
        <v>172</v>
      </c>
      <c r="I287">
        <v>0</v>
      </c>
      <c r="J287">
        <v>40</v>
      </c>
      <c r="K287" s="12" t="s">
        <v>176</v>
      </c>
      <c r="L287">
        <v>2500</v>
      </c>
      <c r="M287">
        <v>1</v>
      </c>
      <c r="O287" s="39"/>
      <c r="P287" s="16">
        <v>55660.1</v>
      </c>
      <c r="S287" s="17"/>
    </row>
    <row r="288" spans="1:19" x14ac:dyDescent="0.4">
      <c r="A288">
        <v>2382668</v>
      </c>
      <c r="B288" s="15">
        <v>44</v>
      </c>
      <c r="C288" s="12" t="s">
        <v>123</v>
      </c>
      <c r="D288" s="12" t="s">
        <v>132</v>
      </c>
      <c r="E288" s="12" t="s">
        <v>151</v>
      </c>
      <c r="F288" s="12" t="s">
        <v>165</v>
      </c>
      <c r="G288" s="14">
        <f t="shared" ca="1" si="4"/>
        <v>264457.71007710363</v>
      </c>
      <c r="H288" s="12" t="s">
        <v>172</v>
      </c>
      <c r="I288">
        <v>0</v>
      </c>
      <c r="J288">
        <v>40</v>
      </c>
      <c r="K288" s="12" t="s">
        <v>176</v>
      </c>
      <c r="L288">
        <v>0</v>
      </c>
      <c r="M288">
        <v>0</v>
      </c>
      <c r="O288" s="39"/>
      <c r="P288" s="15">
        <v>192599.61</v>
      </c>
      <c r="S288" s="17"/>
    </row>
    <row r="289" spans="1:19" x14ac:dyDescent="0.4">
      <c r="A289">
        <v>2383312</v>
      </c>
      <c r="B289" s="16">
        <v>22</v>
      </c>
      <c r="C289" s="12" t="s">
        <v>129</v>
      </c>
      <c r="D289" s="12" t="s">
        <v>132</v>
      </c>
      <c r="E289" s="12" t="s">
        <v>150</v>
      </c>
      <c r="F289" s="12" t="s">
        <v>129</v>
      </c>
      <c r="G289" s="14">
        <f t="shared" ca="1" si="4"/>
        <v>122297.57124849752</v>
      </c>
      <c r="H289" s="12" t="s">
        <v>172</v>
      </c>
      <c r="I289">
        <v>0</v>
      </c>
      <c r="J289">
        <v>40</v>
      </c>
      <c r="K289" s="12" t="s">
        <v>176</v>
      </c>
      <c r="L289">
        <v>0</v>
      </c>
      <c r="M289">
        <v>0</v>
      </c>
      <c r="O289" s="39"/>
      <c r="P289" s="16">
        <v>92014.13</v>
      </c>
      <c r="S289" s="17"/>
    </row>
    <row r="290" spans="1:19" x14ac:dyDescent="0.4">
      <c r="A290">
        <v>2387868</v>
      </c>
      <c r="B290" s="15">
        <v>52</v>
      </c>
      <c r="C290" s="12" t="s">
        <v>122</v>
      </c>
      <c r="D290" s="12" t="s">
        <v>134</v>
      </c>
      <c r="E290" s="12" t="s">
        <v>152</v>
      </c>
      <c r="F290" s="12" t="s">
        <v>159</v>
      </c>
      <c r="G290" s="14">
        <f t="shared" ca="1" si="4"/>
        <v>75271.818665847197</v>
      </c>
      <c r="H290" s="12" t="s">
        <v>172</v>
      </c>
      <c r="I290">
        <v>0</v>
      </c>
      <c r="J290">
        <v>50</v>
      </c>
      <c r="K290" s="12" t="s">
        <v>176</v>
      </c>
      <c r="L290">
        <v>2505</v>
      </c>
      <c r="M290">
        <v>1</v>
      </c>
      <c r="O290" s="39"/>
      <c r="P290" s="15">
        <v>38175.160000000003</v>
      </c>
      <c r="S290" s="17"/>
    </row>
    <row r="291" spans="1:19" x14ac:dyDescent="0.4">
      <c r="A291">
        <v>2392506</v>
      </c>
      <c r="B291" s="16">
        <v>51</v>
      </c>
      <c r="C291" s="12" t="s">
        <v>125</v>
      </c>
      <c r="D291" s="12" t="s">
        <v>142</v>
      </c>
      <c r="E291" s="12" t="s">
        <v>152</v>
      </c>
      <c r="F291" s="12" t="s">
        <v>157</v>
      </c>
      <c r="G291" s="14">
        <f t="shared" ca="1" si="4"/>
        <v>89798.762621611488</v>
      </c>
      <c r="H291" s="12" t="s">
        <v>172</v>
      </c>
      <c r="I291">
        <v>0</v>
      </c>
      <c r="J291">
        <v>40</v>
      </c>
      <c r="K291" s="12" t="s">
        <v>176</v>
      </c>
      <c r="L291">
        <v>0</v>
      </c>
      <c r="M291">
        <v>0</v>
      </c>
      <c r="O291" s="39"/>
      <c r="P291" s="16">
        <v>50305.81</v>
      </c>
      <c r="S291" s="17"/>
    </row>
    <row r="292" spans="1:19" x14ac:dyDescent="0.4">
      <c r="A292">
        <v>2394361</v>
      </c>
      <c r="B292" s="15">
        <v>67</v>
      </c>
      <c r="C292" s="12" t="s">
        <v>126</v>
      </c>
      <c r="D292" s="12" t="s">
        <v>141</v>
      </c>
      <c r="E292" s="12" t="s">
        <v>152</v>
      </c>
      <c r="F292" s="12" t="s">
        <v>144</v>
      </c>
      <c r="G292" s="14">
        <f t="shared" ca="1" si="4"/>
        <v>24405.749284964208</v>
      </c>
      <c r="H292" s="12" t="s">
        <v>172</v>
      </c>
      <c r="I292">
        <v>0</v>
      </c>
      <c r="J292">
        <v>12</v>
      </c>
      <c r="K292" s="12" t="s">
        <v>129</v>
      </c>
      <c r="L292">
        <v>0</v>
      </c>
      <c r="M292">
        <v>0</v>
      </c>
      <c r="O292" s="39"/>
      <c r="P292" s="15">
        <v>15898.03</v>
      </c>
      <c r="S292" s="17"/>
    </row>
    <row r="293" spans="1:19" x14ac:dyDescent="0.4">
      <c r="A293">
        <v>2403809</v>
      </c>
      <c r="B293" s="16">
        <v>58</v>
      </c>
      <c r="C293" s="12" t="s">
        <v>122</v>
      </c>
      <c r="D293" s="12" t="s">
        <v>137</v>
      </c>
      <c r="E293" s="12" t="s">
        <v>152</v>
      </c>
      <c r="F293" s="12" t="s">
        <v>160</v>
      </c>
      <c r="G293" s="14">
        <f t="shared" ca="1" si="4"/>
        <v>82392.071851082466</v>
      </c>
      <c r="H293" s="12" t="s">
        <v>172</v>
      </c>
      <c r="I293">
        <v>0</v>
      </c>
      <c r="J293">
        <v>40</v>
      </c>
      <c r="K293" s="12" t="s">
        <v>182</v>
      </c>
      <c r="L293">
        <v>0</v>
      </c>
      <c r="M293">
        <v>1</v>
      </c>
      <c r="O293" s="39"/>
      <c r="P293" s="16">
        <v>49228.83</v>
      </c>
      <c r="S293" s="17"/>
    </row>
    <row r="294" spans="1:19" x14ac:dyDescent="0.4">
      <c r="A294">
        <v>2405630</v>
      </c>
      <c r="B294" s="15">
        <v>52</v>
      </c>
      <c r="C294" s="12" t="s">
        <v>124</v>
      </c>
      <c r="D294" s="12" t="s">
        <v>135</v>
      </c>
      <c r="E294" s="12" t="s">
        <v>152</v>
      </c>
      <c r="F294" s="12" t="s">
        <v>162</v>
      </c>
      <c r="G294" s="14">
        <f t="shared" ca="1" si="4"/>
        <v>54578.551627684537</v>
      </c>
      <c r="H294" s="12" t="s">
        <v>172</v>
      </c>
      <c r="I294">
        <v>0</v>
      </c>
      <c r="J294">
        <v>55</v>
      </c>
      <c r="K294" s="12" t="s">
        <v>176</v>
      </c>
      <c r="L294">
        <v>0</v>
      </c>
      <c r="M294">
        <v>0</v>
      </c>
      <c r="O294" s="39"/>
      <c r="P294" s="15">
        <v>41019.67</v>
      </c>
      <c r="S294" s="17"/>
    </row>
    <row r="295" spans="1:19" x14ac:dyDescent="0.4">
      <c r="A295">
        <v>2411282</v>
      </c>
      <c r="B295" s="16">
        <v>42</v>
      </c>
      <c r="C295" s="12" t="s">
        <v>122</v>
      </c>
      <c r="D295" s="12" t="s">
        <v>141</v>
      </c>
      <c r="E295" s="12" t="s">
        <v>150</v>
      </c>
      <c r="F295" s="12" t="s">
        <v>144</v>
      </c>
      <c r="G295" s="14">
        <f t="shared" ca="1" si="4"/>
        <v>121332.64299655292</v>
      </c>
      <c r="H295" s="12" t="s">
        <v>172</v>
      </c>
      <c r="I295">
        <v>0</v>
      </c>
      <c r="J295">
        <v>36</v>
      </c>
      <c r="K295" s="12" t="s">
        <v>176</v>
      </c>
      <c r="L295">
        <v>10302</v>
      </c>
      <c r="M295">
        <v>1</v>
      </c>
      <c r="O295" s="39"/>
      <c r="P295" s="16">
        <v>105677.14</v>
      </c>
      <c r="S295" s="17"/>
    </row>
    <row r="296" spans="1:19" x14ac:dyDescent="0.4">
      <c r="A296">
        <v>2413489</v>
      </c>
      <c r="B296" s="15">
        <v>41</v>
      </c>
      <c r="C296" s="12" t="s">
        <v>122</v>
      </c>
      <c r="D296" s="12" t="s">
        <v>138</v>
      </c>
      <c r="E296" s="12" t="s">
        <v>152</v>
      </c>
      <c r="F296" s="12" t="s">
        <v>144</v>
      </c>
      <c r="G296" s="14">
        <f t="shared" ca="1" si="4"/>
        <v>46956.58286436343</v>
      </c>
      <c r="H296" s="12" t="s">
        <v>172</v>
      </c>
      <c r="I296">
        <v>0</v>
      </c>
      <c r="J296">
        <v>50</v>
      </c>
      <c r="K296" s="12" t="s">
        <v>176</v>
      </c>
      <c r="L296">
        <v>15024</v>
      </c>
      <c r="M296">
        <v>1</v>
      </c>
      <c r="O296" s="39"/>
      <c r="P296" s="15">
        <v>39795.370000000003</v>
      </c>
      <c r="S296" s="17"/>
    </row>
    <row r="297" spans="1:19" x14ac:dyDescent="0.4">
      <c r="A297">
        <v>2415457</v>
      </c>
      <c r="B297" s="16">
        <v>21</v>
      </c>
      <c r="C297" s="12" t="s">
        <v>129</v>
      </c>
      <c r="D297" s="12" t="s">
        <v>132</v>
      </c>
      <c r="E297" s="12" t="s">
        <v>150</v>
      </c>
      <c r="F297" s="12" t="s">
        <v>129</v>
      </c>
      <c r="G297" s="14">
        <f t="shared" ca="1" si="4"/>
        <v>277992.30825915193</v>
      </c>
      <c r="H297" s="12" t="s">
        <v>172</v>
      </c>
      <c r="I297">
        <v>0</v>
      </c>
      <c r="J297">
        <v>30</v>
      </c>
      <c r="K297" s="12" t="s">
        <v>176</v>
      </c>
      <c r="L297">
        <v>0</v>
      </c>
      <c r="M297">
        <v>0</v>
      </c>
      <c r="O297" s="39"/>
      <c r="P297" s="16">
        <v>150958.41</v>
      </c>
      <c r="S297" s="17"/>
    </row>
    <row r="298" spans="1:19" x14ac:dyDescent="0.4">
      <c r="A298">
        <v>2416521</v>
      </c>
      <c r="B298" s="15">
        <v>53</v>
      </c>
      <c r="C298" s="12" t="s">
        <v>126</v>
      </c>
      <c r="D298" s="12" t="s">
        <v>140</v>
      </c>
      <c r="E298" s="12" t="s">
        <v>152</v>
      </c>
      <c r="F298" s="12" t="s">
        <v>157</v>
      </c>
      <c r="G298" s="14">
        <f t="shared" ca="1" si="4"/>
        <v>29104.325089022375</v>
      </c>
      <c r="H298" s="12" t="s">
        <v>172</v>
      </c>
      <c r="I298">
        <v>0</v>
      </c>
      <c r="J298">
        <v>40</v>
      </c>
      <c r="K298" s="12" t="s">
        <v>176</v>
      </c>
      <c r="L298">
        <v>10379</v>
      </c>
      <c r="M298">
        <v>1</v>
      </c>
      <c r="O298" s="39"/>
      <c r="P298" s="15">
        <v>14646.62</v>
      </c>
      <c r="S298" s="17"/>
    </row>
    <row r="299" spans="1:19" x14ac:dyDescent="0.4">
      <c r="A299">
        <v>2424026</v>
      </c>
      <c r="B299" s="16">
        <v>40</v>
      </c>
      <c r="C299" s="12" t="s">
        <v>122</v>
      </c>
      <c r="D299" s="12" t="s">
        <v>132</v>
      </c>
      <c r="E299" s="12" t="s">
        <v>152</v>
      </c>
      <c r="F299" s="12" t="s">
        <v>144</v>
      </c>
      <c r="G299" s="14">
        <f t="shared" ca="1" si="4"/>
        <v>570749.44224312331</v>
      </c>
      <c r="H299" s="12" t="s">
        <v>171</v>
      </c>
      <c r="I299">
        <v>0</v>
      </c>
      <c r="J299">
        <v>40</v>
      </c>
      <c r="K299" s="12" t="s">
        <v>176</v>
      </c>
      <c r="L299">
        <v>0</v>
      </c>
      <c r="M299">
        <v>0</v>
      </c>
      <c r="O299" s="39"/>
      <c r="P299" s="16">
        <v>385067.54</v>
      </c>
      <c r="S299" s="17"/>
    </row>
    <row r="300" spans="1:19" x14ac:dyDescent="0.4">
      <c r="A300">
        <v>2426379</v>
      </c>
      <c r="B300" s="15">
        <v>41</v>
      </c>
      <c r="C300" s="12" t="s">
        <v>122</v>
      </c>
      <c r="D300" s="12" t="s">
        <v>135</v>
      </c>
      <c r="E300" s="12" t="s">
        <v>152</v>
      </c>
      <c r="F300" s="12" t="s">
        <v>144</v>
      </c>
      <c r="G300" s="14">
        <f t="shared" ca="1" si="4"/>
        <v>45475.84310478031</v>
      </c>
      <c r="H300" s="12" t="s">
        <v>172</v>
      </c>
      <c r="I300">
        <v>0</v>
      </c>
      <c r="J300">
        <v>40</v>
      </c>
      <c r="K300" s="12" t="s">
        <v>176</v>
      </c>
      <c r="L300">
        <v>0</v>
      </c>
      <c r="M300">
        <v>0</v>
      </c>
      <c r="O300" s="39"/>
      <c r="P300" s="15">
        <v>25307.22</v>
      </c>
      <c r="S300" s="17"/>
    </row>
    <row r="301" spans="1:19" x14ac:dyDescent="0.4">
      <c r="A301">
        <v>2430330</v>
      </c>
      <c r="B301" s="16">
        <v>60</v>
      </c>
      <c r="C301" s="12" t="s">
        <v>123</v>
      </c>
      <c r="D301" s="12" t="s">
        <v>134</v>
      </c>
      <c r="E301" s="12" t="s">
        <v>152</v>
      </c>
      <c r="F301" s="12" t="s">
        <v>162</v>
      </c>
      <c r="G301" s="14">
        <f t="shared" ca="1" si="4"/>
        <v>58767.946774174736</v>
      </c>
      <c r="H301" s="12" t="s">
        <v>172</v>
      </c>
      <c r="I301">
        <v>0</v>
      </c>
      <c r="J301">
        <v>45</v>
      </c>
      <c r="K301" s="12" t="s">
        <v>176</v>
      </c>
      <c r="L301">
        <v>0</v>
      </c>
      <c r="M301">
        <v>0</v>
      </c>
      <c r="O301" s="39"/>
      <c r="P301" s="16">
        <v>36145.47</v>
      </c>
      <c r="S301" s="17"/>
    </row>
    <row r="302" spans="1:19" x14ac:dyDescent="0.4">
      <c r="A302">
        <v>2434068</v>
      </c>
      <c r="B302" s="15">
        <v>39</v>
      </c>
      <c r="C302" s="12" t="s">
        <v>122</v>
      </c>
      <c r="D302" s="12" t="s">
        <v>134</v>
      </c>
      <c r="E302" s="12" t="s">
        <v>152</v>
      </c>
      <c r="F302" s="12" t="s">
        <v>161</v>
      </c>
      <c r="G302" s="14">
        <f t="shared" ca="1" si="4"/>
        <v>62079.616992594616</v>
      </c>
      <c r="H302" s="12" t="s">
        <v>172</v>
      </c>
      <c r="I302">
        <v>1367.3333333333301</v>
      </c>
      <c r="J302">
        <v>40</v>
      </c>
      <c r="K302" s="12" t="s">
        <v>176</v>
      </c>
      <c r="L302">
        <v>0</v>
      </c>
      <c r="M302">
        <v>0</v>
      </c>
      <c r="O302" s="39"/>
      <c r="P302" s="15">
        <v>32080.22</v>
      </c>
      <c r="S302" s="17"/>
    </row>
    <row r="303" spans="1:19" x14ac:dyDescent="0.4">
      <c r="A303">
        <v>2445821</v>
      </c>
      <c r="B303" s="16">
        <v>29</v>
      </c>
      <c r="C303" s="12" t="s">
        <v>122</v>
      </c>
      <c r="D303" s="12" t="s">
        <v>134</v>
      </c>
      <c r="E303" s="12" t="s">
        <v>151</v>
      </c>
      <c r="F303" s="12" t="s">
        <v>156</v>
      </c>
      <c r="G303" s="14">
        <f t="shared" ca="1" si="4"/>
        <v>150004.55432949858</v>
      </c>
      <c r="H303" s="12" t="s">
        <v>171</v>
      </c>
      <c r="I303">
        <v>0</v>
      </c>
      <c r="J303">
        <v>36</v>
      </c>
      <c r="K303" s="12" t="s">
        <v>176</v>
      </c>
      <c r="L303">
        <v>0</v>
      </c>
      <c r="M303">
        <v>0</v>
      </c>
      <c r="O303" s="39"/>
      <c r="P303" s="16">
        <v>80201.600000000006</v>
      </c>
      <c r="S303" s="17"/>
    </row>
    <row r="304" spans="1:19" x14ac:dyDescent="0.4">
      <c r="A304">
        <v>2452832</v>
      </c>
      <c r="B304" s="15">
        <v>29</v>
      </c>
      <c r="C304" s="12" t="s">
        <v>122</v>
      </c>
      <c r="D304" s="12" t="s">
        <v>139</v>
      </c>
      <c r="E304" s="12" t="s">
        <v>150</v>
      </c>
      <c r="F304" s="12" t="s">
        <v>156</v>
      </c>
      <c r="G304" s="14">
        <f t="shared" ca="1" si="4"/>
        <v>228079.18177158889</v>
      </c>
      <c r="H304" s="12" t="s">
        <v>171</v>
      </c>
      <c r="I304">
        <v>0</v>
      </c>
      <c r="J304">
        <v>40</v>
      </c>
      <c r="K304" s="12" t="s">
        <v>176</v>
      </c>
      <c r="L304">
        <v>0</v>
      </c>
      <c r="M304">
        <v>0</v>
      </c>
      <c r="O304" s="39"/>
      <c r="P304" s="15">
        <v>152961.87</v>
      </c>
      <c r="S304" s="17"/>
    </row>
    <row r="305" spans="1:19" x14ac:dyDescent="0.4">
      <c r="A305">
        <v>2464767</v>
      </c>
      <c r="B305" s="16">
        <v>28</v>
      </c>
      <c r="C305" s="12" t="s">
        <v>123</v>
      </c>
      <c r="D305" s="12" t="s">
        <v>135</v>
      </c>
      <c r="E305" s="12" t="s">
        <v>150</v>
      </c>
      <c r="F305" s="12" t="s">
        <v>144</v>
      </c>
      <c r="G305" s="14">
        <f t="shared" ca="1" si="4"/>
        <v>89774.84343307979</v>
      </c>
      <c r="H305" s="12" t="s">
        <v>172</v>
      </c>
      <c r="I305">
        <v>0</v>
      </c>
      <c r="J305">
        <v>50</v>
      </c>
      <c r="K305" s="12" t="s">
        <v>176</v>
      </c>
      <c r="L305">
        <v>3788</v>
      </c>
      <c r="M305">
        <v>1</v>
      </c>
      <c r="O305" s="39"/>
      <c r="P305" s="16">
        <v>88287.76</v>
      </c>
      <c r="S305" s="17"/>
    </row>
    <row r="306" spans="1:19" x14ac:dyDescent="0.4">
      <c r="A306">
        <v>2467157</v>
      </c>
      <c r="B306" s="15">
        <v>75</v>
      </c>
      <c r="C306" s="12" t="s">
        <v>129</v>
      </c>
      <c r="D306" s="12" t="s">
        <v>140</v>
      </c>
      <c r="E306" s="12" t="s">
        <v>153</v>
      </c>
      <c r="F306" s="12" t="s">
        <v>129</v>
      </c>
      <c r="G306" s="14">
        <f t="shared" ca="1" si="4"/>
        <v>216303.34817295344</v>
      </c>
      <c r="H306" s="12" t="s">
        <v>171</v>
      </c>
      <c r="I306">
        <v>0</v>
      </c>
      <c r="J306">
        <v>1</v>
      </c>
      <c r="K306" s="12" t="s">
        <v>191</v>
      </c>
      <c r="L306">
        <v>0</v>
      </c>
      <c r="M306">
        <v>0</v>
      </c>
      <c r="O306" s="39"/>
      <c r="P306" s="15">
        <v>126406.52</v>
      </c>
      <c r="S306" s="17"/>
    </row>
    <row r="307" spans="1:19" x14ac:dyDescent="0.4">
      <c r="A307">
        <v>2470323</v>
      </c>
      <c r="B307" s="16">
        <v>40</v>
      </c>
      <c r="C307" s="12" t="s">
        <v>122</v>
      </c>
      <c r="D307" s="12" t="s">
        <v>132</v>
      </c>
      <c r="E307" s="12" t="s">
        <v>151</v>
      </c>
      <c r="F307" s="12" t="s">
        <v>156</v>
      </c>
      <c r="G307" s="14">
        <f t="shared" ca="1" si="4"/>
        <v>60001.07340481157</v>
      </c>
      <c r="H307" s="12" t="s">
        <v>171</v>
      </c>
      <c r="I307">
        <v>0</v>
      </c>
      <c r="J307">
        <v>40</v>
      </c>
      <c r="K307" s="12" t="s">
        <v>176</v>
      </c>
      <c r="L307">
        <v>0</v>
      </c>
      <c r="M307">
        <v>0</v>
      </c>
      <c r="O307" s="39"/>
      <c r="P307" s="16">
        <v>55147.82</v>
      </c>
      <c r="S307" s="17"/>
    </row>
    <row r="308" spans="1:19" x14ac:dyDescent="0.4">
      <c r="A308">
        <v>2470481</v>
      </c>
      <c r="B308" s="15">
        <v>21</v>
      </c>
      <c r="C308" s="12" t="s">
        <v>122</v>
      </c>
      <c r="D308" s="12" t="s">
        <v>134</v>
      </c>
      <c r="E308" s="12" t="s">
        <v>150</v>
      </c>
      <c r="F308" s="12" t="s">
        <v>159</v>
      </c>
      <c r="G308" s="14">
        <f t="shared" ca="1" si="4"/>
        <v>166610.0798756291</v>
      </c>
      <c r="H308" s="12" t="s">
        <v>172</v>
      </c>
      <c r="I308">
        <v>0</v>
      </c>
      <c r="J308">
        <v>40</v>
      </c>
      <c r="K308" s="12" t="s">
        <v>176</v>
      </c>
      <c r="L308">
        <v>0</v>
      </c>
      <c r="M308">
        <v>0</v>
      </c>
      <c r="O308" s="39"/>
      <c r="P308" s="15">
        <v>104110.16</v>
      </c>
      <c r="S308" s="17"/>
    </row>
    <row r="309" spans="1:19" x14ac:dyDescent="0.4">
      <c r="A309">
        <v>2474583</v>
      </c>
      <c r="B309" s="16">
        <v>31</v>
      </c>
      <c r="C309" s="12" t="s">
        <v>122</v>
      </c>
      <c r="D309" s="12" t="s">
        <v>132</v>
      </c>
      <c r="E309" s="12" t="s">
        <v>150</v>
      </c>
      <c r="F309" s="12" t="s">
        <v>160</v>
      </c>
      <c r="G309" s="14">
        <f t="shared" ca="1" si="4"/>
        <v>942.17111123155598</v>
      </c>
      <c r="H309" s="12" t="s">
        <v>172</v>
      </c>
      <c r="I309">
        <v>0</v>
      </c>
      <c r="J309">
        <v>40</v>
      </c>
      <c r="K309" s="12" t="s">
        <v>176</v>
      </c>
      <c r="L309">
        <v>0</v>
      </c>
      <c r="M309">
        <v>0</v>
      </c>
      <c r="O309" s="39"/>
      <c r="P309" s="16">
        <v>609.72</v>
      </c>
      <c r="S309" s="17"/>
    </row>
    <row r="310" spans="1:19" x14ac:dyDescent="0.4">
      <c r="A310">
        <v>2476679</v>
      </c>
      <c r="B310" s="15">
        <v>23</v>
      </c>
      <c r="C310" s="12" t="s">
        <v>125</v>
      </c>
      <c r="D310" s="12" t="s">
        <v>134</v>
      </c>
      <c r="E310" s="12" t="s">
        <v>150</v>
      </c>
      <c r="F310" s="12" t="s">
        <v>165</v>
      </c>
      <c r="G310" s="14">
        <f t="shared" ca="1" si="4"/>
        <v>52018.653950284614</v>
      </c>
      <c r="H310" s="12" t="s">
        <v>172</v>
      </c>
      <c r="I310">
        <v>0</v>
      </c>
      <c r="J310">
        <v>40</v>
      </c>
      <c r="K310" s="12" t="s">
        <v>192</v>
      </c>
      <c r="L310">
        <v>0</v>
      </c>
      <c r="M310">
        <v>0</v>
      </c>
      <c r="O310" s="39"/>
      <c r="P310" s="15">
        <v>27390.28</v>
      </c>
      <c r="S310" s="17"/>
    </row>
    <row r="311" spans="1:19" x14ac:dyDescent="0.4">
      <c r="A311">
        <v>2478789</v>
      </c>
      <c r="B311" s="16">
        <v>54</v>
      </c>
      <c r="C311" s="12" t="s">
        <v>122</v>
      </c>
      <c r="D311" s="12" t="s">
        <v>138</v>
      </c>
      <c r="E311" s="12" t="s">
        <v>152</v>
      </c>
      <c r="F311" s="12" t="s">
        <v>144</v>
      </c>
      <c r="G311" s="14">
        <f t="shared" ca="1" si="4"/>
        <v>34748.3468165003</v>
      </c>
      <c r="H311" s="12" t="s">
        <v>172</v>
      </c>
      <c r="I311">
        <v>0</v>
      </c>
      <c r="J311">
        <v>60</v>
      </c>
      <c r="K311" s="12" t="s">
        <v>176</v>
      </c>
      <c r="L311">
        <v>0</v>
      </c>
      <c r="M311">
        <v>0</v>
      </c>
      <c r="O311" s="39"/>
      <c r="P311" s="16">
        <v>29811.43</v>
      </c>
      <c r="S311" s="17"/>
    </row>
    <row r="312" spans="1:19" x14ac:dyDescent="0.4">
      <c r="A312">
        <v>2491453</v>
      </c>
      <c r="B312" s="15">
        <v>23</v>
      </c>
      <c r="C312" s="12" t="s">
        <v>122</v>
      </c>
      <c r="D312" s="12" t="s">
        <v>133</v>
      </c>
      <c r="E312" s="12" t="s">
        <v>150</v>
      </c>
      <c r="F312" s="12" t="s">
        <v>162</v>
      </c>
      <c r="G312" s="14">
        <f t="shared" ca="1" si="4"/>
        <v>54136.920353998583</v>
      </c>
      <c r="H312" s="12" t="s">
        <v>172</v>
      </c>
      <c r="I312">
        <v>0</v>
      </c>
      <c r="J312">
        <v>40</v>
      </c>
      <c r="K312" s="12" t="s">
        <v>176</v>
      </c>
      <c r="L312">
        <v>0</v>
      </c>
      <c r="M312">
        <v>0</v>
      </c>
      <c r="O312" s="39"/>
      <c r="P312" s="15">
        <v>36254.32</v>
      </c>
      <c r="S312" s="17"/>
    </row>
    <row r="313" spans="1:19" x14ac:dyDescent="0.4">
      <c r="A313">
        <v>2497345</v>
      </c>
      <c r="B313" s="16">
        <v>18</v>
      </c>
      <c r="C313" s="12" t="s">
        <v>129</v>
      </c>
      <c r="D313" s="12" t="s">
        <v>136</v>
      </c>
      <c r="E313" s="12" t="s">
        <v>150</v>
      </c>
      <c r="F313" s="12" t="s">
        <v>129</v>
      </c>
      <c r="G313" s="14">
        <f t="shared" ca="1" si="4"/>
        <v>243429.27265039893</v>
      </c>
      <c r="H313" s="12" t="s">
        <v>172</v>
      </c>
      <c r="I313">
        <v>0</v>
      </c>
      <c r="J313">
        <v>20</v>
      </c>
      <c r="K313" s="12" t="s">
        <v>176</v>
      </c>
      <c r="L313">
        <v>0</v>
      </c>
      <c r="M313">
        <v>0</v>
      </c>
      <c r="O313" s="39"/>
      <c r="P313" s="16">
        <v>175051.39</v>
      </c>
      <c r="S313" s="17"/>
    </row>
    <row r="314" spans="1:19" x14ac:dyDescent="0.4">
      <c r="A314">
        <v>2497561</v>
      </c>
      <c r="B314" s="15">
        <v>29</v>
      </c>
      <c r="C314" s="12" t="s">
        <v>122</v>
      </c>
      <c r="D314" s="12" t="s">
        <v>134</v>
      </c>
      <c r="E314" s="12" t="s">
        <v>152</v>
      </c>
      <c r="F314" s="12" t="s">
        <v>156</v>
      </c>
      <c r="G314" s="14">
        <f t="shared" ca="1" si="4"/>
        <v>113072.31322213025</v>
      </c>
      <c r="H314" s="12" t="s">
        <v>172</v>
      </c>
      <c r="I314">
        <v>0</v>
      </c>
      <c r="J314">
        <v>40</v>
      </c>
      <c r="K314" s="12" t="s">
        <v>176</v>
      </c>
      <c r="L314">
        <v>0</v>
      </c>
      <c r="M314">
        <v>0</v>
      </c>
      <c r="O314" s="39"/>
      <c r="P314" s="15">
        <v>67901.350000000006</v>
      </c>
      <c r="S314" s="17"/>
    </row>
    <row r="315" spans="1:19" x14ac:dyDescent="0.4">
      <c r="A315">
        <v>2497708</v>
      </c>
      <c r="B315" s="16">
        <v>20</v>
      </c>
      <c r="C315" s="12" t="s">
        <v>125</v>
      </c>
      <c r="D315" s="12" t="s">
        <v>132</v>
      </c>
      <c r="E315" s="12" t="s">
        <v>150</v>
      </c>
      <c r="F315" s="12" t="s">
        <v>166</v>
      </c>
      <c r="G315" s="14">
        <f t="shared" ca="1" si="4"/>
        <v>230290.47484995346</v>
      </c>
      <c r="H315" s="12" t="s">
        <v>172</v>
      </c>
      <c r="I315">
        <v>0</v>
      </c>
      <c r="J315">
        <v>25</v>
      </c>
      <c r="K315" s="12" t="s">
        <v>176</v>
      </c>
      <c r="L315">
        <v>0</v>
      </c>
      <c r="M315">
        <v>0</v>
      </c>
      <c r="O315" s="39"/>
      <c r="P315" s="16">
        <v>126038.65</v>
      </c>
      <c r="S315" s="17"/>
    </row>
    <row r="316" spans="1:19" x14ac:dyDescent="0.4">
      <c r="A316">
        <v>2500488</v>
      </c>
      <c r="B316" s="15">
        <v>37</v>
      </c>
      <c r="C316" s="12" t="s">
        <v>122</v>
      </c>
      <c r="D316" s="12" t="s">
        <v>132</v>
      </c>
      <c r="E316" s="12" t="s">
        <v>151</v>
      </c>
      <c r="F316" s="12" t="s">
        <v>159</v>
      </c>
      <c r="G316" s="14">
        <f t="shared" ca="1" si="4"/>
        <v>69684.130844092826</v>
      </c>
      <c r="H316" s="12" t="s">
        <v>172</v>
      </c>
      <c r="I316">
        <v>0</v>
      </c>
      <c r="J316">
        <v>50</v>
      </c>
      <c r="K316" s="12" t="s">
        <v>176</v>
      </c>
      <c r="L316">
        <v>0</v>
      </c>
      <c r="M316">
        <v>0</v>
      </c>
      <c r="O316" s="39"/>
      <c r="P316" s="15">
        <v>53249.24</v>
      </c>
      <c r="S316" s="17"/>
    </row>
    <row r="317" spans="1:19" x14ac:dyDescent="0.4">
      <c r="A317">
        <v>2507928</v>
      </c>
      <c r="B317" s="16">
        <v>28</v>
      </c>
      <c r="C317" s="12" t="s">
        <v>122</v>
      </c>
      <c r="D317" s="12" t="s">
        <v>135</v>
      </c>
      <c r="E317" s="12" t="s">
        <v>150</v>
      </c>
      <c r="F317" s="12" t="s">
        <v>158</v>
      </c>
      <c r="G317" s="14">
        <f t="shared" ca="1" si="4"/>
        <v>109643.15965126958</v>
      </c>
      <c r="H317" s="12" t="s">
        <v>171</v>
      </c>
      <c r="I317">
        <v>0</v>
      </c>
      <c r="J317">
        <v>45</v>
      </c>
      <c r="K317" s="12" t="s">
        <v>176</v>
      </c>
      <c r="L317">
        <v>0</v>
      </c>
      <c r="M317">
        <v>0</v>
      </c>
      <c r="O317" s="39"/>
      <c r="P317" s="16">
        <v>57135.48</v>
      </c>
      <c r="S317" s="17"/>
    </row>
    <row r="318" spans="1:19" x14ac:dyDescent="0.4">
      <c r="A318">
        <v>2511963</v>
      </c>
      <c r="B318" s="15">
        <v>65</v>
      </c>
      <c r="C318" s="12" t="s">
        <v>123</v>
      </c>
      <c r="D318" s="12" t="s">
        <v>132</v>
      </c>
      <c r="E318" s="12" t="s">
        <v>152</v>
      </c>
      <c r="F318" s="12" t="s">
        <v>160</v>
      </c>
      <c r="G318" s="14">
        <f t="shared" ca="1" si="4"/>
        <v>31765.658680903955</v>
      </c>
      <c r="H318" s="12" t="s">
        <v>172</v>
      </c>
      <c r="I318">
        <v>2174</v>
      </c>
      <c r="J318">
        <v>10</v>
      </c>
      <c r="K318" s="12" t="s">
        <v>176</v>
      </c>
      <c r="L318">
        <v>7525</v>
      </c>
      <c r="M318">
        <v>1</v>
      </c>
      <c r="O318" s="39"/>
      <c r="P318" s="15">
        <v>29100.18</v>
      </c>
      <c r="S318" s="17"/>
    </row>
    <row r="319" spans="1:19" x14ac:dyDescent="0.4">
      <c r="A319">
        <v>2514591</v>
      </c>
      <c r="B319" s="16">
        <v>37</v>
      </c>
      <c r="C319" s="12" t="s">
        <v>125</v>
      </c>
      <c r="D319" s="12" t="s">
        <v>132</v>
      </c>
      <c r="E319" s="12" t="s">
        <v>154</v>
      </c>
      <c r="F319" s="12" t="s">
        <v>158</v>
      </c>
      <c r="G319" s="14">
        <f t="shared" ca="1" si="4"/>
        <v>218513.07827310704</v>
      </c>
      <c r="H319" s="12" t="s">
        <v>171</v>
      </c>
      <c r="I319">
        <v>0</v>
      </c>
      <c r="J319">
        <v>27</v>
      </c>
      <c r="K319" s="12" t="s">
        <v>176</v>
      </c>
      <c r="L319">
        <v>0</v>
      </c>
      <c r="M319">
        <v>0</v>
      </c>
      <c r="O319" s="39"/>
      <c r="P319" s="16">
        <v>147993.31</v>
      </c>
      <c r="S319" s="17"/>
    </row>
    <row r="320" spans="1:19" x14ac:dyDescent="0.4">
      <c r="A320">
        <v>2514943</v>
      </c>
      <c r="B320" s="15">
        <v>21</v>
      </c>
      <c r="C320" s="12" t="s">
        <v>122</v>
      </c>
      <c r="D320" s="12" t="s">
        <v>134</v>
      </c>
      <c r="E320" s="12" t="s">
        <v>150</v>
      </c>
      <c r="F320" s="12" t="s">
        <v>162</v>
      </c>
      <c r="G320" s="14">
        <f t="shared" ca="1" si="4"/>
        <v>129612.18476732372</v>
      </c>
      <c r="H320" s="12" t="s">
        <v>171</v>
      </c>
      <c r="I320">
        <v>0</v>
      </c>
      <c r="J320">
        <v>30</v>
      </c>
      <c r="K320" s="12" t="s">
        <v>176</v>
      </c>
      <c r="L320">
        <v>0</v>
      </c>
      <c r="M320">
        <v>0</v>
      </c>
      <c r="O320" s="39"/>
      <c r="P320" s="15">
        <v>70275.91</v>
      </c>
      <c r="S320" s="17"/>
    </row>
    <row r="321" spans="1:19" x14ac:dyDescent="0.4">
      <c r="A321">
        <v>2515064</v>
      </c>
      <c r="B321" s="16">
        <v>51</v>
      </c>
      <c r="C321" s="12" t="s">
        <v>122</v>
      </c>
      <c r="D321" s="12" t="s">
        <v>134</v>
      </c>
      <c r="E321" s="12" t="s">
        <v>152</v>
      </c>
      <c r="F321" s="12" t="s">
        <v>159</v>
      </c>
      <c r="G321" s="14">
        <f t="shared" ca="1" si="4"/>
        <v>43079.738400115944</v>
      </c>
      <c r="H321" s="12" t="s">
        <v>172</v>
      </c>
      <c r="I321">
        <v>0</v>
      </c>
      <c r="J321">
        <v>40</v>
      </c>
      <c r="K321" s="12" t="s">
        <v>176</v>
      </c>
      <c r="L321">
        <v>0</v>
      </c>
      <c r="M321">
        <v>0</v>
      </c>
      <c r="O321" s="39"/>
      <c r="P321" s="16">
        <v>22770.44</v>
      </c>
      <c r="S321" s="17"/>
    </row>
    <row r="322" spans="1:19" x14ac:dyDescent="0.4">
      <c r="A322">
        <v>2519287</v>
      </c>
      <c r="B322" s="15">
        <v>54</v>
      </c>
      <c r="C322" s="12" t="s">
        <v>122</v>
      </c>
      <c r="D322" s="12" t="s">
        <v>137</v>
      </c>
      <c r="E322" s="12" t="s">
        <v>152</v>
      </c>
      <c r="F322" s="12" t="s">
        <v>163</v>
      </c>
      <c r="G322" s="14">
        <f t="shared" ca="1" si="4"/>
        <v>132547.58077906654</v>
      </c>
      <c r="H322" s="12" t="s">
        <v>172</v>
      </c>
      <c r="I322">
        <v>0</v>
      </c>
      <c r="J322">
        <v>40</v>
      </c>
      <c r="K322" s="12" t="s">
        <v>176</v>
      </c>
      <c r="L322">
        <v>7688</v>
      </c>
      <c r="M322">
        <v>1</v>
      </c>
      <c r="O322" s="39"/>
      <c r="P322" s="15">
        <v>66433.009999999995</v>
      </c>
      <c r="S322" s="17"/>
    </row>
    <row r="323" spans="1:19" x14ac:dyDescent="0.4">
      <c r="A323">
        <v>2520820</v>
      </c>
      <c r="B323" s="16">
        <v>46</v>
      </c>
      <c r="C323" s="12" t="s">
        <v>122</v>
      </c>
      <c r="D323" s="12" t="s">
        <v>132</v>
      </c>
      <c r="E323" s="12" t="s">
        <v>151</v>
      </c>
      <c r="F323" s="12" t="s">
        <v>158</v>
      </c>
      <c r="G323" s="14">
        <f t="shared" ca="1" si="4"/>
        <v>92574.908467818561</v>
      </c>
      <c r="H323" s="12" t="s">
        <v>171</v>
      </c>
      <c r="I323">
        <v>0</v>
      </c>
      <c r="J323">
        <v>40</v>
      </c>
      <c r="K323" s="12" t="s">
        <v>176</v>
      </c>
      <c r="L323">
        <v>0</v>
      </c>
      <c r="M323">
        <v>0</v>
      </c>
      <c r="O323" s="39"/>
      <c r="P323" s="16">
        <v>47070.57</v>
      </c>
      <c r="S323" s="17"/>
    </row>
    <row r="324" spans="1:19" x14ac:dyDescent="0.4">
      <c r="A324">
        <v>2525379</v>
      </c>
      <c r="B324" s="15">
        <v>35</v>
      </c>
      <c r="C324" s="12" t="s">
        <v>122</v>
      </c>
      <c r="D324" s="12" t="s">
        <v>134</v>
      </c>
      <c r="E324" s="12" t="s">
        <v>150</v>
      </c>
      <c r="F324" s="12" t="s">
        <v>161</v>
      </c>
      <c r="G324" s="14">
        <f t="shared" ca="1" si="4"/>
        <v>396148.07621370454</v>
      </c>
      <c r="H324" s="12" t="s">
        <v>171</v>
      </c>
      <c r="I324">
        <v>0</v>
      </c>
      <c r="J324">
        <v>48</v>
      </c>
      <c r="K324" s="12" t="s">
        <v>176</v>
      </c>
      <c r="L324">
        <v>0</v>
      </c>
      <c r="M324">
        <v>0</v>
      </c>
      <c r="O324" s="39"/>
      <c r="P324" s="15">
        <v>279599.42</v>
      </c>
      <c r="S324" s="17"/>
    </row>
    <row r="325" spans="1:19" x14ac:dyDescent="0.4">
      <c r="A325">
        <v>2533797</v>
      </c>
      <c r="B325" s="16">
        <v>43</v>
      </c>
      <c r="C325" s="12" t="s">
        <v>126</v>
      </c>
      <c r="D325" s="12" t="s">
        <v>138</v>
      </c>
      <c r="E325" s="12" t="s">
        <v>152</v>
      </c>
      <c r="F325" s="12" t="s">
        <v>160</v>
      </c>
      <c r="G325" s="14">
        <f t="shared" ca="1" si="4"/>
        <v>31133.268850572829</v>
      </c>
      <c r="H325" s="12" t="s">
        <v>172</v>
      </c>
      <c r="I325">
        <v>0</v>
      </c>
      <c r="J325">
        <v>40</v>
      </c>
      <c r="K325" s="12" t="s">
        <v>176</v>
      </c>
      <c r="L325">
        <v>7107</v>
      </c>
      <c r="M325">
        <v>1</v>
      </c>
      <c r="O325" s="39"/>
      <c r="P325" s="16">
        <v>15762.95</v>
      </c>
      <c r="S325" s="17"/>
    </row>
    <row r="326" spans="1:19" x14ac:dyDescent="0.4">
      <c r="A326">
        <v>2549383</v>
      </c>
      <c r="B326" s="15">
        <v>32</v>
      </c>
      <c r="C326" s="12" t="s">
        <v>123</v>
      </c>
      <c r="D326" s="12" t="s">
        <v>139</v>
      </c>
      <c r="E326" s="12" t="s">
        <v>149</v>
      </c>
      <c r="F326" s="12" t="s">
        <v>164</v>
      </c>
      <c r="G326" s="14">
        <f t="shared" ca="1" si="4"/>
        <v>114974.40038896531</v>
      </c>
      <c r="H326" s="12" t="s">
        <v>171</v>
      </c>
      <c r="I326">
        <v>0</v>
      </c>
      <c r="J326">
        <v>40</v>
      </c>
      <c r="K326" s="12" t="s">
        <v>193</v>
      </c>
      <c r="L326">
        <v>0</v>
      </c>
      <c r="M326">
        <v>0</v>
      </c>
      <c r="O326" s="39"/>
      <c r="P326" s="15">
        <v>93671.92</v>
      </c>
      <c r="S326" s="17"/>
    </row>
    <row r="327" spans="1:19" x14ac:dyDescent="0.4">
      <c r="A327">
        <v>2551914</v>
      </c>
      <c r="B327" s="16">
        <v>64</v>
      </c>
      <c r="C327" s="12" t="s">
        <v>122</v>
      </c>
      <c r="D327" s="12" t="s">
        <v>134</v>
      </c>
      <c r="E327" s="12" t="s">
        <v>153</v>
      </c>
      <c r="F327" s="12" t="s">
        <v>158</v>
      </c>
      <c r="G327" s="14">
        <f t="shared" ca="1" si="4"/>
        <v>131898.59851101524</v>
      </c>
      <c r="H327" s="12" t="s">
        <v>171</v>
      </c>
      <c r="I327">
        <v>0</v>
      </c>
      <c r="J327">
        <v>30</v>
      </c>
      <c r="K327" s="12" t="s">
        <v>176</v>
      </c>
      <c r="L327">
        <v>0</v>
      </c>
      <c r="M327">
        <v>0</v>
      </c>
      <c r="O327" s="39"/>
      <c r="P327" s="16">
        <v>73486.06</v>
      </c>
      <c r="S327" s="17"/>
    </row>
    <row r="328" spans="1:19" x14ac:dyDescent="0.4">
      <c r="A328">
        <v>2556296</v>
      </c>
      <c r="B328" s="15">
        <v>46</v>
      </c>
      <c r="C328" s="12" t="s">
        <v>127</v>
      </c>
      <c r="D328" s="12" t="s">
        <v>132</v>
      </c>
      <c r="E328" s="12" t="s">
        <v>151</v>
      </c>
      <c r="F328" s="12" t="s">
        <v>158</v>
      </c>
      <c r="G328" s="14">
        <f t="shared" ca="1" si="4"/>
        <v>209858.66281468558</v>
      </c>
      <c r="H328" s="12" t="s">
        <v>171</v>
      </c>
      <c r="I328">
        <v>0</v>
      </c>
      <c r="J328">
        <v>40</v>
      </c>
      <c r="K328" s="12" t="s">
        <v>176</v>
      </c>
      <c r="L328">
        <v>0</v>
      </c>
      <c r="M328">
        <v>0</v>
      </c>
      <c r="O328" s="39"/>
      <c r="P328" s="15">
        <v>111422.53</v>
      </c>
      <c r="S328" s="17"/>
    </row>
    <row r="329" spans="1:19" x14ac:dyDescent="0.4">
      <c r="A329">
        <v>2559947</v>
      </c>
      <c r="B329" s="16">
        <v>29</v>
      </c>
      <c r="C329" s="12" t="s">
        <v>122</v>
      </c>
      <c r="D329" s="12" t="s">
        <v>134</v>
      </c>
      <c r="E329" s="12" t="s">
        <v>152</v>
      </c>
      <c r="F329" s="12" t="s">
        <v>162</v>
      </c>
      <c r="G329" s="14">
        <f t="shared" ca="1" si="4"/>
        <v>382767.82096514897</v>
      </c>
      <c r="H329" s="12" t="s">
        <v>171</v>
      </c>
      <c r="I329">
        <v>0</v>
      </c>
      <c r="J329">
        <v>18</v>
      </c>
      <c r="K329" s="12" t="s">
        <v>176</v>
      </c>
      <c r="L329">
        <v>0</v>
      </c>
      <c r="M329">
        <v>0</v>
      </c>
      <c r="O329" s="39"/>
      <c r="P329" s="16">
        <v>329171.43</v>
      </c>
      <c r="S329" s="17"/>
    </row>
    <row r="330" spans="1:19" x14ac:dyDescent="0.4">
      <c r="A330">
        <v>2566804</v>
      </c>
      <c r="B330" s="15">
        <v>27</v>
      </c>
      <c r="C330" s="12" t="s">
        <v>122</v>
      </c>
      <c r="D330" s="12" t="s">
        <v>134</v>
      </c>
      <c r="E330" s="12" t="s">
        <v>150</v>
      </c>
      <c r="F330" s="12" t="s">
        <v>164</v>
      </c>
      <c r="G330" s="14">
        <f t="shared" ca="1" si="4"/>
        <v>119932.53371769226</v>
      </c>
      <c r="H330" s="12" t="s">
        <v>172</v>
      </c>
      <c r="I330">
        <v>0</v>
      </c>
      <c r="J330">
        <v>35</v>
      </c>
      <c r="K330" s="12" t="s">
        <v>176</v>
      </c>
      <c r="L330">
        <v>0</v>
      </c>
      <c r="M330">
        <v>0</v>
      </c>
      <c r="O330" s="39"/>
      <c r="P330" s="15">
        <v>104372.79</v>
      </c>
      <c r="S330" s="17"/>
    </row>
    <row r="331" spans="1:19" x14ac:dyDescent="0.4">
      <c r="A331">
        <v>2567163</v>
      </c>
      <c r="B331" s="16">
        <v>50</v>
      </c>
      <c r="C331" s="12" t="s">
        <v>122</v>
      </c>
      <c r="D331" s="12" t="s">
        <v>134</v>
      </c>
      <c r="E331" s="12" t="s">
        <v>151</v>
      </c>
      <c r="F331" s="12" t="s">
        <v>144</v>
      </c>
      <c r="G331" s="14">
        <f t="shared" ref="G331:G394" ca="1" si="5">P331*(1+RAND())</f>
        <v>229675.58974620386</v>
      </c>
      <c r="H331" s="12" t="s">
        <v>171</v>
      </c>
      <c r="I331">
        <v>0</v>
      </c>
      <c r="J331">
        <v>40</v>
      </c>
      <c r="K331" s="12" t="s">
        <v>176</v>
      </c>
      <c r="L331">
        <v>0</v>
      </c>
      <c r="M331">
        <v>0</v>
      </c>
      <c r="O331" s="39"/>
      <c r="P331" s="16">
        <v>145031.73000000001</v>
      </c>
      <c r="S331" s="17"/>
    </row>
    <row r="332" spans="1:19" x14ac:dyDescent="0.4">
      <c r="A332">
        <v>2571658</v>
      </c>
      <c r="B332" s="15">
        <v>50</v>
      </c>
      <c r="C332" s="12" t="s">
        <v>122</v>
      </c>
      <c r="D332" s="12" t="s">
        <v>135</v>
      </c>
      <c r="E332" s="12" t="s">
        <v>152</v>
      </c>
      <c r="F332" s="12" t="s">
        <v>144</v>
      </c>
      <c r="G332" s="14">
        <f t="shared" ca="1" si="5"/>
        <v>33900.201815320281</v>
      </c>
      <c r="H332" s="12" t="s">
        <v>172</v>
      </c>
      <c r="I332">
        <v>0</v>
      </c>
      <c r="J332">
        <v>43</v>
      </c>
      <c r="K332" s="12" t="s">
        <v>176</v>
      </c>
      <c r="L332">
        <v>2024</v>
      </c>
      <c r="M332">
        <v>1</v>
      </c>
      <c r="O332" s="39"/>
      <c r="P332" s="15">
        <v>26158.2</v>
      </c>
      <c r="S332" s="17"/>
    </row>
    <row r="333" spans="1:19" x14ac:dyDescent="0.4">
      <c r="A333">
        <v>2578547</v>
      </c>
      <c r="B333" s="16">
        <v>45</v>
      </c>
      <c r="C333" s="12" t="s">
        <v>122</v>
      </c>
      <c r="D333" s="12" t="s">
        <v>142</v>
      </c>
      <c r="E333" s="12" t="s">
        <v>152</v>
      </c>
      <c r="F333" s="12" t="s">
        <v>164</v>
      </c>
      <c r="G333" s="14">
        <f t="shared" ca="1" si="5"/>
        <v>73704.725656608818</v>
      </c>
      <c r="H333" s="12" t="s">
        <v>172</v>
      </c>
      <c r="I333">
        <v>0</v>
      </c>
      <c r="J333">
        <v>40</v>
      </c>
      <c r="K333" s="12" t="s">
        <v>184</v>
      </c>
      <c r="L333">
        <v>0</v>
      </c>
      <c r="M333">
        <v>0</v>
      </c>
      <c r="O333" s="39"/>
      <c r="P333" s="16">
        <v>59534.87</v>
      </c>
      <c r="S333" s="17"/>
    </row>
    <row r="334" spans="1:19" x14ac:dyDescent="0.4">
      <c r="A334">
        <v>2584205</v>
      </c>
      <c r="B334" s="15">
        <v>39</v>
      </c>
      <c r="C334" s="12" t="s">
        <v>122</v>
      </c>
      <c r="D334" s="12" t="s">
        <v>134</v>
      </c>
      <c r="E334" s="12" t="s">
        <v>150</v>
      </c>
      <c r="F334" s="12" t="s">
        <v>161</v>
      </c>
      <c r="G334" s="14">
        <f t="shared" ca="1" si="5"/>
        <v>159846.93626396902</v>
      </c>
      <c r="H334" s="12" t="s">
        <v>171</v>
      </c>
      <c r="I334">
        <v>0</v>
      </c>
      <c r="J334">
        <v>10</v>
      </c>
      <c r="K334" s="12" t="s">
        <v>176</v>
      </c>
      <c r="L334">
        <v>0</v>
      </c>
      <c r="M334">
        <v>0</v>
      </c>
      <c r="O334" s="39"/>
      <c r="P334" s="15">
        <v>85565.16</v>
      </c>
      <c r="S334" s="17"/>
    </row>
    <row r="335" spans="1:19" x14ac:dyDescent="0.4">
      <c r="A335">
        <v>2586533</v>
      </c>
      <c r="B335" s="16">
        <v>40</v>
      </c>
      <c r="C335" s="12" t="s">
        <v>122</v>
      </c>
      <c r="D335" s="12" t="s">
        <v>132</v>
      </c>
      <c r="E335" s="12" t="s">
        <v>151</v>
      </c>
      <c r="F335" s="12" t="s">
        <v>156</v>
      </c>
      <c r="G335" s="14">
        <f t="shared" ca="1" si="5"/>
        <v>246739.03137176621</v>
      </c>
      <c r="H335" s="12" t="s">
        <v>172</v>
      </c>
      <c r="I335">
        <v>0</v>
      </c>
      <c r="J335">
        <v>45</v>
      </c>
      <c r="K335" s="12" t="s">
        <v>176</v>
      </c>
      <c r="L335">
        <v>0</v>
      </c>
      <c r="M335">
        <v>0</v>
      </c>
      <c r="O335" s="39"/>
      <c r="P335" s="16">
        <v>128629.84</v>
      </c>
      <c r="S335" s="17"/>
    </row>
    <row r="336" spans="1:19" x14ac:dyDescent="0.4">
      <c r="A336">
        <v>2597744</v>
      </c>
      <c r="B336" s="15">
        <v>26</v>
      </c>
      <c r="C336" s="12" t="s">
        <v>122</v>
      </c>
      <c r="D336" s="12" t="s">
        <v>136</v>
      </c>
      <c r="E336" s="12" t="s">
        <v>150</v>
      </c>
      <c r="F336" s="12" t="s">
        <v>156</v>
      </c>
      <c r="G336" s="14">
        <f t="shared" ca="1" si="5"/>
        <v>293048.22178495879</v>
      </c>
      <c r="H336" s="12" t="s">
        <v>172</v>
      </c>
      <c r="I336">
        <v>0</v>
      </c>
      <c r="J336">
        <v>40</v>
      </c>
      <c r="K336" s="12" t="s">
        <v>176</v>
      </c>
      <c r="L336">
        <v>0</v>
      </c>
      <c r="M336">
        <v>0</v>
      </c>
      <c r="O336" s="39"/>
      <c r="P336" s="15">
        <v>199628.02</v>
      </c>
      <c r="S336" s="17"/>
    </row>
    <row r="337" spans="1:19" x14ac:dyDescent="0.4">
      <c r="A337">
        <v>2601767</v>
      </c>
      <c r="B337" s="16">
        <v>27</v>
      </c>
      <c r="C337" s="12" t="s">
        <v>122</v>
      </c>
      <c r="D337" s="12" t="s">
        <v>132</v>
      </c>
      <c r="E337" s="12" t="s">
        <v>152</v>
      </c>
      <c r="F337" s="12" t="s">
        <v>159</v>
      </c>
      <c r="G337" s="14">
        <f t="shared" ca="1" si="5"/>
        <v>47735.15147982286</v>
      </c>
      <c r="H337" s="12" t="s">
        <v>172</v>
      </c>
      <c r="I337">
        <v>0</v>
      </c>
      <c r="J337">
        <v>60</v>
      </c>
      <c r="K337" s="12" t="s">
        <v>176</v>
      </c>
      <c r="L337">
        <v>0</v>
      </c>
      <c r="M337">
        <v>0</v>
      </c>
      <c r="O337" s="39"/>
      <c r="P337" s="16">
        <v>27932.75</v>
      </c>
      <c r="S337" s="17"/>
    </row>
    <row r="338" spans="1:19" x14ac:dyDescent="0.4">
      <c r="A338">
        <v>2610672</v>
      </c>
      <c r="B338" s="15">
        <v>53</v>
      </c>
      <c r="C338" s="12" t="s">
        <v>129</v>
      </c>
      <c r="D338" s="12" t="s">
        <v>143</v>
      </c>
      <c r="E338" s="12" t="s">
        <v>153</v>
      </c>
      <c r="F338" s="12" t="s">
        <v>129</v>
      </c>
      <c r="G338" s="14">
        <f t="shared" ca="1" si="5"/>
        <v>160953.28021464086</v>
      </c>
      <c r="H338" s="12" t="s">
        <v>171</v>
      </c>
      <c r="I338">
        <v>0</v>
      </c>
      <c r="J338">
        <v>30</v>
      </c>
      <c r="K338" s="12" t="s">
        <v>176</v>
      </c>
      <c r="L338">
        <v>0</v>
      </c>
      <c r="M338">
        <v>0</v>
      </c>
      <c r="O338" s="39"/>
      <c r="P338" s="15">
        <v>82391.47</v>
      </c>
      <c r="S338" s="17"/>
    </row>
    <row r="339" spans="1:19" x14ac:dyDescent="0.4">
      <c r="A339">
        <v>2611065</v>
      </c>
      <c r="B339" s="16">
        <v>41</v>
      </c>
      <c r="C339" s="12" t="s">
        <v>125</v>
      </c>
      <c r="D339" s="12" t="s">
        <v>134</v>
      </c>
      <c r="E339" s="12" t="s">
        <v>151</v>
      </c>
      <c r="F339" s="12" t="s">
        <v>157</v>
      </c>
      <c r="G339" s="14">
        <f t="shared" ca="1" si="5"/>
        <v>204602.02288798772</v>
      </c>
      <c r="H339" s="12" t="s">
        <v>171</v>
      </c>
      <c r="I339">
        <v>0</v>
      </c>
      <c r="J339">
        <v>38</v>
      </c>
      <c r="K339" s="12" t="s">
        <v>176</v>
      </c>
      <c r="L339">
        <v>0</v>
      </c>
      <c r="M339">
        <v>0</v>
      </c>
      <c r="O339" s="39"/>
      <c r="P339" s="16">
        <v>108760.33</v>
      </c>
      <c r="S339" s="17"/>
    </row>
    <row r="340" spans="1:19" x14ac:dyDescent="0.4">
      <c r="A340">
        <v>2613647</v>
      </c>
      <c r="B340" s="15">
        <v>29</v>
      </c>
      <c r="C340" s="12" t="s">
        <v>122</v>
      </c>
      <c r="D340" s="12" t="s">
        <v>135</v>
      </c>
      <c r="E340" s="12" t="s">
        <v>152</v>
      </c>
      <c r="F340" s="12" t="s">
        <v>159</v>
      </c>
      <c r="G340" s="14">
        <f t="shared" ca="1" si="5"/>
        <v>33091.023347765724</v>
      </c>
      <c r="H340" s="12" t="s">
        <v>172</v>
      </c>
      <c r="I340">
        <v>0</v>
      </c>
      <c r="J340">
        <v>45</v>
      </c>
      <c r="K340" s="12" t="s">
        <v>176</v>
      </c>
      <c r="L340">
        <v>0</v>
      </c>
      <c r="M340">
        <v>0</v>
      </c>
      <c r="O340" s="39"/>
      <c r="P340" s="15">
        <v>30838.37</v>
      </c>
      <c r="S340" s="17"/>
    </row>
    <row r="341" spans="1:19" x14ac:dyDescent="0.4">
      <c r="A341">
        <v>2623338</v>
      </c>
      <c r="B341" s="16">
        <v>35</v>
      </c>
      <c r="C341" s="12" t="s">
        <v>129</v>
      </c>
      <c r="D341" s="12" t="s">
        <v>132</v>
      </c>
      <c r="E341" s="12" t="s">
        <v>151</v>
      </c>
      <c r="F341" s="12" t="s">
        <v>129</v>
      </c>
      <c r="G341" s="14">
        <f t="shared" ca="1" si="5"/>
        <v>88793.425153995981</v>
      </c>
      <c r="H341" s="12" t="s">
        <v>171</v>
      </c>
      <c r="I341">
        <v>0</v>
      </c>
      <c r="J341">
        <v>36</v>
      </c>
      <c r="K341" s="12" t="s">
        <v>176</v>
      </c>
      <c r="L341">
        <v>0</v>
      </c>
      <c r="M341">
        <v>0</v>
      </c>
      <c r="O341" s="39"/>
      <c r="P341" s="16">
        <v>84371.66</v>
      </c>
      <c r="S341" s="17"/>
    </row>
    <row r="342" spans="1:19" x14ac:dyDescent="0.4">
      <c r="A342">
        <v>2628569</v>
      </c>
      <c r="B342" s="15">
        <v>32</v>
      </c>
      <c r="C342" s="12" t="s">
        <v>122</v>
      </c>
      <c r="D342" s="12" t="s">
        <v>140</v>
      </c>
      <c r="E342" s="12" t="s">
        <v>150</v>
      </c>
      <c r="F342" s="12" t="s">
        <v>159</v>
      </c>
      <c r="G342" s="14">
        <f t="shared" ca="1" si="5"/>
        <v>250093.09386256948</v>
      </c>
      <c r="H342" s="12" t="s">
        <v>172</v>
      </c>
      <c r="I342">
        <v>0</v>
      </c>
      <c r="J342">
        <v>40</v>
      </c>
      <c r="K342" s="12" t="s">
        <v>176</v>
      </c>
      <c r="L342">
        <v>0</v>
      </c>
      <c r="M342">
        <v>0</v>
      </c>
      <c r="O342" s="39"/>
      <c r="P342" s="15">
        <v>229452.89</v>
      </c>
      <c r="S342" s="17"/>
    </row>
    <row r="343" spans="1:19" x14ac:dyDescent="0.4">
      <c r="A343">
        <v>2628576</v>
      </c>
      <c r="B343" s="16">
        <v>60</v>
      </c>
      <c r="C343" s="12" t="s">
        <v>126</v>
      </c>
      <c r="D343" s="12" t="s">
        <v>138</v>
      </c>
      <c r="E343" s="12" t="s">
        <v>152</v>
      </c>
      <c r="F343" s="12" t="s">
        <v>144</v>
      </c>
      <c r="G343" s="14">
        <f t="shared" ca="1" si="5"/>
        <v>36380.371636956377</v>
      </c>
      <c r="H343" s="12" t="s">
        <v>172</v>
      </c>
      <c r="I343">
        <v>0</v>
      </c>
      <c r="J343">
        <v>38</v>
      </c>
      <c r="K343" s="12" t="s">
        <v>191</v>
      </c>
      <c r="L343">
        <v>4154</v>
      </c>
      <c r="M343">
        <v>1</v>
      </c>
      <c r="O343" s="39"/>
      <c r="P343" s="16">
        <v>25719.5</v>
      </c>
      <c r="S343" s="17"/>
    </row>
    <row r="344" spans="1:19" x14ac:dyDescent="0.4">
      <c r="A344">
        <v>2633964</v>
      </c>
      <c r="B344" s="15">
        <v>38</v>
      </c>
      <c r="C344" s="12" t="s">
        <v>122</v>
      </c>
      <c r="D344" s="12" t="s">
        <v>134</v>
      </c>
      <c r="E344" s="12" t="s">
        <v>152</v>
      </c>
      <c r="F344" s="12" t="s">
        <v>157</v>
      </c>
      <c r="G344" s="14">
        <f t="shared" ca="1" si="5"/>
        <v>21966.161120970508</v>
      </c>
      <c r="H344" s="12" t="s">
        <v>172</v>
      </c>
      <c r="I344">
        <v>0</v>
      </c>
      <c r="J344">
        <v>40</v>
      </c>
      <c r="K344" s="12" t="s">
        <v>181</v>
      </c>
      <c r="L344">
        <v>0</v>
      </c>
      <c r="M344">
        <v>0</v>
      </c>
      <c r="O344" s="39"/>
      <c r="P344" s="15">
        <v>11525.85</v>
      </c>
      <c r="S344" s="17"/>
    </row>
    <row r="345" spans="1:19" x14ac:dyDescent="0.4">
      <c r="A345">
        <v>2638182</v>
      </c>
      <c r="B345" s="16">
        <v>25</v>
      </c>
      <c r="C345" s="12" t="s">
        <v>125</v>
      </c>
      <c r="D345" s="12" t="s">
        <v>135</v>
      </c>
      <c r="E345" s="12" t="s">
        <v>150</v>
      </c>
      <c r="F345" s="12" t="s">
        <v>144</v>
      </c>
      <c r="G345" s="14">
        <f t="shared" ca="1" si="5"/>
        <v>190418.73051016146</v>
      </c>
      <c r="H345" s="12" t="s">
        <v>172</v>
      </c>
      <c r="I345">
        <v>0</v>
      </c>
      <c r="J345">
        <v>40</v>
      </c>
      <c r="K345" s="12" t="s">
        <v>176</v>
      </c>
      <c r="L345">
        <v>0</v>
      </c>
      <c r="M345">
        <v>0</v>
      </c>
      <c r="O345" s="39"/>
      <c r="P345" s="16">
        <v>104146.06</v>
      </c>
      <c r="S345" s="17"/>
    </row>
    <row r="346" spans="1:19" x14ac:dyDescent="0.4">
      <c r="A346">
        <v>2652430</v>
      </c>
      <c r="B346" s="15">
        <v>41</v>
      </c>
      <c r="C346" s="12" t="s">
        <v>123</v>
      </c>
      <c r="D346" s="12" t="s">
        <v>132</v>
      </c>
      <c r="E346" s="12" t="s">
        <v>151</v>
      </c>
      <c r="F346" s="12" t="s">
        <v>159</v>
      </c>
      <c r="G346" s="14">
        <f t="shared" ca="1" si="5"/>
        <v>133838.6472437818</v>
      </c>
      <c r="H346" s="12" t="s">
        <v>172</v>
      </c>
      <c r="I346">
        <v>0</v>
      </c>
      <c r="J346">
        <v>40</v>
      </c>
      <c r="K346" s="12" t="s">
        <v>176</v>
      </c>
      <c r="L346">
        <v>0</v>
      </c>
      <c r="M346">
        <v>0</v>
      </c>
      <c r="O346" s="39"/>
      <c r="P346" s="15">
        <v>126239.52</v>
      </c>
      <c r="S346" s="17"/>
    </row>
    <row r="347" spans="1:19" x14ac:dyDescent="0.4">
      <c r="A347">
        <v>2652767</v>
      </c>
      <c r="B347" s="16">
        <v>26</v>
      </c>
      <c r="C347" s="12" t="s">
        <v>122</v>
      </c>
      <c r="D347" s="12" t="s">
        <v>135</v>
      </c>
      <c r="E347" s="12" t="s">
        <v>152</v>
      </c>
      <c r="F347" s="12" t="s">
        <v>144</v>
      </c>
      <c r="G347" s="14">
        <f t="shared" ca="1" si="5"/>
        <v>24627.79615403217</v>
      </c>
      <c r="H347" s="12" t="s">
        <v>172</v>
      </c>
      <c r="I347">
        <v>0</v>
      </c>
      <c r="J347">
        <v>58</v>
      </c>
      <c r="K347" s="12" t="s">
        <v>176</v>
      </c>
      <c r="L347">
        <v>10210</v>
      </c>
      <c r="M347">
        <v>1</v>
      </c>
      <c r="O347" s="39"/>
      <c r="P347" s="16">
        <v>13790.85</v>
      </c>
      <c r="S347" s="17"/>
    </row>
    <row r="348" spans="1:19" x14ac:dyDescent="0.4">
      <c r="A348">
        <v>2665367</v>
      </c>
      <c r="B348" s="15">
        <v>23</v>
      </c>
      <c r="C348" s="12" t="s">
        <v>122</v>
      </c>
      <c r="D348" s="12" t="s">
        <v>137</v>
      </c>
      <c r="E348" s="12" t="s">
        <v>150</v>
      </c>
      <c r="F348" s="12" t="s">
        <v>144</v>
      </c>
      <c r="G348" s="14">
        <f t="shared" ca="1" si="5"/>
        <v>33445.931367773344</v>
      </c>
      <c r="H348" s="12" t="s">
        <v>171</v>
      </c>
      <c r="I348">
        <v>0</v>
      </c>
      <c r="J348">
        <v>36</v>
      </c>
      <c r="K348" s="12" t="s">
        <v>176</v>
      </c>
      <c r="L348">
        <v>0</v>
      </c>
      <c r="M348">
        <v>0</v>
      </c>
      <c r="O348" s="39"/>
      <c r="P348" s="15">
        <v>33182.370000000003</v>
      </c>
      <c r="S348" s="17"/>
    </row>
    <row r="349" spans="1:19" x14ac:dyDescent="0.4">
      <c r="A349">
        <v>2679815</v>
      </c>
      <c r="B349" s="16">
        <v>24</v>
      </c>
      <c r="C349" s="12" t="s">
        <v>122</v>
      </c>
      <c r="D349" s="12" t="s">
        <v>134</v>
      </c>
      <c r="E349" s="12" t="s">
        <v>150</v>
      </c>
      <c r="F349" s="12" t="s">
        <v>159</v>
      </c>
      <c r="G349" s="14">
        <f t="shared" ca="1" si="5"/>
        <v>76781.14754988029</v>
      </c>
      <c r="H349" s="12" t="s">
        <v>172</v>
      </c>
      <c r="I349">
        <v>0</v>
      </c>
      <c r="J349">
        <v>40</v>
      </c>
      <c r="K349" s="12" t="s">
        <v>176</v>
      </c>
      <c r="L349">
        <v>0</v>
      </c>
      <c r="M349">
        <v>0</v>
      </c>
      <c r="O349" s="39"/>
      <c r="P349" s="16">
        <v>73809.11</v>
      </c>
      <c r="S349" s="17"/>
    </row>
    <row r="350" spans="1:19" x14ac:dyDescent="0.4">
      <c r="A350">
        <v>2684076</v>
      </c>
      <c r="B350" s="15">
        <v>33</v>
      </c>
      <c r="C350" s="12" t="s">
        <v>125</v>
      </c>
      <c r="D350" s="12" t="s">
        <v>135</v>
      </c>
      <c r="E350" s="12" t="s">
        <v>150</v>
      </c>
      <c r="F350" s="12" t="s">
        <v>144</v>
      </c>
      <c r="G350" s="14">
        <f t="shared" ca="1" si="5"/>
        <v>89870.809577244465</v>
      </c>
      <c r="H350" s="12" t="s">
        <v>171</v>
      </c>
      <c r="I350">
        <v>0</v>
      </c>
      <c r="J350">
        <v>46</v>
      </c>
      <c r="K350" s="12" t="s">
        <v>176</v>
      </c>
      <c r="L350">
        <v>0</v>
      </c>
      <c r="M350">
        <v>0</v>
      </c>
      <c r="O350" s="39"/>
      <c r="P350" s="15">
        <v>49859.42</v>
      </c>
      <c r="S350" s="17"/>
    </row>
    <row r="351" spans="1:19" x14ac:dyDescent="0.4">
      <c r="A351">
        <v>2686697</v>
      </c>
      <c r="B351" s="16">
        <v>27</v>
      </c>
      <c r="C351" s="12" t="s">
        <v>122</v>
      </c>
      <c r="D351" s="12" t="s">
        <v>134</v>
      </c>
      <c r="E351" s="12" t="s">
        <v>152</v>
      </c>
      <c r="F351" s="12" t="s">
        <v>158</v>
      </c>
      <c r="G351" s="14">
        <f t="shared" ca="1" si="5"/>
        <v>47784.147481165339</v>
      </c>
      <c r="H351" s="12" t="s">
        <v>172</v>
      </c>
      <c r="I351">
        <v>0</v>
      </c>
      <c r="J351">
        <v>39</v>
      </c>
      <c r="K351" s="12" t="s">
        <v>176</v>
      </c>
      <c r="L351">
        <v>0</v>
      </c>
      <c r="M351">
        <v>0</v>
      </c>
      <c r="O351" s="39"/>
      <c r="P351" s="16">
        <v>25889.7</v>
      </c>
      <c r="S351" s="17"/>
    </row>
    <row r="352" spans="1:19" x14ac:dyDescent="0.4">
      <c r="A352">
        <v>2689411</v>
      </c>
      <c r="B352" s="15">
        <v>36</v>
      </c>
      <c r="C352" s="12" t="s">
        <v>122</v>
      </c>
      <c r="D352" s="12" t="s">
        <v>138</v>
      </c>
      <c r="E352" s="12" t="s">
        <v>150</v>
      </c>
      <c r="F352" s="12" t="s">
        <v>144</v>
      </c>
      <c r="G352" s="14">
        <f t="shared" ca="1" si="5"/>
        <v>101205.27419299453</v>
      </c>
      <c r="H352" s="12" t="s">
        <v>171</v>
      </c>
      <c r="I352">
        <v>0</v>
      </c>
      <c r="J352">
        <v>40</v>
      </c>
      <c r="K352" s="12" t="s">
        <v>176</v>
      </c>
      <c r="L352">
        <v>0</v>
      </c>
      <c r="M352">
        <v>0</v>
      </c>
      <c r="O352" s="39"/>
      <c r="P352" s="15">
        <v>96900.94</v>
      </c>
      <c r="S352" s="17"/>
    </row>
    <row r="353" spans="1:19" x14ac:dyDescent="0.4">
      <c r="A353">
        <v>2689854</v>
      </c>
      <c r="B353" s="16">
        <v>50</v>
      </c>
      <c r="C353" s="12" t="s">
        <v>124</v>
      </c>
      <c r="D353" s="12" t="s">
        <v>138</v>
      </c>
      <c r="E353" s="12" t="s">
        <v>152</v>
      </c>
      <c r="F353" s="12" t="s">
        <v>162</v>
      </c>
      <c r="G353" s="14">
        <f t="shared" ca="1" si="5"/>
        <v>42008.405939893921</v>
      </c>
      <c r="H353" s="12" t="s">
        <v>172</v>
      </c>
      <c r="I353">
        <v>0</v>
      </c>
      <c r="J353">
        <v>40</v>
      </c>
      <c r="K353" s="12" t="s">
        <v>176</v>
      </c>
      <c r="L353">
        <v>5699</v>
      </c>
      <c r="M353">
        <v>1</v>
      </c>
      <c r="O353" s="39"/>
      <c r="P353" s="16">
        <v>22536.37</v>
      </c>
      <c r="S353" s="17"/>
    </row>
    <row r="354" spans="1:19" x14ac:dyDescent="0.4">
      <c r="A354">
        <v>2693858</v>
      </c>
      <c r="B354" s="15">
        <v>29</v>
      </c>
      <c r="C354" s="12" t="s">
        <v>122</v>
      </c>
      <c r="D354" s="12" t="s">
        <v>134</v>
      </c>
      <c r="E354" s="12" t="s">
        <v>152</v>
      </c>
      <c r="F354" s="12" t="s">
        <v>161</v>
      </c>
      <c r="G354" s="14">
        <f t="shared" ca="1" si="5"/>
        <v>66149.306165028043</v>
      </c>
      <c r="H354" s="12" t="s">
        <v>172</v>
      </c>
      <c r="I354">
        <v>0</v>
      </c>
      <c r="J354">
        <v>45</v>
      </c>
      <c r="K354" s="12" t="s">
        <v>176</v>
      </c>
      <c r="L354">
        <v>0</v>
      </c>
      <c r="M354">
        <v>0</v>
      </c>
      <c r="O354" s="39"/>
      <c r="P354" s="15">
        <v>53693.919999999998</v>
      </c>
      <c r="S354" s="17"/>
    </row>
    <row r="355" spans="1:19" x14ac:dyDescent="0.4">
      <c r="A355">
        <v>2694328</v>
      </c>
      <c r="B355" s="16">
        <v>45</v>
      </c>
      <c r="C355" s="12" t="s">
        <v>126</v>
      </c>
      <c r="D355" s="12" t="s">
        <v>134</v>
      </c>
      <c r="E355" s="12" t="s">
        <v>151</v>
      </c>
      <c r="F355" s="12" t="s">
        <v>166</v>
      </c>
      <c r="G355" s="14">
        <f t="shared" ca="1" si="5"/>
        <v>284559.14016495738</v>
      </c>
      <c r="H355" s="12" t="s">
        <v>171</v>
      </c>
      <c r="I355">
        <v>0</v>
      </c>
      <c r="J355">
        <v>40</v>
      </c>
      <c r="K355" s="12" t="s">
        <v>176</v>
      </c>
      <c r="L355">
        <v>0</v>
      </c>
      <c r="M355">
        <v>0</v>
      </c>
      <c r="O355" s="39"/>
      <c r="P355" s="16">
        <v>161281.24</v>
      </c>
      <c r="S355" s="17"/>
    </row>
    <row r="356" spans="1:19" x14ac:dyDescent="0.4">
      <c r="A356">
        <v>2696752</v>
      </c>
      <c r="B356" s="15">
        <v>47</v>
      </c>
      <c r="C356" s="12" t="s">
        <v>127</v>
      </c>
      <c r="D356" s="12" t="s">
        <v>134</v>
      </c>
      <c r="E356" s="12" t="s">
        <v>150</v>
      </c>
      <c r="F356" s="12" t="s">
        <v>160</v>
      </c>
      <c r="G356" s="14">
        <f t="shared" ca="1" si="5"/>
        <v>49995.786833026941</v>
      </c>
      <c r="H356" s="12" t="s">
        <v>171</v>
      </c>
      <c r="I356">
        <v>0</v>
      </c>
      <c r="J356">
        <v>40</v>
      </c>
      <c r="K356" s="12" t="s">
        <v>176</v>
      </c>
      <c r="L356">
        <v>0</v>
      </c>
      <c r="M356">
        <v>0</v>
      </c>
      <c r="O356" s="39"/>
      <c r="P356" s="15">
        <v>38932.19</v>
      </c>
      <c r="S356" s="17"/>
    </row>
    <row r="357" spans="1:19" x14ac:dyDescent="0.4">
      <c r="A357">
        <v>2698881</v>
      </c>
      <c r="B357" s="16">
        <v>41</v>
      </c>
      <c r="C357" s="12" t="s">
        <v>125</v>
      </c>
      <c r="D357" s="12" t="s">
        <v>138</v>
      </c>
      <c r="E357" s="12" t="s">
        <v>151</v>
      </c>
      <c r="F357" s="12" t="s">
        <v>144</v>
      </c>
      <c r="G357" s="14">
        <f t="shared" ca="1" si="5"/>
        <v>246014.64072932012</v>
      </c>
      <c r="H357" s="12" t="s">
        <v>171</v>
      </c>
      <c r="I357">
        <v>0</v>
      </c>
      <c r="J357">
        <v>60</v>
      </c>
      <c r="K357" s="12" t="s">
        <v>176</v>
      </c>
      <c r="L357">
        <v>0</v>
      </c>
      <c r="M357">
        <v>0</v>
      </c>
      <c r="O357" s="39"/>
      <c r="P357" s="16">
        <v>189299.57</v>
      </c>
      <c r="S357" s="17"/>
    </row>
    <row r="358" spans="1:19" x14ac:dyDescent="0.4">
      <c r="A358">
        <v>2700450</v>
      </c>
      <c r="B358" s="15">
        <v>31</v>
      </c>
      <c r="C358" s="12" t="s">
        <v>122</v>
      </c>
      <c r="D358" s="12" t="s">
        <v>135</v>
      </c>
      <c r="E358" s="12" t="s">
        <v>151</v>
      </c>
      <c r="F358" s="12" t="s">
        <v>160</v>
      </c>
      <c r="G358" s="14">
        <f t="shared" ca="1" si="5"/>
        <v>142847.42738664569</v>
      </c>
      <c r="H358" s="12" t="s">
        <v>171</v>
      </c>
      <c r="I358">
        <v>0</v>
      </c>
      <c r="J358">
        <v>50</v>
      </c>
      <c r="K358" s="12" t="s">
        <v>176</v>
      </c>
      <c r="L358">
        <v>1440</v>
      </c>
      <c r="M358">
        <v>1</v>
      </c>
      <c r="O358" s="39"/>
      <c r="P358" s="15">
        <v>100095.95</v>
      </c>
      <c r="S358" s="17"/>
    </row>
    <row r="359" spans="1:19" x14ac:dyDescent="0.4">
      <c r="A359">
        <v>2701455</v>
      </c>
      <c r="B359" s="16">
        <v>39</v>
      </c>
      <c r="C359" s="12" t="s">
        <v>122</v>
      </c>
      <c r="D359" s="12" t="s">
        <v>142</v>
      </c>
      <c r="E359" s="12" t="s">
        <v>152</v>
      </c>
      <c r="F359" s="12" t="s">
        <v>156</v>
      </c>
      <c r="G359" s="14">
        <f t="shared" ca="1" si="5"/>
        <v>214752.49923020159</v>
      </c>
      <c r="H359" s="12" t="s">
        <v>171</v>
      </c>
      <c r="I359">
        <v>0</v>
      </c>
      <c r="J359">
        <v>34</v>
      </c>
      <c r="K359" s="12" t="s">
        <v>176</v>
      </c>
      <c r="L359">
        <v>0</v>
      </c>
      <c r="M359">
        <v>0</v>
      </c>
      <c r="O359" s="39"/>
      <c r="P359" s="16">
        <v>136378.92000000001</v>
      </c>
      <c r="S359" s="17"/>
    </row>
    <row r="360" spans="1:19" x14ac:dyDescent="0.4">
      <c r="A360">
        <v>2714780</v>
      </c>
      <c r="B360" s="15">
        <v>66</v>
      </c>
      <c r="C360" s="12" t="s">
        <v>123</v>
      </c>
      <c r="D360" s="12" t="s">
        <v>142</v>
      </c>
      <c r="E360" s="12" t="s">
        <v>152</v>
      </c>
      <c r="F360" s="12" t="s">
        <v>165</v>
      </c>
      <c r="G360" s="14">
        <f t="shared" ca="1" si="5"/>
        <v>51903.70806238411</v>
      </c>
      <c r="H360" s="12" t="s">
        <v>172</v>
      </c>
      <c r="I360">
        <v>0</v>
      </c>
      <c r="J360">
        <v>25</v>
      </c>
      <c r="K360" s="12" t="s">
        <v>176</v>
      </c>
      <c r="L360">
        <v>5531</v>
      </c>
      <c r="M360">
        <v>1</v>
      </c>
      <c r="O360" s="39"/>
      <c r="P360" s="15">
        <v>25973.47</v>
      </c>
      <c r="S360" s="17"/>
    </row>
    <row r="361" spans="1:19" x14ac:dyDescent="0.4">
      <c r="A361">
        <v>2718332</v>
      </c>
      <c r="B361" s="16">
        <v>39</v>
      </c>
      <c r="C361" s="12" t="s">
        <v>122</v>
      </c>
      <c r="D361" s="12" t="s">
        <v>132</v>
      </c>
      <c r="E361" s="12" t="s">
        <v>152</v>
      </c>
      <c r="F361" s="12" t="s">
        <v>158</v>
      </c>
      <c r="G361" s="14">
        <f t="shared" ca="1" si="5"/>
        <v>19272.89592505477</v>
      </c>
      <c r="H361" s="12" t="s">
        <v>172</v>
      </c>
      <c r="I361">
        <v>0</v>
      </c>
      <c r="J361">
        <v>25</v>
      </c>
      <c r="K361" s="12" t="s">
        <v>179</v>
      </c>
      <c r="L361">
        <v>0</v>
      </c>
      <c r="M361">
        <v>0</v>
      </c>
      <c r="O361" s="39"/>
      <c r="P361" s="16">
        <v>15275.18</v>
      </c>
      <c r="S361" s="17"/>
    </row>
    <row r="362" spans="1:19" x14ac:dyDescent="0.4">
      <c r="A362">
        <v>2727224</v>
      </c>
      <c r="B362" s="15">
        <v>44</v>
      </c>
      <c r="C362" s="12" t="s">
        <v>122</v>
      </c>
      <c r="D362" s="12" t="s">
        <v>138</v>
      </c>
      <c r="E362" s="12" t="s">
        <v>152</v>
      </c>
      <c r="F362" s="12" t="s">
        <v>160</v>
      </c>
      <c r="G362" s="14">
        <f t="shared" ca="1" si="5"/>
        <v>76836.216182896445</v>
      </c>
      <c r="H362" s="12" t="s">
        <v>172</v>
      </c>
      <c r="I362">
        <v>0</v>
      </c>
      <c r="J362">
        <v>40</v>
      </c>
      <c r="K362" s="12" t="s">
        <v>176</v>
      </c>
      <c r="L362">
        <v>4145</v>
      </c>
      <c r="M362">
        <v>1</v>
      </c>
      <c r="O362" s="39"/>
      <c r="P362" s="15">
        <v>53626.14</v>
      </c>
      <c r="S362" s="17"/>
    </row>
    <row r="363" spans="1:19" x14ac:dyDescent="0.4">
      <c r="A363">
        <v>2735082</v>
      </c>
      <c r="B363" s="16">
        <v>22</v>
      </c>
      <c r="C363" s="12" t="s">
        <v>122</v>
      </c>
      <c r="D363" s="12" t="s">
        <v>132</v>
      </c>
      <c r="E363" s="12" t="s">
        <v>150</v>
      </c>
      <c r="F363" s="12" t="s">
        <v>162</v>
      </c>
      <c r="G363" s="14">
        <f t="shared" ca="1" si="5"/>
        <v>364866.57496983319</v>
      </c>
      <c r="H363" s="12" t="s">
        <v>171</v>
      </c>
      <c r="I363">
        <v>0</v>
      </c>
      <c r="J363">
        <v>15</v>
      </c>
      <c r="K363" s="12" t="s">
        <v>176</v>
      </c>
      <c r="L363">
        <v>0</v>
      </c>
      <c r="M363">
        <v>0</v>
      </c>
      <c r="O363" s="39"/>
      <c r="P363" s="16">
        <v>249741.88</v>
      </c>
      <c r="S363" s="17"/>
    </row>
    <row r="364" spans="1:19" x14ac:dyDescent="0.4">
      <c r="A364">
        <v>2744996</v>
      </c>
      <c r="B364" s="15">
        <v>43</v>
      </c>
      <c r="C364" s="12" t="s">
        <v>127</v>
      </c>
      <c r="D364" s="12" t="s">
        <v>135</v>
      </c>
      <c r="E364" s="12" t="s">
        <v>152</v>
      </c>
      <c r="F364" s="12" t="s">
        <v>144</v>
      </c>
      <c r="G364" s="14">
        <f t="shared" ca="1" si="5"/>
        <v>27483.107167343867</v>
      </c>
      <c r="H364" s="12" t="s">
        <v>172</v>
      </c>
      <c r="I364">
        <v>0</v>
      </c>
      <c r="J364">
        <v>40</v>
      </c>
      <c r="K364" s="12" t="s">
        <v>176</v>
      </c>
      <c r="L364">
        <v>0</v>
      </c>
      <c r="M364">
        <v>0</v>
      </c>
      <c r="O364" s="39"/>
      <c r="P364" s="15">
        <v>21737.96</v>
      </c>
      <c r="S364" s="17"/>
    </row>
    <row r="365" spans="1:19" x14ac:dyDescent="0.4">
      <c r="A365">
        <v>2755909</v>
      </c>
      <c r="B365" s="16">
        <v>21</v>
      </c>
      <c r="C365" s="12" t="s">
        <v>129</v>
      </c>
      <c r="D365" s="12" t="s">
        <v>132</v>
      </c>
      <c r="E365" s="12" t="s">
        <v>150</v>
      </c>
      <c r="F365" s="12" t="s">
        <v>129</v>
      </c>
      <c r="G365" s="14">
        <f t="shared" ca="1" si="5"/>
        <v>185445.88636624234</v>
      </c>
      <c r="H365" s="12" t="s">
        <v>172</v>
      </c>
      <c r="I365">
        <v>0</v>
      </c>
      <c r="J365">
        <v>48</v>
      </c>
      <c r="K365" s="12" t="s">
        <v>176</v>
      </c>
      <c r="L365">
        <v>0</v>
      </c>
      <c r="M365">
        <v>0</v>
      </c>
      <c r="O365" s="39"/>
      <c r="P365" s="16">
        <v>119656.67</v>
      </c>
      <c r="S365" s="17"/>
    </row>
    <row r="366" spans="1:19" x14ac:dyDescent="0.4">
      <c r="A366">
        <v>2758873</v>
      </c>
      <c r="B366" s="15">
        <v>34</v>
      </c>
      <c r="C366" s="12" t="s">
        <v>122</v>
      </c>
      <c r="D366" s="12" t="s">
        <v>134</v>
      </c>
      <c r="E366" s="12" t="s">
        <v>150</v>
      </c>
      <c r="F366" s="12" t="s">
        <v>159</v>
      </c>
      <c r="G366" s="14">
        <f t="shared" ca="1" si="5"/>
        <v>118483.72072844718</v>
      </c>
      <c r="H366" s="12" t="s">
        <v>172</v>
      </c>
      <c r="I366">
        <v>0</v>
      </c>
      <c r="J366">
        <v>40</v>
      </c>
      <c r="K366" s="12" t="s">
        <v>176</v>
      </c>
      <c r="L366">
        <v>0</v>
      </c>
      <c r="M366">
        <v>0</v>
      </c>
      <c r="O366" s="39"/>
      <c r="P366" s="15">
        <v>59338.83</v>
      </c>
      <c r="S366" s="17"/>
    </row>
    <row r="367" spans="1:19" x14ac:dyDescent="0.4">
      <c r="A367">
        <v>2764229</v>
      </c>
      <c r="B367" s="16">
        <v>22</v>
      </c>
      <c r="C367" s="12" t="s">
        <v>122</v>
      </c>
      <c r="D367" s="12" t="s">
        <v>134</v>
      </c>
      <c r="E367" s="12" t="s">
        <v>152</v>
      </c>
      <c r="F367" s="12" t="s">
        <v>157</v>
      </c>
      <c r="G367" s="14">
        <f t="shared" ca="1" si="5"/>
        <v>68349.705511597407</v>
      </c>
      <c r="H367" s="12" t="s">
        <v>172</v>
      </c>
      <c r="I367">
        <v>0</v>
      </c>
      <c r="J367">
        <v>40</v>
      </c>
      <c r="K367" s="12" t="s">
        <v>176</v>
      </c>
      <c r="L367">
        <v>0</v>
      </c>
      <c r="M367">
        <v>0</v>
      </c>
      <c r="O367" s="39"/>
      <c r="P367" s="16">
        <v>35751.449999999997</v>
      </c>
      <c r="S367" s="17"/>
    </row>
    <row r="368" spans="1:19" x14ac:dyDescent="0.4">
      <c r="A368">
        <v>2765799</v>
      </c>
      <c r="B368" s="15">
        <v>22</v>
      </c>
      <c r="C368" s="12" t="s">
        <v>122</v>
      </c>
      <c r="D368" s="12" t="s">
        <v>135</v>
      </c>
      <c r="E368" s="12" t="s">
        <v>150</v>
      </c>
      <c r="F368" s="12" t="s">
        <v>144</v>
      </c>
      <c r="G368" s="14">
        <f t="shared" ca="1" si="5"/>
        <v>72431.220657471451</v>
      </c>
      <c r="H368" s="12" t="s">
        <v>171</v>
      </c>
      <c r="I368">
        <v>0</v>
      </c>
      <c r="J368">
        <v>9</v>
      </c>
      <c r="K368" s="12" t="s">
        <v>176</v>
      </c>
      <c r="L368">
        <v>0</v>
      </c>
      <c r="M368">
        <v>0</v>
      </c>
      <c r="O368" s="39"/>
      <c r="P368" s="15">
        <v>41992.73</v>
      </c>
      <c r="S368" s="17"/>
    </row>
    <row r="369" spans="1:19" x14ac:dyDescent="0.4">
      <c r="A369">
        <v>2765855</v>
      </c>
      <c r="B369" s="16">
        <v>41</v>
      </c>
      <c r="C369" s="12" t="s">
        <v>122</v>
      </c>
      <c r="D369" s="12" t="s">
        <v>134</v>
      </c>
      <c r="E369" s="12" t="s">
        <v>152</v>
      </c>
      <c r="F369" s="12" t="s">
        <v>157</v>
      </c>
      <c r="G369" s="14">
        <f t="shared" ca="1" si="5"/>
        <v>56228.130698657951</v>
      </c>
      <c r="H369" s="12" t="s">
        <v>172</v>
      </c>
      <c r="I369">
        <v>0</v>
      </c>
      <c r="J369">
        <v>50</v>
      </c>
      <c r="K369" s="12" t="s">
        <v>176</v>
      </c>
      <c r="L369">
        <v>0</v>
      </c>
      <c r="M369">
        <v>0</v>
      </c>
      <c r="O369" s="39"/>
      <c r="P369" s="16">
        <v>46673.22</v>
      </c>
      <c r="S369" s="17"/>
    </row>
    <row r="370" spans="1:19" x14ac:dyDescent="0.4">
      <c r="A370">
        <v>2766274</v>
      </c>
      <c r="B370" s="15">
        <v>32</v>
      </c>
      <c r="C370" s="12" t="s">
        <v>122</v>
      </c>
      <c r="D370" s="12" t="s">
        <v>132</v>
      </c>
      <c r="E370" s="12" t="s">
        <v>151</v>
      </c>
      <c r="F370" s="12" t="s">
        <v>161</v>
      </c>
      <c r="G370" s="14">
        <f t="shared" ca="1" si="5"/>
        <v>330807.86777546105</v>
      </c>
      <c r="H370" s="12" t="s">
        <v>171</v>
      </c>
      <c r="I370">
        <v>0</v>
      </c>
      <c r="J370">
        <v>40</v>
      </c>
      <c r="K370" s="12" t="s">
        <v>176</v>
      </c>
      <c r="L370">
        <v>0</v>
      </c>
      <c r="M370">
        <v>0</v>
      </c>
      <c r="O370" s="39"/>
      <c r="P370" s="15">
        <v>176806.47</v>
      </c>
      <c r="S370" s="17"/>
    </row>
    <row r="371" spans="1:19" x14ac:dyDescent="0.4">
      <c r="A371">
        <v>2768759</v>
      </c>
      <c r="B371" s="16">
        <v>24</v>
      </c>
      <c r="C371" s="12" t="s">
        <v>122</v>
      </c>
      <c r="D371" s="12" t="s">
        <v>134</v>
      </c>
      <c r="E371" s="12" t="s">
        <v>150</v>
      </c>
      <c r="F371" s="12" t="s">
        <v>164</v>
      </c>
      <c r="G371" s="14">
        <f t="shared" ca="1" si="5"/>
        <v>122787.94421152316</v>
      </c>
      <c r="H371" s="12" t="s">
        <v>172</v>
      </c>
      <c r="I371">
        <v>0</v>
      </c>
      <c r="J371">
        <v>40</v>
      </c>
      <c r="K371" s="12" t="s">
        <v>176</v>
      </c>
      <c r="L371">
        <v>0</v>
      </c>
      <c r="M371">
        <v>0</v>
      </c>
      <c r="O371" s="39"/>
      <c r="P371" s="16">
        <v>101594.16</v>
      </c>
      <c r="S371" s="17"/>
    </row>
    <row r="372" spans="1:19" x14ac:dyDescent="0.4">
      <c r="A372">
        <v>2773758</v>
      </c>
      <c r="B372" s="15">
        <v>45</v>
      </c>
      <c r="C372" s="12" t="s">
        <v>122</v>
      </c>
      <c r="D372" s="12" t="s">
        <v>134</v>
      </c>
      <c r="E372" s="12" t="s">
        <v>152</v>
      </c>
      <c r="F372" s="12" t="s">
        <v>165</v>
      </c>
      <c r="G372" s="14">
        <f t="shared" ca="1" si="5"/>
        <v>72886.162066771052</v>
      </c>
      <c r="H372" s="12" t="s">
        <v>172</v>
      </c>
      <c r="I372">
        <v>0</v>
      </c>
      <c r="J372">
        <v>40</v>
      </c>
      <c r="K372" s="12" t="s">
        <v>176</v>
      </c>
      <c r="L372">
        <v>0</v>
      </c>
      <c r="M372">
        <v>0</v>
      </c>
      <c r="O372" s="39"/>
      <c r="P372" s="15">
        <v>39403.870000000003</v>
      </c>
      <c r="S372" s="17"/>
    </row>
    <row r="373" spans="1:19" x14ac:dyDescent="0.4">
      <c r="A373">
        <v>2777759</v>
      </c>
      <c r="B373" s="16">
        <v>56</v>
      </c>
      <c r="C373" s="12" t="s">
        <v>122</v>
      </c>
      <c r="D373" s="12" t="s">
        <v>134</v>
      </c>
      <c r="E373" s="12" t="s">
        <v>152</v>
      </c>
      <c r="F373" s="12" t="s">
        <v>161</v>
      </c>
      <c r="G373" s="14">
        <f t="shared" ca="1" si="5"/>
        <v>63195.571134840298</v>
      </c>
      <c r="H373" s="12" t="s">
        <v>172</v>
      </c>
      <c r="I373">
        <v>0</v>
      </c>
      <c r="J373">
        <v>40</v>
      </c>
      <c r="K373" s="12" t="s">
        <v>176</v>
      </c>
      <c r="L373">
        <v>0</v>
      </c>
      <c r="M373">
        <v>0</v>
      </c>
      <c r="O373" s="39"/>
      <c r="P373" s="16">
        <v>35545.480000000003</v>
      </c>
      <c r="S373" s="17"/>
    </row>
    <row r="374" spans="1:19" x14ac:dyDescent="0.4">
      <c r="A374">
        <v>2787203</v>
      </c>
      <c r="B374" s="15">
        <v>53</v>
      </c>
      <c r="C374" s="12" t="s">
        <v>123</v>
      </c>
      <c r="D374" s="12" t="s">
        <v>134</v>
      </c>
      <c r="E374" s="12" t="s">
        <v>152</v>
      </c>
      <c r="F374" s="12" t="s">
        <v>165</v>
      </c>
      <c r="G374" s="14">
        <f t="shared" ca="1" si="5"/>
        <v>36337.066715556713</v>
      </c>
      <c r="H374" s="12" t="s">
        <v>172</v>
      </c>
      <c r="I374">
        <v>0</v>
      </c>
      <c r="J374">
        <v>85</v>
      </c>
      <c r="K374" s="12" t="s">
        <v>176</v>
      </c>
      <c r="L374">
        <v>0</v>
      </c>
      <c r="M374">
        <v>0</v>
      </c>
      <c r="O374" s="39"/>
      <c r="P374" s="15">
        <v>32036.42</v>
      </c>
      <c r="S374" s="17"/>
    </row>
    <row r="375" spans="1:19" x14ac:dyDescent="0.4">
      <c r="A375">
        <v>2792504</v>
      </c>
      <c r="B375" s="16">
        <v>27</v>
      </c>
      <c r="C375" s="12" t="s">
        <v>123</v>
      </c>
      <c r="D375" s="12" t="s">
        <v>134</v>
      </c>
      <c r="E375" s="12" t="s">
        <v>150</v>
      </c>
      <c r="F375" s="12" t="s">
        <v>159</v>
      </c>
      <c r="G375" s="14">
        <f t="shared" ca="1" si="5"/>
        <v>131625.94325216458</v>
      </c>
      <c r="H375" s="12" t="s">
        <v>172</v>
      </c>
      <c r="I375">
        <v>0</v>
      </c>
      <c r="J375">
        <v>30</v>
      </c>
      <c r="K375" s="12" t="s">
        <v>176</v>
      </c>
      <c r="L375">
        <v>0</v>
      </c>
      <c r="M375">
        <v>0</v>
      </c>
      <c r="O375" s="39"/>
      <c r="P375" s="16">
        <v>72408.320000000007</v>
      </c>
      <c r="S375" s="17"/>
    </row>
    <row r="376" spans="1:19" x14ac:dyDescent="0.4">
      <c r="A376">
        <v>2794283</v>
      </c>
      <c r="B376" s="15">
        <v>32</v>
      </c>
      <c r="C376" s="12" t="s">
        <v>122</v>
      </c>
      <c r="D376" s="12" t="s">
        <v>137</v>
      </c>
      <c r="E376" s="12" t="s">
        <v>150</v>
      </c>
      <c r="F376" s="12" t="s">
        <v>156</v>
      </c>
      <c r="G376" s="14">
        <f t="shared" ca="1" si="5"/>
        <v>142906.5320475146</v>
      </c>
      <c r="H376" s="12" t="s">
        <v>172</v>
      </c>
      <c r="I376">
        <v>0</v>
      </c>
      <c r="J376">
        <v>45</v>
      </c>
      <c r="K376" s="12" t="s">
        <v>176</v>
      </c>
      <c r="L376">
        <v>0</v>
      </c>
      <c r="M376">
        <v>0</v>
      </c>
      <c r="O376" s="39"/>
      <c r="P376" s="15">
        <v>85652.5</v>
      </c>
      <c r="S376" s="17"/>
    </row>
    <row r="377" spans="1:19" x14ac:dyDescent="0.4">
      <c r="A377">
        <v>2798007</v>
      </c>
      <c r="B377" s="16">
        <v>31</v>
      </c>
      <c r="C377" s="12" t="s">
        <v>123</v>
      </c>
      <c r="D377" s="12" t="s">
        <v>135</v>
      </c>
      <c r="E377" s="12" t="s">
        <v>151</v>
      </c>
      <c r="F377" s="12" t="s">
        <v>159</v>
      </c>
      <c r="G377" s="14">
        <f t="shared" ca="1" si="5"/>
        <v>139480.90884594599</v>
      </c>
      <c r="H377" s="12" t="s">
        <v>172</v>
      </c>
      <c r="I377">
        <v>0</v>
      </c>
      <c r="J377">
        <v>60</v>
      </c>
      <c r="K377" s="12" t="s">
        <v>176</v>
      </c>
      <c r="L377">
        <v>0</v>
      </c>
      <c r="M377">
        <v>0</v>
      </c>
      <c r="O377" s="39"/>
      <c r="P377" s="16">
        <v>122380.38</v>
      </c>
      <c r="S377" s="17"/>
    </row>
    <row r="378" spans="1:19" x14ac:dyDescent="0.4">
      <c r="A378">
        <v>2805784</v>
      </c>
      <c r="B378" s="15">
        <v>39</v>
      </c>
      <c r="C378" s="12" t="s">
        <v>122</v>
      </c>
      <c r="D378" s="12" t="s">
        <v>134</v>
      </c>
      <c r="E378" s="12" t="s">
        <v>152</v>
      </c>
      <c r="F378" s="12" t="s">
        <v>159</v>
      </c>
      <c r="G378" s="14">
        <f t="shared" ca="1" si="5"/>
        <v>39838.785910744897</v>
      </c>
      <c r="H378" s="12" t="s">
        <v>172</v>
      </c>
      <c r="I378">
        <v>0</v>
      </c>
      <c r="J378">
        <v>40</v>
      </c>
      <c r="K378" s="12" t="s">
        <v>176</v>
      </c>
      <c r="L378">
        <v>7298</v>
      </c>
      <c r="M378">
        <v>1</v>
      </c>
      <c r="O378" s="39"/>
      <c r="P378" s="15">
        <v>35689.370000000003</v>
      </c>
      <c r="S378" s="17"/>
    </row>
    <row r="379" spans="1:19" x14ac:dyDescent="0.4">
      <c r="A379">
        <v>2842832</v>
      </c>
      <c r="B379" s="16">
        <v>54</v>
      </c>
      <c r="C379" s="12" t="s">
        <v>122</v>
      </c>
      <c r="D379" s="12" t="s">
        <v>140</v>
      </c>
      <c r="E379" s="12" t="s">
        <v>152</v>
      </c>
      <c r="F379" s="12" t="s">
        <v>157</v>
      </c>
      <c r="G379" s="14">
        <f t="shared" ca="1" si="5"/>
        <v>92152.916538892299</v>
      </c>
      <c r="H379" s="12" t="s">
        <v>172</v>
      </c>
      <c r="I379">
        <v>0</v>
      </c>
      <c r="J379">
        <v>40</v>
      </c>
      <c r="K379" s="12" t="s">
        <v>176</v>
      </c>
      <c r="L379">
        <v>0</v>
      </c>
      <c r="M379">
        <v>0</v>
      </c>
      <c r="O379" s="39"/>
      <c r="P379" s="16">
        <v>60708.32</v>
      </c>
      <c r="S379" s="17"/>
    </row>
    <row r="380" spans="1:19" x14ac:dyDescent="0.4">
      <c r="A380">
        <v>2848462</v>
      </c>
      <c r="B380" s="15">
        <v>32</v>
      </c>
      <c r="C380" s="12" t="s">
        <v>122</v>
      </c>
      <c r="D380" s="12" t="s">
        <v>134</v>
      </c>
      <c r="E380" s="12" t="s">
        <v>151</v>
      </c>
      <c r="F380" s="12" t="s">
        <v>158</v>
      </c>
      <c r="G380" s="14">
        <f t="shared" ca="1" si="5"/>
        <v>154760.2997055701</v>
      </c>
      <c r="H380" s="12" t="s">
        <v>171</v>
      </c>
      <c r="I380">
        <v>0</v>
      </c>
      <c r="J380">
        <v>40</v>
      </c>
      <c r="K380" s="12" t="s">
        <v>176</v>
      </c>
      <c r="L380">
        <v>0</v>
      </c>
      <c r="M380">
        <v>0</v>
      </c>
      <c r="O380" s="39"/>
      <c r="P380" s="15">
        <v>115759.45</v>
      </c>
      <c r="S380" s="17"/>
    </row>
    <row r="381" spans="1:19" x14ac:dyDescent="0.4">
      <c r="A381">
        <v>2858446</v>
      </c>
      <c r="B381" s="16">
        <v>51</v>
      </c>
      <c r="C381" s="12" t="s">
        <v>123</v>
      </c>
      <c r="D381" s="12" t="s">
        <v>140</v>
      </c>
      <c r="E381" s="12" t="s">
        <v>153</v>
      </c>
      <c r="F381" s="12" t="s">
        <v>157</v>
      </c>
      <c r="G381" s="14">
        <f t="shared" ca="1" si="5"/>
        <v>69249.636661886383</v>
      </c>
      <c r="H381" s="12" t="s">
        <v>171</v>
      </c>
      <c r="I381">
        <v>0</v>
      </c>
      <c r="J381">
        <v>40</v>
      </c>
      <c r="K381" s="12" t="s">
        <v>176</v>
      </c>
      <c r="L381">
        <v>0</v>
      </c>
      <c r="M381">
        <v>0</v>
      </c>
      <c r="O381" s="39"/>
      <c r="P381" s="16">
        <v>38448.49</v>
      </c>
      <c r="S381" s="17"/>
    </row>
    <row r="382" spans="1:19" x14ac:dyDescent="0.4">
      <c r="A382">
        <v>2861412</v>
      </c>
      <c r="B382" s="15">
        <v>50</v>
      </c>
      <c r="C382" s="12" t="s">
        <v>122</v>
      </c>
      <c r="D382" s="12" t="s">
        <v>134</v>
      </c>
      <c r="E382" s="12" t="s">
        <v>154</v>
      </c>
      <c r="F382" s="12" t="s">
        <v>164</v>
      </c>
      <c r="G382" s="14">
        <f t="shared" ca="1" si="5"/>
        <v>421625.09907860577</v>
      </c>
      <c r="H382" s="12" t="s">
        <v>171</v>
      </c>
      <c r="I382">
        <v>0</v>
      </c>
      <c r="J382">
        <v>40</v>
      </c>
      <c r="K382" s="12" t="s">
        <v>176</v>
      </c>
      <c r="L382">
        <v>0</v>
      </c>
      <c r="M382">
        <v>0</v>
      </c>
      <c r="O382" s="39"/>
      <c r="P382" s="15">
        <v>245512.73</v>
      </c>
      <c r="S382" s="17"/>
    </row>
    <row r="383" spans="1:19" x14ac:dyDescent="0.4">
      <c r="A383">
        <v>2876748</v>
      </c>
      <c r="B383" s="16">
        <v>29</v>
      </c>
      <c r="C383" s="12" t="s">
        <v>122</v>
      </c>
      <c r="D383" s="12" t="s">
        <v>134</v>
      </c>
      <c r="E383" s="12" t="s">
        <v>152</v>
      </c>
      <c r="F383" s="12" t="s">
        <v>157</v>
      </c>
      <c r="G383" s="14">
        <f t="shared" ca="1" si="5"/>
        <v>18297.731376064348</v>
      </c>
      <c r="H383" s="12" t="s">
        <v>172</v>
      </c>
      <c r="I383">
        <v>0</v>
      </c>
      <c r="J383">
        <v>40</v>
      </c>
      <c r="K383" s="12" t="s">
        <v>176</v>
      </c>
      <c r="L383">
        <v>0</v>
      </c>
      <c r="M383">
        <v>0</v>
      </c>
      <c r="O383" s="39"/>
      <c r="P383" s="16">
        <v>16596.93</v>
      </c>
      <c r="S383" s="17"/>
    </row>
    <row r="384" spans="1:19" x14ac:dyDescent="0.4">
      <c r="A384">
        <v>2882883</v>
      </c>
      <c r="B384" s="15">
        <v>41</v>
      </c>
      <c r="C384" s="12" t="s">
        <v>122</v>
      </c>
      <c r="D384" s="12" t="s">
        <v>135</v>
      </c>
      <c r="E384" s="12" t="s">
        <v>150</v>
      </c>
      <c r="F384" s="12" t="s">
        <v>144</v>
      </c>
      <c r="G384" s="14">
        <f t="shared" ca="1" si="5"/>
        <v>105889.3141196021</v>
      </c>
      <c r="H384" s="12" t="s">
        <v>172</v>
      </c>
      <c r="I384">
        <v>0</v>
      </c>
      <c r="J384">
        <v>40</v>
      </c>
      <c r="K384" s="12" t="s">
        <v>176</v>
      </c>
      <c r="L384">
        <v>3156</v>
      </c>
      <c r="M384">
        <v>1</v>
      </c>
      <c r="O384" s="39"/>
      <c r="P384" s="15">
        <v>76867.5</v>
      </c>
      <c r="S384" s="17"/>
    </row>
    <row r="385" spans="1:19" x14ac:dyDescent="0.4">
      <c r="A385">
        <v>2884161</v>
      </c>
      <c r="B385" s="16">
        <v>31</v>
      </c>
      <c r="C385" s="12" t="s">
        <v>122</v>
      </c>
      <c r="D385" s="12" t="s">
        <v>134</v>
      </c>
      <c r="E385" s="12" t="s">
        <v>150</v>
      </c>
      <c r="F385" s="12" t="s">
        <v>165</v>
      </c>
      <c r="G385" s="14">
        <f t="shared" ca="1" si="5"/>
        <v>499457.79691291816</v>
      </c>
      <c r="H385" s="12" t="s">
        <v>172</v>
      </c>
      <c r="I385">
        <v>0</v>
      </c>
      <c r="J385">
        <v>45</v>
      </c>
      <c r="K385" s="12" t="s">
        <v>176</v>
      </c>
      <c r="L385">
        <v>0</v>
      </c>
      <c r="M385">
        <v>0</v>
      </c>
      <c r="O385" s="39"/>
      <c r="P385" s="16">
        <v>266708.53999999998</v>
      </c>
      <c r="S385" s="17"/>
    </row>
    <row r="386" spans="1:19" x14ac:dyDescent="0.4">
      <c r="A386">
        <v>2889800</v>
      </c>
      <c r="B386" s="15">
        <v>34</v>
      </c>
      <c r="C386" s="12" t="s">
        <v>122</v>
      </c>
      <c r="D386" s="12" t="s">
        <v>134</v>
      </c>
      <c r="E386" s="12" t="s">
        <v>150</v>
      </c>
      <c r="F386" s="12" t="s">
        <v>159</v>
      </c>
      <c r="G386" s="14">
        <f t="shared" ca="1" si="5"/>
        <v>70814.114134152827</v>
      </c>
      <c r="H386" s="12" t="s">
        <v>172</v>
      </c>
      <c r="I386">
        <v>0</v>
      </c>
      <c r="J386">
        <v>55</v>
      </c>
      <c r="K386" s="12" t="s">
        <v>176</v>
      </c>
      <c r="L386">
        <v>0</v>
      </c>
      <c r="M386">
        <v>0</v>
      </c>
      <c r="O386" s="39"/>
      <c r="P386" s="15">
        <v>65181.4</v>
      </c>
      <c r="S386" s="17"/>
    </row>
    <row r="387" spans="1:19" x14ac:dyDescent="0.4">
      <c r="A387">
        <v>2894143</v>
      </c>
      <c r="B387" s="16">
        <v>30</v>
      </c>
      <c r="C387" s="12" t="s">
        <v>122</v>
      </c>
      <c r="D387" s="12" t="s">
        <v>134</v>
      </c>
      <c r="E387" s="12" t="s">
        <v>152</v>
      </c>
      <c r="F387" s="12" t="s">
        <v>157</v>
      </c>
      <c r="G387" s="14">
        <f t="shared" ca="1" si="5"/>
        <v>93662.995201653772</v>
      </c>
      <c r="H387" s="12" t="s">
        <v>172</v>
      </c>
      <c r="I387">
        <v>0</v>
      </c>
      <c r="J387">
        <v>40</v>
      </c>
      <c r="K387" s="12" t="s">
        <v>176</v>
      </c>
      <c r="L387">
        <v>0</v>
      </c>
      <c r="M387">
        <v>0</v>
      </c>
      <c r="O387" s="39"/>
      <c r="P387" s="16">
        <v>50564.31</v>
      </c>
      <c r="S387" s="17"/>
    </row>
    <row r="388" spans="1:19" x14ac:dyDescent="0.4">
      <c r="A388">
        <v>2899030</v>
      </c>
      <c r="B388" s="15">
        <v>26</v>
      </c>
      <c r="C388" s="12" t="s">
        <v>122</v>
      </c>
      <c r="D388" s="12" t="s">
        <v>139</v>
      </c>
      <c r="E388" s="12" t="s">
        <v>150</v>
      </c>
      <c r="F388" s="12" t="s">
        <v>161</v>
      </c>
      <c r="G388" s="14">
        <f t="shared" ca="1" si="5"/>
        <v>232524.52679019584</v>
      </c>
      <c r="H388" s="12" t="s">
        <v>171</v>
      </c>
      <c r="I388">
        <v>0</v>
      </c>
      <c r="J388">
        <v>15</v>
      </c>
      <c r="K388" s="12" t="s">
        <v>176</v>
      </c>
      <c r="L388">
        <v>0</v>
      </c>
      <c r="M388">
        <v>0</v>
      </c>
      <c r="O388" s="39"/>
      <c r="P388" s="15">
        <v>198605.08</v>
      </c>
      <c r="S388" s="17"/>
    </row>
    <row r="389" spans="1:19" x14ac:dyDescent="0.4">
      <c r="A389">
        <v>2917228</v>
      </c>
      <c r="B389" s="16">
        <v>64</v>
      </c>
      <c r="C389" s="12" t="s">
        <v>122</v>
      </c>
      <c r="D389" s="12" t="s">
        <v>134</v>
      </c>
      <c r="E389" s="12" t="s">
        <v>152</v>
      </c>
      <c r="F389" s="12" t="s">
        <v>160</v>
      </c>
      <c r="G389" s="14">
        <f t="shared" ca="1" si="5"/>
        <v>32134.735025071306</v>
      </c>
      <c r="H389" s="12" t="s">
        <v>172</v>
      </c>
      <c r="I389">
        <v>0</v>
      </c>
      <c r="J389">
        <v>16</v>
      </c>
      <c r="K389" s="12" t="s">
        <v>176</v>
      </c>
      <c r="L389">
        <v>0</v>
      </c>
      <c r="M389">
        <v>0</v>
      </c>
      <c r="O389" s="39"/>
      <c r="P389" s="16">
        <v>29018.13</v>
      </c>
      <c r="S389" s="17"/>
    </row>
    <row r="390" spans="1:19" x14ac:dyDescent="0.4">
      <c r="A390">
        <v>2926326</v>
      </c>
      <c r="B390" s="15">
        <v>46</v>
      </c>
      <c r="C390" s="12" t="s">
        <v>122</v>
      </c>
      <c r="D390" s="12" t="s">
        <v>135</v>
      </c>
      <c r="E390" s="12" t="s">
        <v>150</v>
      </c>
      <c r="F390" s="12" t="s">
        <v>144</v>
      </c>
      <c r="G390" s="14">
        <f t="shared" ca="1" si="5"/>
        <v>191231.02708513619</v>
      </c>
      <c r="H390" s="12" t="s">
        <v>172</v>
      </c>
      <c r="I390">
        <v>0</v>
      </c>
      <c r="J390">
        <v>60</v>
      </c>
      <c r="K390" s="12" t="s">
        <v>176</v>
      </c>
      <c r="L390">
        <v>0</v>
      </c>
      <c r="M390">
        <v>0</v>
      </c>
      <c r="O390" s="39"/>
      <c r="P390" s="15">
        <v>104411.29</v>
      </c>
      <c r="S390" s="17"/>
    </row>
    <row r="391" spans="1:19" x14ac:dyDescent="0.4">
      <c r="A391">
        <v>2928328</v>
      </c>
      <c r="B391" s="16">
        <v>27</v>
      </c>
      <c r="C391" s="12" t="s">
        <v>122</v>
      </c>
      <c r="D391" s="12" t="s">
        <v>135</v>
      </c>
      <c r="E391" s="12" t="s">
        <v>152</v>
      </c>
      <c r="F391" s="12" t="s">
        <v>160</v>
      </c>
      <c r="G391" s="14">
        <f t="shared" ca="1" si="5"/>
        <v>32645.829243663295</v>
      </c>
      <c r="H391" s="12" t="s">
        <v>172</v>
      </c>
      <c r="I391">
        <v>0</v>
      </c>
      <c r="J391">
        <v>40</v>
      </c>
      <c r="K391" s="12" t="s">
        <v>176</v>
      </c>
      <c r="L391">
        <v>0</v>
      </c>
      <c r="M391">
        <v>0</v>
      </c>
      <c r="O391" s="39"/>
      <c r="P391" s="16">
        <v>29372.19</v>
      </c>
      <c r="S391" s="17"/>
    </row>
    <row r="392" spans="1:19" x14ac:dyDescent="0.4">
      <c r="A392">
        <v>2933720</v>
      </c>
      <c r="B392" s="15">
        <v>37</v>
      </c>
      <c r="C392" s="12" t="s">
        <v>122</v>
      </c>
      <c r="D392" s="12" t="s">
        <v>135</v>
      </c>
      <c r="E392" s="12" t="s">
        <v>152</v>
      </c>
      <c r="F392" s="12" t="s">
        <v>161</v>
      </c>
      <c r="G392" s="14">
        <f t="shared" ca="1" si="5"/>
        <v>28760.218101843166</v>
      </c>
      <c r="H392" s="12" t="s">
        <v>172</v>
      </c>
      <c r="I392">
        <v>0</v>
      </c>
      <c r="J392">
        <v>40</v>
      </c>
      <c r="K392" s="12" t="s">
        <v>176</v>
      </c>
      <c r="L392">
        <v>5124</v>
      </c>
      <c r="M392">
        <v>1</v>
      </c>
      <c r="O392" s="39"/>
      <c r="P392" s="15">
        <v>16834.5</v>
      </c>
      <c r="S392" s="17"/>
    </row>
    <row r="393" spans="1:19" x14ac:dyDescent="0.4">
      <c r="A393">
        <v>2935621</v>
      </c>
      <c r="B393" s="16">
        <v>34</v>
      </c>
      <c r="C393" s="12" t="s">
        <v>122</v>
      </c>
      <c r="D393" s="12" t="s">
        <v>132</v>
      </c>
      <c r="E393" s="12" t="s">
        <v>149</v>
      </c>
      <c r="F393" s="12" t="s">
        <v>161</v>
      </c>
      <c r="G393" s="14">
        <f t="shared" ca="1" si="5"/>
        <v>93146.928511236474</v>
      </c>
      <c r="H393" s="12" t="s">
        <v>172</v>
      </c>
      <c r="I393">
        <v>0</v>
      </c>
      <c r="J393">
        <v>40</v>
      </c>
      <c r="K393" s="12" t="s">
        <v>176</v>
      </c>
      <c r="L393">
        <v>0</v>
      </c>
      <c r="M393">
        <v>0</v>
      </c>
      <c r="O393" s="39"/>
      <c r="P393" s="16">
        <v>69650.320000000007</v>
      </c>
      <c r="S393" s="17"/>
    </row>
    <row r="394" spans="1:19" x14ac:dyDescent="0.4">
      <c r="A394">
        <v>2935747</v>
      </c>
      <c r="B394" s="15">
        <v>50</v>
      </c>
      <c r="C394" s="12" t="s">
        <v>125</v>
      </c>
      <c r="D394" s="12" t="s">
        <v>138</v>
      </c>
      <c r="E394" s="12" t="s">
        <v>151</v>
      </c>
      <c r="F394" s="12" t="s">
        <v>144</v>
      </c>
      <c r="G394" s="14">
        <f t="shared" ca="1" si="5"/>
        <v>69141.743461317848</v>
      </c>
      <c r="H394" s="12" t="s">
        <v>171</v>
      </c>
      <c r="I394">
        <v>0</v>
      </c>
      <c r="J394">
        <v>30</v>
      </c>
      <c r="K394" s="12" t="s">
        <v>129</v>
      </c>
      <c r="L394">
        <v>0</v>
      </c>
      <c r="M394">
        <v>0</v>
      </c>
      <c r="O394" s="39"/>
      <c r="P394" s="15">
        <v>54815.01</v>
      </c>
      <c r="S394" s="17"/>
    </row>
    <row r="395" spans="1:19" x14ac:dyDescent="0.4">
      <c r="A395">
        <v>2946407</v>
      </c>
      <c r="B395" s="16">
        <v>45</v>
      </c>
      <c r="C395" s="12" t="s">
        <v>122</v>
      </c>
      <c r="D395" s="12" t="s">
        <v>136</v>
      </c>
      <c r="E395" s="12" t="s">
        <v>152</v>
      </c>
      <c r="F395" s="12" t="s">
        <v>158</v>
      </c>
      <c r="G395" s="14">
        <f t="shared" ref="G395:G458" ca="1" si="6">P395*(1+RAND())</f>
        <v>341708.80913941597</v>
      </c>
      <c r="H395" s="12" t="s">
        <v>171</v>
      </c>
      <c r="I395">
        <v>0</v>
      </c>
      <c r="J395">
        <v>40</v>
      </c>
      <c r="K395" s="12" t="s">
        <v>176</v>
      </c>
      <c r="L395">
        <v>3103</v>
      </c>
      <c r="M395">
        <v>1</v>
      </c>
      <c r="O395" s="39"/>
      <c r="P395" s="16">
        <v>273024.98</v>
      </c>
      <c r="S395" s="17"/>
    </row>
    <row r="396" spans="1:19" x14ac:dyDescent="0.4">
      <c r="A396">
        <v>2946966</v>
      </c>
      <c r="B396" s="15">
        <v>39</v>
      </c>
      <c r="C396" s="12" t="s">
        <v>129</v>
      </c>
      <c r="D396" s="12" t="s">
        <v>134</v>
      </c>
      <c r="E396" s="12" t="s">
        <v>152</v>
      </c>
      <c r="F396" s="12" t="s">
        <v>129</v>
      </c>
      <c r="G396" s="14">
        <f t="shared" ca="1" si="6"/>
        <v>45808.321614299108</v>
      </c>
      <c r="H396" s="12" t="s">
        <v>172</v>
      </c>
      <c r="I396">
        <v>0</v>
      </c>
      <c r="J396">
        <v>40</v>
      </c>
      <c r="K396" s="12" t="s">
        <v>176</v>
      </c>
      <c r="L396">
        <v>0</v>
      </c>
      <c r="M396">
        <v>0</v>
      </c>
      <c r="O396" s="39"/>
      <c r="P396" s="15">
        <v>24090.81</v>
      </c>
      <c r="S396" s="17"/>
    </row>
    <row r="397" spans="1:19" x14ac:dyDescent="0.4">
      <c r="A397">
        <v>2948009</v>
      </c>
      <c r="B397" s="16">
        <v>46</v>
      </c>
      <c r="C397" s="12" t="s">
        <v>122</v>
      </c>
      <c r="D397" s="12" t="s">
        <v>134</v>
      </c>
      <c r="E397" s="12" t="s">
        <v>151</v>
      </c>
      <c r="F397" s="12" t="s">
        <v>167</v>
      </c>
      <c r="G397" s="14">
        <f t="shared" ca="1" si="6"/>
        <v>110098.60937861285</v>
      </c>
      <c r="H397" s="12" t="s">
        <v>171</v>
      </c>
      <c r="I397">
        <v>0</v>
      </c>
      <c r="J397">
        <v>25</v>
      </c>
      <c r="K397" s="12" t="s">
        <v>176</v>
      </c>
      <c r="L397">
        <v>0</v>
      </c>
      <c r="M397">
        <v>0</v>
      </c>
      <c r="O397" s="39"/>
      <c r="P397" s="16">
        <v>87517.4</v>
      </c>
      <c r="S397" s="17"/>
    </row>
    <row r="398" spans="1:19" x14ac:dyDescent="0.4">
      <c r="A398">
        <v>2953581</v>
      </c>
      <c r="B398" s="15">
        <v>45</v>
      </c>
      <c r="C398" s="12" t="s">
        <v>123</v>
      </c>
      <c r="D398" s="12" t="s">
        <v>134</v>
      </c>
      <c r="E398" s="12" t="s">
        <v>152</v>
      </c>
      <c r="F398" s="12" t="s">
        <v>160</v>
      </c>
      <c r="G398" s="14">
        <f t="shared" ca="1" si="6"/>
        <v>60058.585080096993</v>
      </c>
      <c r="H398" s="12" t="s">
        <v>172</v>
      </c>
      <c r="I398">
        <v>0</v>
      </c>
      <c r="J398">
        <v>40</v>
      </c>
      <c r="K398" s="12" t="s">
        <v>191</v>
      </c>
      <c r="L398">
        <v>0</v>
      </c>
      <c r="M398">
        <v>0</v>
      </c>
      <c r="O398" s="39"/>
      <c r="P398" s="15">
        <v>45021.81</v>
      </c>
      <c r="S398" s="17"/>
    </row>
    <row r="399" spans="1:19" x14ac:dyDescent="0.4">
      <c r="A399">
        <v>2961216</v>
      </c>
      <c r="B399" s="16">
        <v>33</v>
      </c>
      <c r="C399" s="12" t="s">
        <v>125</v>
      </c>
      <c r="D399" s="12" t="s">
        <v>137</v>
      </c>
      <c r="E399" s="12" t="s">
        <v>150</v>
      </c>
      <c r="F399" s="12" t="s">
        <v>166</v>
      </c>
      <c r="G399" s="14">
        <f t="shared" ca="1" si="6"/>
        <v>145970.71534212562</v>
      </c>
      <c r="H399" s="12" t="s">
        <v>172</v>
      </c>
      <c r="I399">
        <v>0</v>
      </c>
      <c r="J399">
        <v>56</v>
      </c>
      <c r="K399" s="12" t="s">
        <v>176</v>
      </c>
      <c r="L399">
        <v>0</v>
      </c>
      <c r="M399">
        <v>0</v>
      </c>
      <c r="O399" s="39"/>
      <c r="P399" s="16">
        <v>83998.37</v>
      </c>
      <c r="S399" s="17"/>
    </row>
    <row r="400" spans="1:19" x14ac:dyDescent="0.4">
      <c r="A400">
        <v>2962167</v>
      </c>
      <c r="B400" s="15">
        <v>27</v>
      </c>
      <c r="C400" s="12" t="s">
        <v>122</v>
      </c>
      <c r="D400" s="12" t="s">
        <v>132</v>
      </c>
      <c r="E400" s="12" t="s">
        <v>150</v>
      </c>
      <c r="F400" s="12" t="s">
        <v>162</v>
      </c>
      <c r="G400" s="14">
        <f t="shared" ca="1" si="6"/>
        <v>151757.51242112316</v>
      </c>
      <c r="H400" s="12" t="s">
        <v>172</v>
      </c>
      <c r="I400">
        <v>0</v>
      </c>
      <c r="J400">
        <v>40</v>
      </c>
      <c r="K400" s="12" t="s">
        <v>176</v>
      </c>
      <c r="L400">
        <v>0</v>
      </c>
      <c r="M400">
        <v>0</v>
      </c>
      <c r="O400" s="39"/>
      <c r="P400" s="15">
        <v>119648.25</v>
      </c>
      <c r="S400" s="17"/>
    </row>
    <row r="401" spans="1:19" x14ac:dyDescent="0.4">
      <c r="A401">
        <v>2967442</v>
      </c>
      <c r="B401" s="16">
        <v>26</v>
      </c>
      <c r="C401" s="12" t="s">
        <v>122</v>
      </c>
      <c r="D401" s="12" t="s">
        <v>135</v>
      </c>
      <c r="E401" s="12" t="s">
        <v>150</v>
      </c>
      <c r="F401" s="12" t="s">
        <v>158</v>
      </c>
      <c r="G401" s="14">
        <f t="shared" ca="1" si="6"/>
        <v>461154.90200479841</v>
      </c>
      <c r="H401" s="12" t="s">
        <v>171</v>
      </c>
      <c r="I401">
        <v>0</v>
      </c>
      <c r="J401">
        <v>40</v>
      </c>
      <c r="K401" s="12" t="s">
        <v>179</v>
      </c>
      <c r="L401">
        <v>0</v>
      </c>
      <c r="M401">
        <v>0</v>
      </c>
      <c r="O401" s="39"/>
      <c r="P401" s="16">
        <v>302473.86</v>
      </c>
      <c r="S401" s="17"/>
    </row>
    <row r="402" spans="1:19" x14ac:dyDescent="0.4">
      <c r="A402">
        <v>2970530</v>
      </c>
      <c r="B402" s="15">
        <v>22</v>
      </c>
      <c r="C402" s="12" t="s">
        <v>122</v>
      </c>
      <c r="D402" s="12" t="s">
        <v>134</v>
      </c>
      <c r="E402" s="12" t="s">
        <v>150</v>
      </c>
      <c r="F402" s="12" t="s">
        <v>156</v>
      </c>
      <c r="G402" s="14">
        <f t="shared" ca="1" si="6"/>
        <v>279134.87960491149</v>
      </c>
      <c r="H402" s="12" t="s">
        <v>171</v>
      </c>
      <c r="I402">
        <v>0</v>
      </c>
      <c r="J402">
        <v>19</v>
      </c>
      <c r="K402" s="12" t="s">
        <v>176</v>
      </c>
      <c r="L402">
        <v>0</v>
      </c>
      <c r="M402">
        <v>0</v>
      </c>
      <c r="O402" s="39"/>
      <c r="P402" s="15">
        <v>151717.76999999999</v>
      </c>
      <c r="S402" s="17"/>
    </row>
    <row r="403" spans="1:19" x14ac:dyDescent="0.4">
      <c r="A403">
        <v>2982830</v>
      </c>
      <c r="B403" s="16">
        <v>45</v>
      </c>
      <c r="C403" s="12" t="s">
        <v>125</v>
      </c>
      <c r="D403" s="12" t="s">
        <v>134</v>
      </c>
      <c r="E403" s="12" t="s">
        <v>149</v>
      </c>
      <c r="F403" s="12" t="s">
        <v>156</v>
      </c>
      <c r="G403" s="14">
        <f t="shared" ca="1" si="6"/>
        <v>257658.60469501198</v>
      </c>
      <c r="H403" s="12" t="s">
        <v>171</v>
      </c>
      <c r="I403">
        <v>0</v>
      </c>
      <c r="J403">
        <v>40</v>
      </c>
      <c r="K403" s="12" t="s">
        <v>176</v>
      </c>
      <c r="L403">
        <v>0</v>
      </c>
      <c r="M403">
        <v>0</v>
      </c>
      <c r="O403" s="39"/>
      <c r="P403" s="16">
        <v>191903.12</v>
      </c>
      <c r="S403" s="17"/>
    </row>
    <row r="404" spans="1:19" x14ac:dyDescent="0.4">
      <c r="A404">
        <v>2983570</v>
      </c>
      <c r="B404" s="15">
        <v>29</v>
      </c>
      <c r="C404" s="12" t="s">
        <v>122</v>
      </c>
      <c r="D404" s="12" t="s">
        <v>137</v>
      </c>
      <c r="E404" s="12" t="s">
        <v>152</v>
      </c>
      <c r="F404" s="12" t="s">
        <v>159</v>
      </c>
      <c r="G404" s="14">
        <f t="shared" ca="1" si="6"/>
        <v>37423.418899275304</v>
      </c>
      <c r="H404" s="12" t="s">
        <v>172</v>
      </c>
      <c r="I404">
        <v>0</v>
      </c>
      <c r="J404">
        <v>50</v>
      </c>
      <c r="K404" s="12" t="s">
        <v>176</v>
      </c>
      <c r="L404">
        <v>0</v>
      </c>
      <c r="M404">
        <v>0</v>
      </c>
      <c r="O404" s="39"/>
      <c r="P404" s="15">
        <v>37179.24</v>
      </c>
      <c r="S404" s="17"/>
    </row>
    <row r="405" spans="1:19" x14ac:dyDescent="0.4">
      <c r="A405">
        <v>2986567</v>
      </c>
      <c r="B405" s="16">
        <v>23</v>
      </c>
      <c r="C405" s="12" t="s">
        <v>122</v>
      </c>
      <c r="D405" s="12" t="s">
        <v>134</v>
      </c>
      <c r="E405" s="12" t="s">
        <v>150</v>
      </c>
      <c r="F405" s="12" t="s">
        <v>160</v>
      </c>
      <c r="G405" s="14">
        <f t="shared" ca="1" si="6"/>
        <v>275748.10448860523</v>
      </c>
      <c r="H405" s="12" t="s">
        <v>172</v>
      </c>
      <c r="I405">
        <v>0</v>
      </c>
      <c r="J405">
        <v>40</v>
      </c>
      <c r="K405" s="12" t="s">
        <v>176</v>
      </c>
      <c r="L405">
        <v>0</v>
      </c>
      <c r="M405">
        <v>0</v>
      </c>
      <c r="O405" s="39"/>
      <c r="P405" s="16">
        <v>190071.74</v>
      </c>
      <c r="S405" s="17"/>
    </row>
    <row r="406" spans="1:19" x14ac:dyDescent="0.4">
      <c r="A406">
        <v>2994003</v>
      </c>
      <c r="B406" s="15">
        <v>17</v>
      </c>
      <c r="C406" s="12" t="s">
        <v>122</v>
      </c>
      <c r="D406" s="12" t="s">
        <v>136</v>
      </c>
      <c r="E406" s="12" t="s">
        <v>150</v>
      </c>
      <c r="F406" s="12" t="s">
        <v>164</v>
      </c>
      <c r="G406" s="14">
        <f t="shared" ca="1" si="6"/>
        <v>196905.1581395127</v>
      </c>
      <c r="H406" s="12" t="s">
        <v>172</v>
      </c>
      <c r="I406">
        <v>0</v>
      </c>
      <c r="J406">
        <v>17</v>
      </c>
      <c r="K406" s="12" t="s">
        <v>176</v>
      </c>
      <c r="L406">
        <v>0</v>
      </c>
      <c r="M406">
        <v>0</v>
      </c>
      <c r="O406" s="39"/>
      <c r="P406" s="15">
        <v>109648.83</v>
      </c>
      <c r="S406" s="17"/>
    </row>
    <row r="407" spans="1:19" x14ac:dyDescent="0.4">
      <c r="A407">
        <v>2994154</v>
      </c>
      <c r="B407" s="16">
        <v>47</v>
      </c>
      <c r="C407" s="12" t="s">
        <v>122</v>
      </c>
      <c r="D407" s="12" t="s">
        <v>132</v>
      </c>
      <c r="E407" s="12" t="s">
        <v>152</v>
      </c>
      <c r="F407" s="12" t="s">
        <v>161</v>
      </c>
      <c r="G407" s="14">
        <f t="shared" ca="1" si="6"/>
        <v>83675.705718174329</v>
      </c>
      <c r="H407" s="12" t="s">
        <v>172</v>
      </c>
      <c r="I407">
        <v>0</v>
      </c>
      <c r="J407">
        <v>40</v>
      </c>
      <c r="K407" s="12" t="s">
        <v>178</v>
      </c>
      <c r="L407">
        <v>3103</v>
      </c>
      <c r="M407">
        <v>1</v>
      </c>
      <c r="O407" s="39"/>
      <c r="P407" s="16">
        <v>43274.45</v>
      </c>
      <c r="S407" s="17"/>
    </row>
    <row r="408" spans="1:19" x14ac:dyDescent="0.4">
      <c r="A408">
        <v>2998044</v>
      </c>
      <c r="B408" s="15">
        <v>28</v>
      </c>
      <c r="C408" s="12" t="s">
        <v>122</v>
      </c>
      <c r="D408" s="12" t="s">
        <v>139</v>
      </c>
      <c r="E408" s="12" t="s">
        <v>152</v>
      </c>
      <c r="F408" s="12" t="s">
        <v>159</v>
      </c>
      <c r="G408" s="14">
        <f t="shared" ca="1" si="6"/>
        <v>154353.38812212436</v>
      </c>
      <c r="H408" s="12" t="s">
        <v>172</v>
      </c>
      <c r="I408">
        <v>0</v>
      </c>
      <c r="J408">
        <v>60</v>
      </c>
      <c r="K408" s="12" t="s">
        <v>176</v>
      </c>
      <c r="L408">
        <v>7716</v>
      </c>
      <c r="M408">
        <v>1</v>
      </c>
      <c r="O408" s="39"/>
      <c r="P408" s="15">
        <v>107861.57</v>
      </c>
      <c r="S408" s="17"/>
    </row>
    <row r="409" spans="1:19" x14ac:dyDescent="0.4">
      <c r="A409">
        <v>3000511</v>
      </c>
      <c r="B409" s="16">
        <v>61</v>
      </c>
      <c r="C409" s="12" t="s">
        <v>122</v>
      </c>
      <c r="D409" s="12" t="s">
        <v>134</v>
      </c>
      <c r="E409" s="12" t="s">
        <v>152</v>
      </c>
      <c r="F409" s="12" t="s">
        <v>160</v>
      </c>
      <c r="G409" s="14">
        <f t="shared" ca="1" si="6"/>
        <v>317438.02615394315</v>
      </c>
      <c r="H409" s="12" t="s">
        <v>171</v>
      </c>
      <c r="I409">
        <v>0</v>
      </c>
      <c r="J409">
        <v>38</v>
      </c>
      <c r="K409" s="12" t="s">
        <v>176</v>
      </c>
      <c r="L409">
        <v>15024</v>
      </c>
      <c r="M409">
        <v>1</v>
      </c>
      <c r="O409" s="39"/>
      <c r="P409" s="16">
        <v>163175.67000000001</v>
      </c>
      <c r="S409" s="17"/>
    </row>
    <row r="410" spans="1:19" x14ac:dyDescent="0.4">
      <c r="A410">
        <v>3003868</v>
      </c>
      <c r="B410" s="15">
        <v>31</v>
      </c>
      <c r="C410" s="12" t="s">
        <v>122</v>
      </c>
      <c r="D410" s="12" t="s">
        <v>134</v>
      </c>
      <c r="E410" s="12" t="s">
        <v>151</v>
      </c>
      <c r="F410" s="12" t="s">
        <v>157</v>
      </c>
      <c r="G410" s="14">
        <f t="shared" ca="1" si="6"/>
        <v>117803.45119095445</v>
      </c>
      <c r="H410" s="12" t="s">
        <v>172</v>
      </c>
      <c r="I410">
        <v>0</v>
      </c>
      <c r="J410">
        <v>45</v>
      </c>
      <c r="K410" s="12" t="s">
        <v>176</v>
      </c>
      <c r="L410">
        <v>0</v>
      </c>
      <c r="M410">
        <v>0</v>
      </c>
      <c r="O410" s="39"/>
      <c r="P410" s="15">
        <v>105269.72</v>
      </c>
      <c r="S410" s="17"/>
    </row>
    <row r="411" spans="1:19" x14ac:dyDescent="0.4">
      <c r="A411">
        <v>3015932</v>
      </c>
      <c r="B411" s="16">
        <v>20</v>
      </c>
      <c r="C411" s="12" t="s">
        <v>129</v>
      </c>
      <c r="D411" s="12" t="s">
        <v>132</v>
      </c>
      <c r="E411" s="12" t="s">
        <v>150</v>
      </c>
      <c r="F411" s="12" t="s">
        <v>129</v>
      </c>
      <c r="G411" s="14">
        <f t="shared" ca="1" si="6"/>
        <v>274142.36426682823</v>
      </c>
      <c r="H411" s="12" t="s">
        <v>172</v>
      </c>
      <c r="I411">
        <v>0</v>
      </c>
      <c r="J411">
        <v>36</v>
      </c>
      <c r="K411" s="12" t="s">
        <v>176</v>
      </c>
      <c r="L411">
        <v>0</v>
      </c>
      <c r="M411">
        <v>0</v>
      </c>
      <c r="O411" s="39"/>
      <c r="P411" s="16">
        <v>156892.82</v>
      </c>
      <c r="S411" s="17"/>
    </row>
    <row r="412" spans="1:19" x14ac:dyDescent="0.4">
      <c r="A412">
        <v>3025458</v>
      </c>
      <c r="B412" s="15">
        <v>74</v>
      </c>
      <c r="C412" s="12" t="s">
        <v>129</v>
      </c>
      <c r="D412" s="12" t="s">
        <v>134</v>
      </c>
      <c r="E412" s="12" t="s">
        <v>153</v>
      </c>
      <c r="F412" s="12" t="s">
        <v>129</v>
      </c>
      <c r="G412" s="14">
        <f t="shared" ca="1" si="6"/>
        <v>55941.245337202366</v>
      </c>
      <c r="H412" s="12" t="s">
        <v>171</v>
      </c>
      <c r="I412">
        <v>0</v>
      </c>
      <c r="J412">
        <v>10</v>
      </c>
      <c r="K412" s="12" t="s">
        <v>176</v>
      </c>
      <c r="L412">
        <v>0</v>
      </c>
      <c r="M412">
        <v>0</v>
      </c>
      <c r="O412" s="39"/>
      <c r="P412" s="15">
        <v>43529.53</v>
      </c>
      <c r="S412" s="17"/>
    </row>
    <row r="413" spans="1:19" x14ac:dyDescent="0.4">
      <c r="A413">
        <v>3038204</v>
      </c>
      <c r="B413" s="16">
        <v>54</v>
      </c>
      <c r="C413" s="12" t="s">
        <v>126</v>
      </c>
      <c r="D413" s="12" t="s">
        <v>138</v>
      </c>
      <c r="E413" s="12" t="s">
        <v>154</v>
      </c>
      <c r="F413" s="12" t="s">
        <v>144</v>
      </c>
      <c r="G413" s="14">
        <f t="shared" ca="1" si="6"/>
        <v>91260.968451256165</v>
      </c>
      <c r="H413" s="12" t="s">
        <v>171</v>
      </c>
      <c r="I413">
        <v>0</v>
      </c>
      <c r="J413">
        <v>40</v>
      </c>
      <c r="K413" s="12" t="s">
        <v>191</v>
      </c>
      <c r="L413">
        <v>0</v>
      </c>
      <c r="M413">
        <v>0</v>
      </c>
      <c r="O413" s="39"/>
      <c r="P413" s="16">
        <v>51958.85</v>
      </c>
      <c r="S413" s="17"/>
    </row>
    <row r="414" spans="1:19" x14ac:dyDescent="0.4">
      <c r="A414">
        <v>3042526</v>
      </c>
      <c r="B414" s="15">
        <v>42</v>
      </c>
      <c r="C414" s="12" t="s">
        <v>122</v>
      </c>
      <c r="D414" s="12" t="s">
        <v>132</v>
      </c>
      <c r="E414" s="12" t="s">
        <v>152</v>
      </c>
      <c r="F414" s="12" t="s">
        <v>156</v>
      </c>
      <c r="G414" s="14">
        <f t="shared" ca="1" si="6"/>
        <v>96105.977115266418</v>
      </c>
      <c r="H414" s="12" t="s">
        <v>172</v>
      </c>
      <c r="I414">
        <v>0</v>
      </c>
      <c r="J414">
        <v>40</v>
      </c>
      <c r="K414" s="12" t="s">
        <v>176</v>
      </c>
      <c r="L414">
        <v>1590</v>
      </c>
      <c r="M414">
        <v>1</v>
      </c>
      <c r="O414" s="39"/>
      <c r="P414" s="15">
        <v>58980.99</v>
      </c>
      <c r="S414" s="17"/>
    </row>
    <row r="415" spans="1:19" x14ac:dyDescent="0.4">
      <c r="A415">
        <v>3042979</v>
      </c>
      <c r="B415" s="16">
        <v>28</v>
      </c>
      <c r="C415" s="12" t="s">
        <v>122</v>
      </c>
      <c r="D415" s="12" t="s">
        <v>141</v>
      </c>
      <c r="E415" s="12" t="s">
        <v>150</v>
      </c>
      <c r="F415" s="12" t="s">
        <v>158</v>
      </c>
      <c r="G415" s="14">
        <f t="shared" ca="1" si="6"/>
        <v>75476.125162815748</v>
      </c>
      <c r="H415" s="12" t="s">
        <v>172</v>
      </c>
      <c r="I415">
        <v>0</v>
      </c>
      <c r="J415">
        <v>18</v>
      </c>
      <c r="K415" s="12" t="s">
        <v>176</v>
      </c>
      <c r="L415">
        <v>0</v>
      </c>
      <c r="M415">
        <v>0</v>
      </c>
      <c r="O415" s="39"/>
      <c r="P415" s="16">
        <v>73107.98</v>
      </c>
      <c r="S415" s="17"/>
    </row>
    <row r="416" spans="1:19" x14ac:dyDescent="0.4">
      <c r="A416">
        <v>3048381</v>
      </c>
      <c r="B416" s="15">
        <v>21</v>
      </c>
      <c r="C416" s="12" t="s">
        <v>122</v>
      </c>
      <c r="D416" s="12" t="s">
        <v>132</v>
      </c>
      <c r="E416" s="12" t="s">
        <v>150</v>
      </c>
      <c r="F416" s="12" t="s">
        <v>161</v>
      </c>
      <c r="G416" s="14">
        <f t="shared" ca="1" si="6"/>
        <v>424290.38141886465</v>
      </c>
      <c r="H416" s="12" t="s">
        <v>172</v>
      </c>
      <c r="I416">
        <v>0</v>
      </c>
      <c r="J416">
        <v>40</v>
      </c>
      <c r="K416" s="12" t="s">
        <v>176</v>
      </c>
      <c r="L416">
        <v>0</v>
      </c>
      <c r="M416">
        <v>0</v>
      </c>
      <c r="O416" s="39"/>
      <c r="P416" s="15">
        <v>243764.23</v>
      </c>
      <c r="S416" s="17"/>
    </row>
    <row r="417" spans="1:19" x14ac:dyDescent="0.4">
      <c r="A417">
        <v>3055651</v>
      </c>
      <c r="B417" s="16">
        <v>33</v>
      </c>
      <c r="C417" s="12" t="s">
        <v>122</v>
      </c>
      <c r="D417" s="12" t="s">
        <v>135</v>
      </c>
      <c r="E417" s="12" t="s">
        <v>152</v>
      </c>
      <c r="F417" s="12" t="s">
        <v>164</v>
      </c>
      <c r="G417" s="14">
        <f t="shared" ca="1" si="6"/>
        <v>88410.545216021768</v>
      </c>
      <c r="H417" s="12" t="s">
        <v>172</v>
      </c>
      <c r="I417">
        <v>0</v>
      </c>
      <c r="J417">
        <v>40</v>
      </c>
      <c r="K417" s="12" t="s">
        <v>176</v>
      </c>
      <c r="L417">
        <v>0</v>
      </c>
      <c r="M417">
        <v>0</v>
      </c>
      <c r="O417" s="39"/>
      <c r="P417" s="16">
        <v>48116.66</v>
      </c>
      <c r="S417" s="17"/>
    </row>
    <row r="418" spans="1:19" x14ac:dyDescent="0.4">
      <c r="A418">
        <v>3062848</v>
      </c>
      <c r="B418" s="15">
        <v>31</v>
      </c>
      <c r="C418" s="12" t="s">
        <v>122</v>
      </c>
      <c r="D418" s="12" t="s">
        <v>140</v>
      </c>
      <c r="E418" s="12" t="s">
        <v>151</v>
      </c>
      <c r="F418" s="12" t="s">
        <v>156</v>
      </c>
      <c r="G418" s="14">
        <f t="shared" ca="1" si="6"/>
        <v>201165.22529050559</v>
      </c>
      <c r="H418" s="12" t="s">
        <v>172</v>
      </c>
      <c r="I418">
        <v>0</v>
      </c>
      <c r="J418">
        <v>40</v>
      </c>
      <c r="K418" s="12" t="s">
        <v>176</v>
      </c>
      <c r="L418">
        <v>0</v>
      </c>
      <c r="M418">
        <v>0</v>
      </c>
      <c r="O418" s="39"/>
      <c r="P418" s="15">
        <v>100775.05</v>
      </c>
      <c r="S418" s="17"/>
    </row>
    <row r="419" spans="1:19" x14ac:dyDescent="0.4">
      <c r="A419">
        <v>3063306</v>
      </c>
      <c r="B419" s="16">
        <v>22</v>
      </c>
      <c r="C419" s="12" t="s">
        <v>122</v>
      </c>
      <c r="D419" s="12" t="s">
        <v>133</v>
      </c>
      <c r="E419" s="12" t="s">
        <v>150</v>
      </c>
      <c r="F419" s="12" t="s">
        <v>164</v>
      </c>
      <c r="G419" s="14">
        <f t="shared" ca="1" si="6"/>
        <v>157185.25014550134</v>
      </c>
      <c r="H419" s="12" t="s">
        <v>172</v>
      </c>
      <c r="I419">
        <v>2824</v>
      </c>
      <c r="J419">
        <v>40</v>
      </c>
      <c r="K419" s="12" t="s">
        <v>129</v>
      </c>
      <c r="L419">
        <v>2436</v>
      </c>
      <c r="M419">
        <v>1</v>
      </c>
      <c r="O419" s="39"/>
      <c r="P419" s="16">
        <v>91874.240000000005</v>
      </c>
      <c r="S419" s="17"/>
    </row>
    <row r="420" spans="1:19" x14ac:dyDescent="0.4">
      <c r="A420">
        <v>3065252</v>
      </c>
      <c r="B420" s="15">
        <v>52</v>
      </c>
      <c r="C420" s="12" t="s">
        <v>122</v>
      </c>
      <c r="D420" s="12" t="s">
        <v>137</v>
      </c>
      <c r="E420" s="12" t="s">
        <v>149</v>
      </c>
      <c r="F420" s="12" t="s">
        <v>156</v>
      </c>
      <c r="G420" s="14">
        <f t="shared" ca="1" si="6"/>
        <v>440357.09928977361</v>
      </c>
      <c r="H420" s="12" t="s">
        <v>171</v>
      </c>
      <c r="I420">
        <v>0</v>
      </c>
      <c r="J420">
        <v>35</v>
      </c>
      <c r="K420" s="12" t="s">
        <v>176</v>
      </c>
      <c r="L420">
        <v>0</v>
      </c>
      <c r="M420">
        <v>0</v>
      </c>
      <c r="O420" s="39"/>
      <c r="P420" s="15">
        <v>240485.92</v>
      </c>
      <c r="S420" s="17"/>
    </row>
    <row r="421" spans="1:19" x14ac:dyDescent="0.4">
      <c r="A421">
        <v>3069841</v>
      </c>
      <c r="B421" s="16">
        <v>37</v>
      </c>
      <c r="C421" s="12" t="s">
        <v>122</v>
      </c>
      <c r="D421" s="12" t="s">
        <v>138</v>
      </c>
      <c r="E421" s="12" t="s">
        <v>152</v>
      </c>
      <c r="F421" s="12" t="s">
        <v>144</v>
      </c>
      <c r="G421" s="14">
        <f t="shared" ca="1" si="6"/>
        <v>26996.06435370387</v>
      </c>
      <c r="H421" s="12" t="s">
        <v>172</v>
      </c>
      <c r="I421">
        <v>0</v>
      </c>
      <c r="J421">
        <v>45</v>
      </c>
      <c r="K421" s="12" t="s">
        <v>176</v>
      </c>
      <c r="L421">
        <v>5011</v>
      </c>
      <c r="M421">
        <v>1</v>
      </c>
      <c r="O421" s="39"/>
      <c r="P421" s="16">
        <v>24992.3</v>
      </c>
      <c r="S421" s="17"/>
    </row>
    <row r="422" spans="1:19" x14ac:dyDescent="0.4">
      <c r="A422">
        <v>3073599</v>
      </c>
      <c r="B422" s="15">
        <v>65</v>
      </c>
      <c r="C422" s="12" t="s">
        <v>122</v>
      </c>
      <c r="D422" s="12" t="s">
        <v>135</v>
      </c>
      <c r="E422" s="12" t="s">
        <v>150</v>
      </c>
      <c r="F422" s="12" t="s">
        <v>160</v>
      </c>
      <c r="G422" s="14">
        <f t="shared" ca="1" si="6"/>
        <v>41963.171608199678</v>
      </c>
      <c r="H422" s="12" t="s">
        <v>172</v>
      </c>
      <c r="I422">
        <v>0</v>
      </c>
      <c r="J422">
        <v>40</v>
      </c>
      <c r="K422" s="12" t="s">
        <v>176</v>
      </c>
      <c r="L422">
        <v>0</v>
      </c>
      <c r="M422">
        <v>0</v>
      </c>
      <c r="O422" s="39"/>
      <c r="P422" s="15">
        <v>26076.22</v>
      </c>
      <c r="S422" s="17"/>
    </row>
    <row r="423" spans="1:19" x14ac:dyDescent="0.4">
      <c r="A423">
        <v>3075529</v>
      </c>
      <c r="B423" s="16">
        <v>28</v>
      </c>
      <c r="C423" s="12" t="s">
        <v>122</v>
      </c>
      <c r="D423" s="12" t="s">
        <v>135</v>
      </c>
      <c r="E423" s="12" t="s">
        <v>150</v>
      </c>
      <c r="F423" s="12" t="s">
        <v>144</v>
      </c>
      <c r="G423" s="14">
        <f t="shared" ca="1" si="6"/>
        <v>17118.137922460817</v>
      </c>
      <c r="H423" s="12" t="s">
        <v>171</v>
      </c>
      <c r="I423">
        <v>0</v>
      </c>
      <c r="J423">
        <v>40</v>
      </c>
      <c r="K423" s="12" t="s">
        <v>176</v>
      </c>
      <c r="L423">
        <v>0</v>
      </c>
      <c r="M423">
        <v>0</v>
      </c>
      <c r="O423" s="39"/>
      <c r="P423" s="16">
        <v>9541.93</v>
      </c>
      <c r="S423" s="17"/>
    </row>
    <row r="424" spans="1:19" x14ac:dyDescent="0.4">
      <c r="A424">
        <v>3076714</v>
      </c>
      <c r="B424" s="15">
        <v>30</v>
      </c>
      <c r="C424" s="12" t="s">
        <v>122</v>
      </c>
      <c r="D424" s="12" t="s">
        <v>134</v>
      </c>
      <c r="E424" s="12" t="s">
        <v>153</v>
      </c>
      <c r="F424" s="12" t="s">
        <v>158</v>
      </c>
      <c r="G424" s="14">
        <f t="shared" ca="1" si="6"/>
        <v>218645.45521836032</v>
      </c>
      <c r="H424" s="12" t="s">
        <v>171</v>
      </c>
      <c r="I424">
        <v>0</v>
      </c>
      <c r="J424">
        <v>40</v>
      </c>
      <c r="K424" s="12" t="s">
        <v>176</v>
      </c>
      <c r="L424">
        <v>0</v>
      </c>
      <c r="M424">
        <v>0</v>
      </c>
      <c r="O424" s="39"/>
      <c r="P424" s="15">
        <v>140930.85999999999</v>
      </c>
      <c r="S424" s="17"/>
    </row>
    <row r="425" spans="1:19" x14ac:dyDescent="0.4">
      <c r="A425">
        <v>3082739</v>
      </c>
      <c r="B425" s="16">
        <v>47</v>
      </c>
      <c r="C425" s="12" t="s">
        <v>122</v>
      </c>
      <c r="D425" s="12" t="s">
        <v>139</v>
      </c>
      <c r="E425" s="12" t="s">
        <v>151</v>
      </c>
      <c r="F425" s="12" t="s">
        <v>156</v>
      </c>
      <c r="G425" s="14">
        <f t="shared" ca="1" si="6"/>
        <v>126066.41525809893</v>
      </c>
      <c r="H425" s="12" t="s">
        <v>171</v>
      </c>
      <c r="I425">
        <v>0</v>
      </c>
      <c r="J425">
        <v>40</v>
      </c>
      <c r="K425" s="12" t="s">
        <v>176</v>
      </c>
      <c r="L425">
        <v>0</v>
      </c>
      <c r="M425">
        <v>0</v>
      </c>
      <c r="O425" s="39"/>
      <c r="P425" s="16">
        <v>107450.83</v>
      </c>
      <c r="S425" s="17"/>
    </row>
    <row r="426" spans="1:19" x14ac:dyDescent="0.4">
      <c r="A426">
        <v>3100638</v>
      </c>
      <c r="B426" s="15">
        <v>34</v>
      </c>
      <c r="C426" s="12" t="s">
        <v>122</v>
      </c>
      <c r="D426" s="12" t="s">
        <v>132</v>
      </c>
      <c r="E426" s="12" t="s">
        <v>151</v>
      </c>
      <c r="F426" s="12" t="s">
        <v>162</v>
      </c>
      <c r="G426" s="14">
        <f t="shared" ca="1" si="6"/>
        <v>110161.75075217393</v>
      </c>
      <c r="H426" s="12" t="s">
        <v>171</v>
      </c>
      <c r="I426">
        <v>0</v>
      </c>
      <c r="J426">
        <v>40</v>
      </c>
      <c r="K426" s="12" t="s">
        <v>176</v>
      </c>
      <c r="L426">
        <v>0</v>
      </c>
      <c r="M426">
        <v>0</v>
      </c>
      <c r="O426" s="39"/>
      <c r="P426" s="15">
        <v>87586.93</v>
      </c>
      <c r="S426" s="17"/>
    </row>
    <row r="427" spans="1:19" x14ac:dyDescent="0.4">
      <c r="A427">
        <v>3101612</v>
      </c>
      <c r="B427" s="16">
        <v>57</v>
      </c>
      <c r="C427" s="12" t="s">
        <v>125</v>
      </c>
      <c r="D427" s="12" t="s">
        <v>138</v>
      </c>
      <c r="E427" s="12" t="s">
        <v>152</v>
      </c>
      <c r="F427" s="12" t="s">
        <v>166</v>
      </c>
      <c r="G427" s="14">
        <f t="shared" ca="1" si="6"/>
        <v>30440.532330663307</v>
      </c>
      <c r="H427" s="12" t="s">
        <v>172</v>
      </c>
      <c r="I427">
        <v>0</v>
      </c>
      <c r="J427">
        <v>14</v>
      </c>
      <c r="K427" s="12" t="s">
        <v>176</v>
      </c>
      <c r="L427">
        <v>8535</v>
      </c>
      <c r="M427">
        <v>1</v>
      </c>
      <c r="O427" s="39"/>
      <c r="P427" s="16">
        <v>21467.02</v>
      </c>
      <c r="S427" s="17"/>
    </row>
    <row r="428" spans="1:19" x14ac:dyDescent="0.4">
      <c r="A428">
        <v>3104234</v>
      </c>
      <c r="B428" s="15">
        <v>57</v>
      </c>
      <c r="C428" s="12" t="s">
        <v>122</v>
      </c>
      <c r="D428" s="12" t="s">
        <v>143</v>
      </c>
      <c r="E428" s="12" t="s">
        <v>152</v>
      </c>
      <c r="F428" s="12" t="s">
        <v>157</v>
      </c>
      <c r="G428" s="14">
        <f t="shared" ca="1" si="6"/>
        <v>60819.294181282836</v>
      </c>
      <c r="H428" s="12" t="s">
        <v>172</v>
      </c>
      <c r="I428">
        <v>0</v>
      </c>
      <c r="J428">
        <v>40</v>
      </c>
      <c r="K428" s="12" t="s">
        <v>176</v>
      </c>
      <c r="L428">
        <v>0</v>
      </c>
      <c r="M428">
        <v>0</v>
      </c>
      <c r="O428" s="39"/>
      <c r="P428" s="15">
        <v>54815.51</v>
      </c>
      <c r="S428" s="17"/>
    </row>
    <row r="429" spans="1:19" x14ac:dyDescent="0.4">
      <c r="A429">
        <v>3105282</v>
      </c>
      <c r="B429" s="16">
        <v>53</v>
      </c>
      <c r="C429" s="12" t="s">
        <v>122</v>
      </c>
      <c r="D429" s="12" t="s">
        <v>134</v>
      </c>
      <c r="E429" s="12" t="s">
        <v>151</v>
      </c>
      <c r="F429" s="12" t="s">
        <v>162</v>
      </c>
      <c r="G429" s="14">
        <f t="shared" ca="1" si="6"/>
        <v>123394.76492105899</v>
      </c>
      <c r="H429" s="12" t="s">
        <v>171</v>
      </c>
      <c r="I429">
        <v>0</v>
      </c>
      <c r="J429">
        <v>35</v>
      </c>
      <c r="K429" s="12" t="s">
        <v>176</v>
      </c>
      <c r="L429">
        <v>0</v>
      </c>
      <c r="M429">
        <v>0</v>
      </c>
      <c r="O429" s="39"/>
      <c r="P429" s="16">
        <v>63446.23</v>
      </c>
      <c r="S429" s="17"/>
    </row>
    <row r="430" spans="1:19" x14ac:dyDescent="0.4">
      <c r="A430">
        <v>3110509</v>
      </c>
      <c r="B430" s="15">
        <v>46</v>
      </c>
      <c r="C430" s="12" t="s">
        <v>126</v>
      </c>
      <c r="D430" s="12" t="s">
        <v>137</v>
      </c>
      <c r="E430" s="12" t="s">
        <v>151</v>
      </c>
      <c r="F430" s="12" t="s">
        <v>158</v>
      </c>
      <c r="G430" s="14">
        <f t="shared" ca="1" si="6"/>
        <v>470534.53429464606</v>
      </c>
      <c r="H430" s="12" t="s">
        <v>171</v>
      </c>
      <c r="I430">
        <v>0</v>
      </c>
      <c r="J430">
        <v>38</v>
      </c>
      <c r="K430" s="12" t="s">
        <v>176</v>
      </c>
      <c r="L430">
        <v>0</v>
      </c>
      <c r="M430">
        <v>0</v>
      </c>
      <c r="O430" s="39"/>
      <c r="P430" s="15">
        <v>288055.96000000002</v>
      </c>
      <c r="S430" s="17"/>
    </row>
    <row r="431" spans="1:19" x14ac:dyDescent="0.4">
      <c r="A431">
        <v>3118935</v>
      </c>
      <c r="B431" s="16">
        <v>51</v>
      </c>
      <c r="C431" s="12" t="s">
        <v>122</v>
      </c>
      <c r="D431" s="12" t="s">
        <v>134</v>
      </c>
      <c r="E431" s="12" t="s">
        <v>151</v>
      </c>
      <c r="F431" s="12" t="s">
        <v>144</v>
      </c>
      <c r="G431" s="14">
        <f t="shared" ca="1" si="6"/>
        <v>69114.23002633822</v>
      </c>
      <c r="H431" s="12" t="s">
        <v>171</v>
      </c>
      <c r="I431">
        <v>0</v>
      </c>
      <c r="J431">
        <v>43</v>
      </c>
      <c r="K431" s="12" t="s">
        <v>176</v>
      </c>
      <c r="L431">
        <v>0</v>
      </c>
      <c r="M431">
        <v>0</v>
      </c>
      <c r="O431" s="39"/>
      <c r="P431" s="16">
        <v>47116.54</v>
      </c>
      <c r="S431" s="17"/>
    </row>
    <row r="432" spans="1:19" x14ac:dyDescent="0.4">
      <c r="A432">
        <v>3122222</v>
      </c>
      <c r="B432" s="15">
        <v>40</v>
      </c>
      <c r="C432" s="12" t="s">
        <v>125</v>
      </c>
      <c r="D432" s="12" t="s">
        <v>134</v>
      </c>
      <c r="E432" s="12" t="s">
        <v>150</v>
      </c>
      <c r="F432" s="12" t="s">
        <v>156</v>
      </c>
      <c r="G432" s="14">
        <f t="shared" ca="1" si="6"/>
        <v>275815.43755966652</v>
      </c>
      <c r="H432" s="12" t="s">
        <v>172</v>
      </c>
      <c r="I432">
        <v>0</v>
      </c>
      <c r="J432">
        <v>40</v>
      </c>
      <c r="K432" s="12" t="s">
        <v>176</v>
      </c>
      <c r="L432">
        <v>0</v>
      </c>
      <c r="M432">
        <v>0</v>
      </c>
      <c r="O432" s="39"/>
      <c r="P432" s="15">
        <v>148301.10999999999</v>
      </c>
      <c r="S432" s="17"/>
    </row>
    <row r="433" spans="1:19" x14ac:dyDescent="0.4">
      <c r="A433">
        <v>3122646</v>
      </c>
      <c r="B433" s="16">
        <v>55</v>
      </c>
      <c r="C433" s="12" t="s">
        <v>122</v>
      </c>
      <c r="D433" s="12" t="s">
        <v>132</v>
      </c>
      <c r="E433" s="12" t="s">
        <v>152</v>
      </c>
      <c r="F433" s="12" t="s">
        <v>159</v>
      </c>
      <c r="G433" s="14">
        <f t="shared" ca="1" si="6"/>
        <v>43200.350324053048</v>
      </c>
      <c r="H433" s="12" t="s">
        <v>172</v>
      </c>
      <c r="I433">
        <v>0</v>
      </c>
      <c r="J433">
        <v>40</v>
      </c>
      <c r="K433" s="12" t="s">
        <v>176</v>
      </c>
      <c r="L433">
        <v>0</v>
      </c>
      <c r="M433">
        <v>0</v>
      </c>
      <c r="O433" s="39"/>
      <c r="P433" s="16">
        <v>24720.46</v>
      </c>
      <c r="S433" s="17"/>
    </row>
    <row r="434" spans="1:19" x14ac:dyDescent="0.4">
      <c r="A434">
        <v>3124391</v>
      </c>
      <c r="B434" s="15">
        <v>50</v>
      </c>
      <c r="C434" s="12" t="s">
        <v>124</v>
      </c>
      <c r="D434" s="12" t="s">
        <v>134</v>
      </c>
      <c r="E434" s="12" t="s">
        <v>152</v>
      </c>
      <c r="F434" s="12" t="s">
        <v>165</v>
      </c>
      <c r="G434" s="14">
        <f t="shared" ca="1" si="6"/>
        <v>9393.8201469188807</v>
      </c>
      <c r="H434" s="12" t="s">
        <v>172</v>
      </c>
      <c r="I434">
        <v>0</v>
      </c>
      <c r="J434">
        <v>50</v>
      </c>
      <c r="K434" s="12" t="s">
        <v>176</v>
      </c>
      <c r="L434">
        <v>0</v>
      </c>
      <c r="M434">
        <v>0</v>
      </c>
      <c r="O434" s="39"/>
      <c r="P434" s="15">
        <v>4930.3</v>
      </c>
      <c r="S434" s="17"/>
    </row>
    <row r="435" spans="1:19" x14ac:dyDescent="0.4">
      <c r="A435">
        <v>3129223</v>
      </c>
      <c r="B435" s="16">
        <v>42</v>
      </c>
      <c r="C435" s="12" t="s">
        <v>122</v>
      </c>
      <c r="D435" s="12" t="s">
        <v>132</v>
      </c>
      <c r="E435" s="12" t="s">
        <v>152</v>
      </c>
      <c r="F435" s="12" t="s">
        <v>156</v>
      </c>
      <c r="G435" s="14">
        <f t="shared" ca="1" si="6"/>
        <v>380935.963818199</v>
      </c>
      <c r="H435" s="12" t="s">
        <v>171</v>
      </c>
      <c r="I435">
        <v>0</v>
      </c>
      <c r="J435">
        <v>23</v>
      </c>
      <c r="K435" s="12" t="s">
        <v>176</v>
      </c>
      <c r="L435">
        <v>0</v>
      </c>
      <c r="M435">
        <v>0</v>
      </c>
      <c r="O435" s="39"/>
      <c r="P435" s="16">
        <v>195744.31</v>
      </c>
      <c r="S435" s="17"/>
    </row>
    <row r="436" spans="1:19" x14ac:dyDescent="0.4">
      <c r="A436">
        <v>3130873</v>
      </c>
      <c r="B436" s="15">
        <v>42</v>
      </c>
      <c r="C436" s="12" t="s">
        <v>125</v>
      </c>
      <c r="D436" s="12" t="s">
        <v>134</v>
      </c>
      <c r="E436" s="12" t="s">
        <v>152</v>
      </c>
      <c r="F436" s="12" t="s">
        <v>165</v>
      </c>
      <c r="G436" s="14">
        <f t="shared" ca="1" si="6"/>
        <v>78190.476313177714</v>
      </c>
      <c r="H436" s="12" t="s">
        <v>172</v>
      </c>
      <c r="I436">
        <v>0</v>
      </c>
      <c r="J436">
        <v>40</v>
      </c>
      <c r="K436" s="12" t="s">
        <v>194</v>
      </c>
      <c r="L436">
        <v>0</v>
      </c>
      <c r="M436">
        <v>0</v>
      </c>
      <c r="O436" s="39"/>
      <c r="P436" s="15">
        <v>43027.27</v>
      </c>
      <c r="S436" s="17"/>
    </row>
    <row r="437" spans="1:19" x14ac:dyDescent="0.4">
      <c r="A437">
        <v>3132820</v>
      </c>
      <c r="B437" s="16">
        <v>31</v>
      </c>
      <c r="C437" s="12" t="s">
        <v>122</v>
      </c>
      <c r="D437" s="12" t="s">
        <v>141</v>
      </c>
      <c r="E437" s="12" t="s">
        <v>152</v>
      </c>
      <c r="F437" s="12" t="s">
        <v>144</v>
      </c>
      <c r="G437" s="14">
        <f t="shared" ca="1" si="6"/>
        <v>39909.017218539193</v>
      </c>
      <c r="H437" s="12" t="s">
        <v>172</v>
      </c>
      <c r="I437">
        <v>0</v>
      </c>
      <c r="J437">
        <v>40</v>
      </c>
      <c r="K437" s="12" t="s">
        <v>191</v>
      </c>
      <c r="L437">
        <v>0</v>
      </c>
      <c r="M437">
        <v>0</v>
      </c>
      <c r="O437" s="39"/>
      <c r="P437" s="16">
        <v>39068.04</v>
      </c>
      <c r="S437" s="17"/>
    </row>
    <row r="438" spans="1:19" x14ac:dyDescent="0.4">
      <c r="A438">
        <v>3137083</v>
      </c>
      <c r="B438" s="15">
        <v>25</v>
      </c>
      <c r="C438" s="12" t="s">
        <v>122</v>
      </c>
      <c r="D438" s="12" t="s">
        <v>136</v>
      </c>
      <c r="E438" s="12" t="s">
        <v>152</v>
      </c>
      <c r="F438" s="12" t="s">
        <v>161</v>
      </c>
      <c r="G438" s="14">
        <f t="shared" ca="1" si="6"/>
        <v>298702.26666831865</v>
      </c>
      <c r="H438" s="12" t="s">
        <v>172</v>
      </c>
      <c r="I438">
        <v>0</v>
      </c>
      <c r="J438">
        <v>40</v>
      </c>
      <c r="K438" s="12" t="s">
        <v>179</v>
      </c>
      <c r="L438">
        <v>0</v>
      </c>
      <c r="M438">
        <v>0</v>
      </c>
      <c r="O438" s="39"/>
      <c r="P438" s="15">
        <v>174325.46</v>
      </c>
      <c r="S438" s="17"/>
    </row>
    <row r="439" spans="1:19" x14ac:dyDescent="0.4">
      <c r="A439">
        <v>3138731</v>
      </c>
      <c r="B439" s="16">
        <v>34</v>
      </c>
      <c r="C439" s="12" t="s">
        <v>122</v>
      </c>
      <c r="D439" s="12" t="s">
        <v>132</v>
      </c>
      <c r="E439" s="12" t="s">
        <v>152</v>
      </c>
      <c r="F439" s="12" t="s">
        <v>159</v>
      </c>
      <c r="G439" s="14">
        <f t="shared" ca="1" si="6"/>
        <v>43013.585293216209</v>
      </c>
      <c r="H439" s="12" t="s">
        <v>172</v>
      </c>
      <c r="I439">
        <v>0</v>
      </c>
      <c r="J439">
        <v>40</v>
      </c>
      <c r="K439" s="12" t="s">
        <v>176</v>
      </c>
      <c r="L439">
        <v>0</v>
      </c>
      <c r="M439">
        <v>0</v>
      </c>
      <c r="O439" s="39"/>
      <c r="P439" s="16">
        <v>30033.75</v>
      </c>
      <c r="S439" s="17"/>
    </row>
    <row r="440" spans="1:19" x14ac:dyDescent="0.4">
      <c r="A440">
        <v>3168041</v>
      </c>
      <c r="B440" s="15">
        <v>25</v>
      </c>
      <c r="C440" s="12" t="s">
        <v>124</v>
      </c>
      <c r="D440" s="12" t="s">
        <v>132</v>
      </c>
      <c r="E440" s="12" t="s">
        <v>150</v>
      </c>
      <c r="F440" s="12" t="s">
        <v>162</v>
      </c>
      <c r="G440" s="14">
        <f t="shared" ca="1" si="6"/>
        <v>87895.430630123767</v>
      </c>
      <c r="H440" s="12" t="s">
        <v>171</v>
      </c>
      <c r="I440">
        <v>0</v>
      </c>
      <c r="J440">
        <v>35</v>
      </c>
      <c r="K440" s="12" t="s">
        <v>176</v>
      </c>
      <c r="L440">
        <v>0</v>
      </c>
      <c r="M440">
        <v>0</v>
      </c>
      <c r="O440" s="39"/>
      <c r="P440" s="15">
        <v>67669.600000000006</v>
      </c>
      <c r="S440" s="17"/>
    </row>
    <row r="441" spans="1:19" x14ac:dyDescent="0.4">
      <c r="A441">
        <v>3168121</v>
      </c>
      <c r="B441" s="16">
        <v>65</v>
      </c>
      <c r="C441" s="12" t="s">
        <v>123</v>
      </c>
      <c r="D441" s="12" t="s">
        <v>134</v>
      </c>
      <c r="E441" s="12" t="s">
        <v>152</v>
      </c>
      <c r="F441" s="12" t="s">
        <v>160</v>
      </c>
      <c r="G441" s="14">
        <f t="shared" ca="1" si="6"/>
        <v>77277.856928338617</v>
      </c>
      <c r="H441" s="12" t="s">
        <v>172</v>
      </c>
      <c r="I441">
        <v>0</v>
      </c>
      <c r="J441">
        <v>24</v>
      </c>
      <c r="K441" s="12" t="s">
        <v>176</v>
      </c>
      <c r="L441">
        <v>0</v>
      </c>
      <c r="M441">
        <v>0</v>
      </c>
      <c r="O441" s="39"/>
      <c r="P441" s="16">
        <v>50845.62</v>
      </c>
      <c r="S441" s="17"/>
    </row>
    <row r="442" spans="1:19" x14ac:dyDescent="0.4">
      <c r="A442">
        <v>3170731</v>
      </c>
      <c r="B442" s="15">
        <v>47</v>
      </c>
      <c r="C442" s="12" t="s">
        <v>122</v>
      </c>
      <c r="D442" s="12" t="s">
        <v>142</v>
      </c>
      <c r="E442" s="12" t="s">
        <v>150</v>
      </c>
      <c r="F442" s="12" t="s">
        <v>156</v>
      </c>
      <c r="G442" s="14">
        <f t="shared" ca="1" si="6"/>
        <v>410945.62358173606</v>
      </c>
      <c r="H442" s="12" t="s">
        <v>171</v>
      </c>
      <c r="I442">
        <v>0</v>
      </c>
      <c r="J442">
        <v>50</v>
      </c>
      <c r="K442" s="12" t="s">
        <v>176</v>
      </c>
      <c r="L442">
        <v>0</v>
      </c>
      <c r="M442">
        <v>0</v>
      </c>
      <c r="O442" s="39"/>
      <c r="P442" s="15">
        <v>208195.84</v>
      </c>
      <c r="S442" s="17"/>
    </row>
    <row r="443" spans="1:19" x14ac:dyDescent="0.4">
      <c r="A443">
        <v>3172159</v>
      </c>
      <c r="B443" s="16">
        <v>29</v>
      </c>
      <c r="C443" s="12" t="s">
        <v>123</v>
      </c>
      <c r="D443" s="12" t="s">
        <v>134</v>
      </c>
      <c r="E443" s="12" t="s">
        <v>152</v>
      </c>
      <c r="F443" s="12" t="s">
        <v>157</v>
      </c>
      <c r="G443" s="14">
        <f t="shared" ca="1" si="6"/>
        <v>41846.610629086565</v>
      </c>
      <c r="H443" s="12" t="s">
        <v>172</v>
      </c>
      <c r="I443">
        <v>0</v>
      </c>
      <c r="J443">
        <v>45</v>
      </c>
      <c r="K443" s="12" t="s">
        <v>176</v>
      </c>
      <c r="L443">
        <v>0</v>
      </c>
      <c r="M443">
        <v>0</v>
      </c>
      <c r="O443" s="39"/>
      <c r="P443" s="16">
        <v>32418.68</v>
      </c>
      <c r="S443" s="17"/>
    </row>
    <row r="444" spans="1:19" x14ac:dyDescent="0.4">
      <c r="A444">
        <v>3173088</v>
      </c>
      <c r="B444" s="15">
        <v>41</v>
      </c>
      <c r="C444" s="12" t="s">
        <v>126</v>
      </c>
      <c r="D444" s="12" t="s">
        <v>138</v>
      </c>
      <c r="E444" s="12" t="s">
        <v>152</v>
      </c>
      <c r="F444" s="12" t="s">
        <v>144</v>
      </c>
      <c r="G444" s="14">
        <f t="shared" ca="1" si="6"/>
        <v>3867.203494964685</v>
      </c>
      <c r="H444" s="12" t="s">
        <v>172</v>
      </c>
      <c r="I444">
        <v>0</v>
      </c>
      <c r="J444">
        <v>40</v>
      </c>
      <c r="K444" s="12" t="s">
        <v>176</v>
      </c>
      <c r="L444">
        <v>0</v>
      </c>
      <c r="M444">
        <v>0</v>
      </c>
      <c r="O444" s="39"/>
      <c r="P444" s="15">
        <v>2584.5300000000002</v>
      </c>
      <c r="S444" s="17"/>
    </row>
    <row r="445" spans="1:19" x14ac:dyDescent="0.4">
      <c r="A445">
        <v>3177459</v>
      </c>
      <c r="B445" s="16">
        <v>49</v>
      </c>
      <c r="C445" s="12" t="s">
        <v>124</v>
      </c>
      <c r="D445" s="12" t="s">
        <v>134</v>
      </c>
      <c r="E445" s="12" t="s">
        <v>151</v>
      </c>
      <c r="F445" s="12" t="s">
        <v>160</v>
      </c>
      <c r="G445" s="14">
        <f t="shared" ca="1" si="6"/>
        <v>42245.215124384704</v>
      </c>
      <c r="H445" s="12" t="s">
        <v>171</v>
      </c>
      <c r="I445">
        <v>0</v>
      </c>
      <c r="J445">
        <v>40</v>
      </c>
      <c r="K445" s="12" t="s">
        <v>176</v>
      </c>
      <c r="L445">
        <v>0</v>
      </c>
      <c r="M445">
        <v>0</v>
      </c>
      <c r="O445" s="39"/>
      <c r="P445" s="16">
        <v>32375.78</v>
      </c>
      <c r="S445" s="17"/>
    </row>
    <row r="446" spans="1:19" x14ac:dyDescent="0.4">
      <c r="A446">
        <v>3182225</v>
      </c>
      <c r="B446" s="15">
        <v>22</v>
      </c>
      <c r="C446" s="12" t="s">
        <v>122</v>
      </c>
      <c r="D446" s="12" t="s">
        <v>134</v>
      </c>
      <c r="E446" s="12" t="s">
        <v>150</v>
      </c>
      <c r="F446" s="12" t="s">
        <v>162</v>
      </c>
      <c r="G446" s="14">
        <f t="shared" ca="1" si="6"/>
        <v>118710.28386530869</v>
      </c>
      <c r="H446" s="12" t="s">
        <v>172</v>
      </c>
      <c r="I446">
        <v>0</v>
      </c>
      <c r="J446">
        <v>60</v>
      </c>
      <c r="K446" s="12" t="s">
        <v>176</v>
      </c>
      <c r="L446">
        <v>0</v>
      </c>
      <c r="M446">
        <v>0</v>
      </c>
      <c r="O446" s="39"/>
      <c r="P446" s="15">
        <v>79019.509999999995</v>
      </c>
      <c r="S446" s="17"/>
    </row>
    <row r="447" spans="1:19" x14ac:dyDescent="0.4">
      <c r="A447">
        <v>3182899</v>
      </c>
      <c r="B447" s="16">
        <v>42</v>
      </c>
      <c r="C447" s="12" t="s">
        <v>122</v>
      </c>
      <c r="D447" s="12" t="s">
        <v>135</v>
      </c>
      <c r="E447" s="12" t="s">
        <v>152</v>
      </c>
      <c r="F447" s="12" t="s">
        <v>160</v>
      </c>
      <c r="G447" s="14">
        <f t="shared" ca="1" si="6"/>
        <v>51469.647817758254</v>
      </c>
      <c r="H447" s="12" t="s">
        <v>172</v>
      </c>
      <c r="I447">
        <v>0</v>
      </c>
      <c r="J447">
        <v>40</v>
      </c>
      <c r="K447" s="12" t="s">
        <v>176</v>
      </c>
      <c r="L447">
        <v>0</v>
      </c>
      <c r="M447">
        <v>1</v>
      </c>
      <c r="O447" s="39"/>
      <c r="P447" s="16">
        <v>46796.14</v>
      </c>
      <c r="S447" s="17"/>
    </row>
    <row r="448" spans="1:19" x14ac:dyDescent="0.4">
      <c r="A448">
        <v>3187251</v>
      </c>
      <c r="B448" s="15">
        <v>36</v>
      </c>
      <c r="C448" s="12" t="s">
        <v>122</v>
      </c>
      <c r="D448" s="12" t="s">
        <v>138</v>
      </c>
      <c r="E448" s="12" t="s">
        <v>152</v>
      </c>
      <c r="F448" s="12" t="s">
        <v>144</v>
      </c>
      <c r="G448" s="14">
        <f t="shared" ca="1" si="6"/>
        <v>24907.809928729021</v>
      </c>
      <c r="H448" s="12" t="s">
        <v>172</v>
      </c>
      <c r="I448">
        <v>0</v>
      </c>
      <c r="J448">
        <v>55</v>
      </c>
      <c r="K448" s="12" t="s">
        <v>176</v>
      </c>
      <c r="L448">
        <v>7298</v>
      </c>
      <c r="M448">
        <v>1</v>
      </c>
      <c r="O448" s="39"/>
      <c r="P448" s="15">
        <v>14220.59</v>
      </c>
      <c r="S448" s="17"/>
    </row>
    <row r="449" spans="1:19" x14ac:dyDescent="0.4">
      <c r="A449">
        <v>3187630</v>
      </c>
      <c r="B449" s="16">
        <v>36</v>
      </c>
      <c r="C449" s="12" t="s">
        <v>122</v>
      </c>
      <c r="D449" s="12" t="s">
        <v>133</v>
      </c>
      <c r="E449" s="12" t="s">
        <v>152</v>
      </c>
      <c r="F449" s="12" t="s">
        <v>144</v>
      </c>
      <c r="G449" s="14">
        <f t="shared" ca="1" si="6"/>
        <v>81858.029287780315</v>
      </c>
      <c r="H449" s="12" t="s">
        <v>172</v>
      </c>
      <c r="I449">
        <v>0</v>
      </c>
      <c r="J449">
        <v>40</v>
      </c>
      <c r="K449" s="12" t="s">
        <v>176</v>
      </c>
      <c r="L449">
        <v>6674</v>
      </c>
      <c r="M449">
        <v>1</v>
      </c>
      <c r="O449" s="39"/>
      <c r="P449" s="16">
        <v>68166.53</v>
      </c>
      <c r="S449" s="17"/>
    </row>
    <row r="450" spans="1:19" x14ac:dyDescent="0.4">
      <c r="A450">
        <v>3193027</v>
      </c>
      <c r="B450" s="15">
        <v>62</v>
      </c>
      <c r="C450" s="12" t="s">
        <v>123</v>
      </c>
      <c r="D450" s="12" t="s">
        <v>135</v>
      </c>
      <c r="E450" s="12" t="s">
        <v>151</v>
      </c>
      <c r="F450" s="12" t="s">
        <v>144</v>
      </c>
      <c r="G450" s="14">
        <f t="shared" ca="1" si="6"/>
        <v>70024.986805451801</v>
      </c>
      <c r="H450" s="12" t="s">
        <v>171</v>
      </c>
      <c r="I450">
        <v>0</v>
      </c>
      <c r="J450">
        <v>40</v>
      </c>
      <c r="K450" s="12" t="s">
        <v>176</v>
      </c>
      <c r="L450">
        <v>13601</v>
      </c>
      <c r="M450">
        <v>1</v>
      </c>
      <c r="O450" s="39"/>
      <c r="P450" s="15">
        <v>63454.720000000001</v>
      </c>
      <c r="S450" s="17"/>
    </row>
    <row r="451" spans="1:19" x14ac:dyDescent="0.4">
      <c r="A451">
        <v>3199551</v>
      </c>
      <c r="B451" s="16">
        <v>44</v>
      </c>
      <c r="C451" s="12" t="s">
        <v>129</v>
      </c>
      <c r="D451" s="12" t="s">
        <v>136</v>
      </c>
      <c r="E451" s="12" t="s">
        <v>149</v>
      </c>
      <c r="F451" s="12" t="s">
        <v>129</v>
      </c>
      <c r="G451" s="14">
        <f t="shared" ca="1" si="6"/>
        <v>136106.31152100686</v>
      </c>
      <c r="H451" s="12" t="s">
        <v>171</v>
      </c>
      <c r="I451">
        <v>0</v>
      </c>
      <c r="J451">
        <v>36</v>
      </c>
      <c r="K451" s="12" t="s">
        <v>181</v>
      </c>
      <c r="L451">
        <v>0</v>
      </c>
      <c r="M451">
        <v>0</v>
      </c>
      <c r="O451" s="39"/>
      <c r="P451" s="16">
        <v>81371.850000000006</v>
      </c>
      <c r="S451" s="17"/>
    </row>
    <row r="452" spans="1:19" x14ac:dyDescent="0.4">
      <c r="A452">
        <v>3208046</v>
      </c>
      <c r="B452" s="15">
        <v>24</v>
      </c>
      <c r="C452" s="12" t="s">
        <v>122</v>
      </c>
      <c r="D452" s="12" t="s">
        <v>135</v>
      </c>
      <c r="E452" s="12" t="s">
        <v>150</v>
      </c>
      <c r="F452" s="12" t="s">
        <v>165</v>
      </c>
      <c r="G452" s="14">
        <f t="shared" ca="1" si="6"/>
        <v>72159.253307837207</v>
      </c>
      <c r="H452" s="12" t="s">
        <v>172</v>
      </c>
      <c r="I452">
        <v>0</v>
      </c>
      <c r="J452">
        <v>40</v>
      </c>
      <c r="K452" s="12" t="s">
        <v>176</v>
      </c>
      <c r="L452">
        <v>0</v>
      </c>
      <c r="M452">
        <v>0</v>
      </c>
      <c r="O452" s="39"/>
      <c r="P452" s="15">
        <v>47378.48</v>
      </c>
      <c r="S452" s="17"/>
    </row>
    <row r="453" spans="1:19" x14ac:dyDescent="0.4">
      <c r="A453">
        <v>3209777</v>
      </c>
      <c r="B453" s="16">
        <v>46</v>
      </c>
      <c r="C453" s="12" t="s">
        <v>125</v>
      </c>
      <c r="D453" s="12" t="s">
        <v>139</v>
      </c>
      <c r="E453" s="12" t="s">
        <v>152</v>
      </c>
      <c r="F453" s="12" t="s">
        <v>157</v>
      </c>
      <c r="G453" s="14">
        <f t="shared" ca="1" si="6"/>
        <v>32053.873798673132</v>
      </c>
      <c r="H453" s="12" t="s">
        <v>172</v>
      </c>
      <c r="I453">
        <v>0</v>
      </c>
      <c r="J453">
        <v>30</v>
      </c>
      <c r="K453" s="12" t="s">
        <v>176</v>
      </c>
      <c r="L453">
        <v>0</v>
      </c>
      <c r="M453">
        <v>0</v>
      </c>
      <c r="O453" s="39"/>
      <c r="P453" s="16">
        <v>18752.310000000001</v>
      </c>
      <c r="S453" s="17"/>
    </row>
    <row r="454" spans="1:19" x14ac:dyDescent="0.4">
      <c r="A454">
        <v>3218180</v>
      </c>
      <c r="B454" s="15">
        <v>46</v>
      </c>
      <c r="C454" s="12" t="s">
        <v>122</v>
      </c>
      <c r="D454" s="12" t="s">
        <v>135</v>
      </c>
      <c r="E454" s="12" t="s">
        <v>152</v>
      </c>
      <c r="F454" s="12" t="s">
        <v>158</v>
      </c>
      <c r="G454" s="14">
        <f t="shared" ca="1" si="6"/>
        <v>35666.827221031388</v>
      </c>
      <c r="H454" s="12" t="s">
        <v>172</v>
      </c>
      <c r="I454">
        <v>2415</v>
      </c>
      <c r="J454">
        <v>35</v>
      </c>
      <c r="K454" s="12" t="s">
        <v>178</v>
      </c>
      <c r="L454">
        <v>0</v>
      </c>
      <c r="M454">
        <v>1</v>
      </c>
      <c r="O454" s="39"/>
      <c r="P454" s="15">
        <v>23064.1</v>
      </c>
      <c r="S454" s="17"/>
    </row>
    <row r="455" spans="1:19" x14ac:dyDescent="0.4">
      <c r="A455">
        <v>3229647</v>
      </c>
      <c r="B455" s="16">
        <v>52</v>
      </c>
      <c r="C455" s="12" t="s">
        <v>122</v>
      </c>
      <c r="D455" s="12" t="s">
        <v>140</v>
      </c>
      <c r="E455" s="12" t="s">
        <v>152</v>
      </c>
      <c r="F455" s="12" t="s">
        <v>157</v>
      </c>
      <c r="G455" s="14">
        <f t="shared" ca="1" si="6"/>
        <v>66567.378479066349</v>
      </c>
      <c r="H455" s="12" t="s">
        <v>172</v>
      </c>
      <c r="I455">
        <v>0</v>
      </c>
      <c r="J455">
        <v>45</v>
      </c>
      <c r="K455" s="12" t="s">
        <v>176</v>
      </c>
      <c r="L455">
        <v>0</v>
      </c>
      <c r="M455">
        <v>0</v>
      </c>
      <c r="O455" s="39"/>
      <c r="P455" s="16">
        <v>43220.42</v>
      </c>
      <c r="S455" s="17"/>
    </row>
    <row r="456" spans="1:19" x14ac:dyDescent="0.4">
      <c r="A456">
        <v>3238626</v>
      </c>
      <c r="B456" s="15">
        <v>27</v>
      </c>
      <c r="C456" s="12" t="s">
        <v>122</v>
      </c>
      <c r="D456" s="12" t="s">
        <v>134</v>
      </c>
      <c r="E456" s="12" t="s">
        <v>152</v>
      </c>
      <c r="F456" s="12" t="s">
        <v>159</v>
      </c>
      <c r="G456" s="14">
        <f t="shared" ca="1" si="6"/>
        <v>21191.644008941304</v>
      </c>
      <c r="H456" s="12" t="s">
        <v>172</v>
      </c>
      <c r="I456">
        <v>0</v>
      </c>
      <c r="J456">
        <v>40</v>
      </c>
      <c r="K456" s="12" t="s">
        <v>176</v>
      </c>
      <c r="L456">
        <v>0</v>
      </c>
      <c r="M456">
        <v>0</v>
      </c>
      <c r="O456" s="39"/>
      <c r="P456" s="15">
        <v>12631.84</v>
      </c>
      <c r="S456" s="17"/>
    </row>
    <row r="457" spans="1:19" x14ac:dyDescent="0.4">
      <c r="A457">
        <v>3245360</v>
      </c>
      <c r="B457" s="16">
        <v>40</v>
      </c>
      <c r="C457" s="12" t="s">
        <v>122</v>
      </c>
      <c r="D457" s="12" t="s">
        <v>137</v>
      </c>
      <c r="E457" s="12" t="s">
        <v>151</v>
      </c>
      <c r="F457" s="12" t="s">
        <v>144</v>
      </c>
      <c r="G457" s="14">
        <f t="shared" ca="1" si="6"/>
        <v>384949.05151400948</v>
      </c>
      <c r="H457" s="12" t="s">
        <v>172</v>
      </c>
      <c r="I457">
        <v>0</v>
      </c>
      <c r="J457">
        <v>40</v>
      </c>
      <c r="K457" s="12" t="s">
        <v>176</v>
      </c>
      <c r="L457">
        <v>0</v>
      </c>
      <c r="M457">
        <v>0</v>
      </c>
      <c r="O457" s="39"/>
      <c r="P457" s="16">
        <v>242928.15</v>
      </c>
      <c r="S457" s="17"/>
    </row>
    <row r="458" spans="1:19" x14ac:dyDescent="0.4">
      <c r="A458">
        <v>3247777</v>
      </c>
      <c r="B458" s="15">
        <v>43</v>
      </c>
      <c r="C458" s="12" t="s">
        <v>123</v>
      </c>
      <c r="D458" s="12" t="s">
        <v>134</v>
      </c>
      <c r="E458" s="12" t="s">
        <v>152</v>
      </c>
      <c r="F458" s="12" t="s">
        <v>159</v>
      </c>
      <c r="G458" s="14">
        <f t="shared" ca="1" si="6"/>
        <v>27410.432028877862</v>
      </c>
      <c r="H458" s="12" t="s">
        <v>172</v>
      </c>
      <c r="I458">
        <v>0</v>
      </c>
      <c r="J458">
        <v>60</v>
      </c>
      <c r="K458" s="12" t="s">
        <v>176</v>
      </c>
      <c r="L458">
        <v>0</v>
      </c>
      <c r="M458">
        <v>0</v>
      </c>
      <c r="O458" s="39"/>
      <c r="P458" s="15">
        <v>19833.16</v>
      </c>
      <c r="S458" s="17"/>
    </row>
    <row r="459" spans="1:19" x14ac:dyDescent="0.4">
      <c r="A459">
        <v>3254289</v>
      </c>
      <c r="B459" s="16">
        <v>41</v>
      </c>
      <c r="C459" s="12" t="s">
        <v>124</v>
      </c>
      <c r="D459" s="12" t="s">
        <v>135</v>
      </c>
      <c r="E459" s="12" t="s">
        <v>151</v>
      </c>
      <c r="F459" s="12" t="s">
        <v>160</v>
      </c>
      <c r="G459" s="14">
        <f t="shared" ref="G459:G522" ca="1" si="7">P459*(1+RAND())</f>
        <v>94044.805876552171</v>
      </c>
      <c r="H459" s="12" t="s">
        <v>172</v>
      </c>
      <c r="I459">
        <v>0</v>
      </c>
      <c r="J459">
        <v>50</v>
      </c>
      <c r="K459" s="12" t="s">
        <v>176</v>
      </c>
      <c r="L459">
        <v>0</v>
      </c>
      <c r="M459">
        <v>0</v>
      </c>
      <c r="O459" s="39"/>
      <c r="P459" s="16">
        <v>79424.23</v>
      </c>
      <c r="S459" s="17"/>
    </row>
    <row r="460" spans="1:19" x14ac:dyDescent="0.4">
      <c r="A460">
        <v>3258067</v>
      </c>
      <c r="B460" s="15">
        <v>43</v>
      </c>
      <c r="C460" s="12" t="s">
        <v>122</v>
      </c>
      <c r="D460" s="12" t="s">
        <v>135</v>
      </c>
      <c r="E460" s="12" t="s">
        <v>151</v>
      </c>
      <c r="F460" s="12" t="s">
        <v>160</v>
      </c>
      <c r="G460" s="14">
        <f t="shared" ca="1" si="7"/>
        <v>214164.16379763046</v>
      </c>
      <c r="H460" s="12" t="s">
        <v>171</v>
      </c>
      <c r="I460">
        <v>0</v>
      </c>
      <c r="J460">
        <v>45</v>
      </c>
      <c r="K460" s="12" t="s">
        <v>176</v>
      </c>
      <c r="L460">
        <v>3705</v>
      </c>
      <c r="M460">
        <v>1</v>
      </c>
      <c r="O460" s="39"/>
      <c r="P460" s="15">
        <v>138108.82999999999</v>
      </c>
      <c r="S460" s="17"/>
    </row>
    <row r="461" spans="1:19" x14ac:dyDescent="0.4">
      <c r="A461">
        <v>3260059</v>
      </c>
      <c r="B461" s="16">
        <v>63</v>
      </c>
      <c r="C461" s="12" t="s">
        <v>124</v>
      </c>
      <c r="D461" s="12" t="s">
        <v>133</v>
      </c>
      <c r="E461" s="12" t="s">
        <v>152</v>
      </c>
      <c r="F461" s="12" t="s">
        <v>162</v>
      </c>
      <c r="G461" s="14">
        <f t="shared" ca="1" si="7"/>
        <v>31773.873129237702</v>
      </c>
      <c r="H461" s="12" t="s">
        <v>172</v>
      </c>
      <c r="I461">
        <v>0</v>
      </c>
      <c r="J461">
        <v>40</v>
      </c>
      <c r="K461" s="12" t="s">
        <v>176</v>
      </c>
      <c r="L461">
        <v>5112</v>
      </c>
      <c r="M461">
        <v>1</v>
      </c>
      <c r="O461" s="39"/>
      <c r="P461" s="16">
        <v>19430.349999999999</v>
      </c>
      <c r="S461" s="17"/>
    </row>
    <row r="462" spans="1:19" x14ac:dyDescent="0.4">
      <c r="A462">
        <v>3260881</v>
      </c>
      <c r="B462" s="15">
        <v>38</v>
      </c>
      <c r="C462" s="12" t="s">
        <v>122</v>
      </c>
      <c r="D462" s="12" t="s">
        <v>134</v>
      </c>
      <c r="E462" s="12" t="s">
        <v>151</v>
      </c>
      <c r="F462" s="12" t="s">
        <v>159</v>
      </c>
      <c r="G462" s="14">
        <f t="shared" ca="1" si="7"/>
        <v>57944.367648931067</v>
      </c>
      <c r="H462" s="12" t="s">
        <v>172</v>
      </c>
      <c r="I462">
        <v>0</v>
      </c>
      <c r="J462">
        <v>50</v>
      </c>
      <c r="K462" s="12" t="s">
        <v>176</v>
      </c>
      <c r="L462">
        <v>0</v>
      </c>
      <c r="M462">
        <v>0</v>
      </c>
      <c r="O462" s="39"/>
      <c r="P462" s="15">
        <v>40362.230000000003</v>
      </c>
      <c r="S462" s="17"/>
    </row>
    <row r="463" spans="1:19" x14ac:dyDescent="0.4">
      <c r="A463">
        <v>3261701</v>
      </c>
      <c r="B463" s="16">
        <v>57</v>
      </c>
      <c r="C463" s="12" t="s">
        <v>122</v>
      </c>
      <c r="D463" s="12" t="s">
        <v>140</v>
      </c>
      <c r="E463" s="12" t="s">
        <v>152</v>
      </c>
      <c r="F463" s="12" t="s">
        <v>161</v>
      </c>
      <c r="G463" s="14">
        <f t="shared" ca="1" si="7"/>
        <v>16063.512646245079</v>
      </c>
      <c r="H463" s="12" t="s">
        <v>172</v>
      </c>
      <c r="I463">
        <v>0</v>
      </c>
      <c r="J463">
        <v>40</v>
      </c>
      <c r="K463" s="12" t="s">
        <v>176</v>
      </c>
      <c r="L463">
        <v>0</v>
      </c>
      <c r="M463">
        <v>0</v>
      </c>
      <c r="O463" s="39"/>
      <c r="P463" s="16">
        <v>12951.57</v>
      </c>
      <c r="S463" s="17"/>
    </row>
    <row r="464" spans="1:19" x14ac:dyDescent="0.4">
      <c r="A464">
        <v>3262872</v>
      </c>
      <c r="B464" s="15">
        <v>19</v>
      </c>
      <c r="C464" s="12" t="s">
        <v>122</v>
      </c>
      <c r="D464" s="12" t="s">
        <v>134</v>
      </c>
      <c r="E464" s="12" t="s">
        <v>150</v>
      </c>
      <c r="F464" s="12" t="s">
        <v>161</v>
      </c>
      <c r="G464" s="14">
        <f t="shared" ca="1" si="7"/>
        <v>493751.01427908719</v>
      </c>
      <c r="H464" s="12" t="s">
        <v>172</v>
      </c>
      <c r="I464">
        <v>0</v>
      </c>
      <c r="J464">
        <v>30</v>
      </c>
      <c r="K464" s="12" t="s">
        <v>176</v>
      </c>
      <c r="L464">
        <v>0</v>
      </c>
      <c r="M464">
        <v>0</v>
      </c>
      <c r="O464" s="39"/>
      <c r="P464" s="15">
        <v>335039.49</v>
      </c>
      <c r="S464" s="17"/>
    </row>
    <row r="465" spans="1:19" x14ac:dyDescent="0.4">
      <c r="A465">
        <v>3264686</v>
      </c>
      <c r="B465" s="16">
        <v>25</v>
      </c>
      <c r="C465" s="12" t="s">
        <v>122</v>
      </c>
      <c r="D465" s="12" t="s">
        <v>132</v>
      </c>
      <c r="E465" s="12" t="s">
        <v>152</v>
      </c>
      <c r="F465" s="12" t="s">
        <v>158</v>
      </c>
      <c r="G465" s="14">
        <f t="shared" ca="1" si="7"/>
        <v>55049.938984267072</v>
      </c>
      <c r="H465" s="12" t="s">
        <v>172</v>
      </c>
      <c r="I465">
        <v>0</v>
      </c>
      <c r="J465">
        <v>45</v>
      </c>
      <c r="K465" s="12" t="s">
        <v>176</v>
      </c>
      <c r="L465">
        <v>0</v>
      </c>
      <c r="M465">
        <v>0</v>
      </c>
      <c r="O465" s="39"/>
      <c r="P465" s="16">
        <v>30693.55</v>
      </c>
      <c r="S465" s="17"/>
    </row>
    <row r="466" spans="1:19" x14ac:dyDescent="0.4">
      <c r="A466">
        <v>3268229</v>
      </c>
      <c r="B466" s="15">
        <v>31</v>
      </c>
      <c r="C466" s="12" t="s">
        <v>122</v>
      </c>
      <c r="D466" s="12" t="s">
        <v>134</v>
      </c>
      <c r="E466" s="12" t="s">
        <v>152</v>
      </c>
      <c r="F466" s="12" t="s">
        <v>159</v>
      </c>
      <c r="G466" s="14">
        <f t="shared" ca="1" si="7"/>
        <v>31884.677807173081</v>
      </c>
      <c r="H466" s="12" t="s">
        <v>172</v>
      </c>
      <c r="I466">
        <v>0</v>
      </c>
      <c r="J466">
        <v>55</v>
      </c>
      <c r="K466" s="12" t="s">
        <v>176</v>
      </c>
      <c r="L466">
        <v>0</v>
      </c>
      <c r="M466">
        <v>0</v>
      </c>
      <c r="O466" s="39"/>
      <c r="P466" s="15">
        <v>21015.93</v>
      </c>
      <c r="S466" s="17"/>
    </row>
    <row r="467" spans="1:19" x14ac:dyDescent="0.4">
      <c r="A467">
        <v>3274547</v>
      </c>
      <c r="B467" s="16">
        <v>40</v>
      </c>
      <c r="C467" s="12" t="s">
        <v>122</v>
      </c>
      <c r="D467" s="12" t="s">
        <v>137</v>
      </c>
      <c r="E467" s="12" t="s">
        <v>150</v>
      </c>
      <c r="F467" s="12" t="s">
        <v>158</v>
      </c>
      <c r="G467" s="14">
        <f t="shared" ca="1" si="7"/>
        <v>125389.15405368227</v>
      </c>
      <c r="H467" s="12" t="s">
        <v>171</v>
      </c>
      <c r="I467">
        <v>0</v>
      </c>
      <c r="J467">
        <v>40</v>
      </c>
      <c r="K467" s="12" t="s">
        <v>176</v>
      </c>
      <c r="L467">
        <v>0</v>
      </c>
      <c r="M467">
        <v>0</v>
      </c>
      <c r="O467" s="39"/>
      <c r="P467" s="16">
        <v>82953.38</v>
      </c>
      <c r="S467" s="17"/>
    </row>
    <row r="468" spans="1:19" x14ac:dyDescent="0.4">
      <c r="A468">
        <v>3281036</v>
      </c>
      <c r="B468" s="15">
        <v>31</v>
      </c>
      <c r="C468" s="12" t="s">
        <v>122</v>
      </c>
      <c r="D468" s="12" t="s">
        <v>134</v>
      </c>
      <c r="E468" s="12" t="s">
        <v>150</v>
      </c>
      <c r="F468" s="12" t="s">
        <v>156</v>
      </c>
      <c r="G468" s="14">
        <f t="shared" ca="1" si="7"/>
        <v>329465.88203796651</v>
      </c>
      <c r="H468" s="12" t="s">
        <v>172</v>
      </c>
      <c r="I468">
        <v>0</v>
      </c>
      <c r="J468">
        <v>35</v>
      </c>
      <c r="K468" s="12" t="s">
        <v>176</v>
      </c>
      <c r="L468">
        <v>0</v>
      </c>
      <c r="M468">
        <v>0</v>
      </c>
      <c r="O468" s="39"/>
      <c r="P468" s="15">
        <v>174501.6</v>
      </c>
      <c r="S468" s="17"/>
    </row>
    <row r="469" spans="1:19" x14ac:dyDescent="0.4">
      <c r="A469">
        <v>3281334</v>
      </c>
      <c r="B469" s="16">
        <v>46</v>
      </c>
      <c r="C469" s="12" t="s">
        <v>122</v>
      </c>
      <c r="D469" s="12" t="s">
        <v>134</v>
      </c>
      <c r="E469" s="12" t="s">
        <v>152</v>
      </c>
      <c r="F469" s="12" t="s">
        <v>159</v>
      </c>
      <c r="G469" s="14">
        <f t="shared" ca="1" si="7"/>
        <v>58898.583640406207</v>
      </c>
      <c r="H469" s="12" t="s">
        <v>172</v>
      </c>
      <c r="I469">
        <v>0</v>
      </c>
      <c r="J469">
        <v>40</v>
      </c>
      <c r="K469" s="12" t="s">
        <v>176</v>
      </c>
      <c r="L469">
        <v>0</v>
      </c>
      <c r="M469">
        <v>0</v>
      </c>
      <c r="O469" s="39"/>
      <c r="P469" s="16">
        <v>34962.400000000001</v>
      </c>
      <c r="S469" s="17"/>
    </row>
    <row r="470" spans="1:19" x14ac:dyDescent="0.4">
      <c r="A470">
        <v>3284840</v>
      </c>
      <c r="B470" s="15">
        <v>27</v>
      </c>
      <c r="C470" s="12" t="s">
        <v>122</v>
      </c>
      <c r="D470" s="12" t="s">
        <v>135</v>
      </c>
      <c r="E470" s="12" t="s">
        <v>152</v>
      </c>
      <c r="F470" s="12" t="s">
        <v>144</v>
      </c>
      <c r="G470" s="14">
        <f t="shared" ca="1" si="7"/>
        <v>63021.650498659219</v>
      </c>
      <c r="H470" s="12" t="s">
        <v>172</v>
      </c>
      <c r="I470">
        <v>0</v>
      </c>
      <c r="J470">
        <v>42</v>
      </c>
      <c r="K470" s="12" t="s">
        <v>176</v>
      </c>
      <c r="L470">
        <v>0</v>
      </c>
      <c r="M470">
        <v>1</v>
      </c>
      <c r="O470" s="39"/>
      <c r="P470" s="15">
        <v>34754.32</v>
      </c>
      <c r="S470" s="17"/>
    </row>
    <row r="471" spans="1:19" x14ac:dyDescent="0.4">
      <c r="A471">
        <v>3286063</v>
      </c>
      <c r="B471" s="16">
        <v>31</v>
      </c>
      <c r="C471" s="12" t="s">
        <v>122</v>
      </c>
      <c r="D471" s="12" t="s">
        <v>138</v>
      </c>
      <c r="E471" s="12" t="s">
        <v>152</v>
      </c>
      <c r="F471" s="12" t="s">
        <v>144</v>
      </c>
      <c r="G471" s="14">
        <f t="shared" ca="1" si="7"/>
        <v>44449.370938568522</v>
      </c>
      <c r="H471" s="12" t="s">
        <v>172</v>
      </c>
      <c r="I471">
        <v>0</v>
      </c>
      <c r="J471">
        <v>40</v>
      </c>
      <c r="K471" s="12" t="s">
        <v>176</v>
      </c>
      <c r="L471">
        <v>5178</v>
      </c>
      <c r="M471">
        <v>1</v>
      </c>
      <c r="O471" s="39"/>
      <c r="P471" s="16">
        <v>39564.870000000003</v>
      </c>
      <c r="S471" s="17"/>
    </row>
    <row r="472" spans="1:19" x14ac:dyDescent="0.4">
      <c r="A472">
        <v>3286778</v>
      </c>
      <c r="B472" s="15">
        <v>17</v>
      </c>
      <c r="C472" s="12" t="s">
        <v>122</v>
      </c>
      <c r="D472" s="12" t="s">
        <v>139</v>
      </c>
      <c r="E472" s="12" t="s">
        <v>150</v>
      </c>
      <c r="F472" s="12" t="s">
        <v>156</v>
      </c>
      <c r="G472" s="14">
        <f t="shared" ca="1" si="7"/>
        <v>234205.54768332085</v>
      </c>
      <c r="H472" s="12" t="s">
        <v>171</v>
      </c>
      <c r="I472">
        <v>0</v>
      </c>
      <c r="J472">
        <v>15</v>
      </c>
      <c r="K472" s="12" t="s">
        <v>176</v>
      </c>
      <c r="L472">
        <v>0</v>
      </c>
      <c r="M472">
        <v>0</v>
      </c>
      <c r="O472" s="39"/>
      <c r="P472" s="15">
        <v>134913.32</v>
      </c>
      <c r="S472" s="17"/>
    </row>
    <row r="473" spans="1:19" x14ac:dyDescent="0.4">
      <c r="A473">
        <v>3286874</v>
      </c>
      <c r="B473" s="16">
        <v>58</v>
      </c>
      <c r="C473" s="12" t="s">
        <v>125</v>
      </c>
      <c r="D473" s="12" t="s">
        <v>134</v>
      </c>
      <c r="E473" s="12" t="s">
        <v>152</v>
      </c>
      <c r="F473" s="12" t="s">
        <v>160</v>
      </c>
      <c r="G473" s="14">
        <f t="shared" ca="1" si="7"/>
        <v>52332.439984274264</v>
      </c>
      <c r="H473" s="12" t="s">
        <v>172</v>
      </c>
      <c r="I473">
        <v>0</v>
      </c>
      <c r="J473">
        <v>40</v>
      </c>
      <c r="K473" s="12" t="s">
        <v>176</v>
      </c>
      <c r="L473">
        <v>7298</v>
      </c>
      <c r="M473">
        <v>1</v>
      </c>
      <c r="O473" s="39"/>
      <c r="P473" s="16">
        <v>33730.79</v>
      </c>
      <c r="S473" s="17"/>
    </row>
    <row r="474" spans="1:19" x14ac:dyDescent="0.4">
      <c r="A474">
        <v>3290630</v>
      </c>
      <c r="B474" s="15">
        <v>34</v>
      </c>
      <c r="C474" s="12" t="s">
        <v>122</v>
      </c>
      <c r="D474" s="12" t="s">
        <v>138</v>
      </c>
      <c r="E474" s="12" t="s">
        <v>152</v>
      </c>
      <c r="F474" s="12" t="s">
        <v>160</v>
      </c>
      <c r="G474" s="14">
        <f t="shared" ca="1" si="7"/>
        <v>64063.51903372963</v>
      </c>
      <c r="H474" s="12" t="s">
        <v>172</v>
      </c>
      <c r="I474">
        <v>0</v>
      </c>
      <c r="J474">
        <v>40</v>
      </c>
      <c r="K474" s="12" t="s">
        <v>176</v>
      </c>
      <c r="L474">
        <v>4267</v>
      </c>
      <c r="M474">
        <v>1</v>
      </c>
      <c r="O474" s="39"/>
      <c r="P474" s="15">
        <v>52706.14</v>
      </c>
      <c r="S474" s="17"/>
    </row>
    <row r="475" spans="1:19" x14ac:dyDescent="0.4">
      <c r="A475">
        <v>3293552</v>
      </c>
      <c r="B475" s="16">
        <v>40</v>
      </c>
      <c r="C475" s="12" t="s">
        <v>122</v>
      </c>
      <c r="D475" s="12" t="s">
        <v>132</v>
      </c>
      <c r="E475" s="12" t="s">
        <v>149</v>
      </c>
      <c r="F475" s="12" t="s">
        <v>164</v>
      </c>
      <c r="G475" s="14">
        <f t="shared" ca="1" si="7"/>
        <v>51221.585089748471</v>
      </c>
      <c r="H475" s="12" t="s">
        <v>172</v>
      </c>
      <c r="I475">
        <v>0</v>
      </c>
      <c r="J475">
        <v>40</v>
      </c>
      <c r="K475" s="12" t="s">
        <v>176</v>
      </c>
      <c r="L475">
        <v>0</v>
      </c>
      <c r="M475">
        <v>0</v>
      </c>
      <c r="O475" s="39"/>
      <c r="P475" s="16">
        <v>48091.99</v>
      </c>
      <c r="S475" s="17"/>
    </row>
    <row r="476" spans="1:19" x14ac:dyDescent="0.4">
      <c r="A476">
        <v>3295173</v>
      </c>
      <c r="B476" s="15">
        <v>34</v>
      </c>
      <c r="C476" s="12" t="s">
        <v>122</v>
      </c>
      <c r="D476" s="12" t="s">
        <v>134</v>
      </c>
      <c r="E476" s="12" t="s">
        <v>150</v>
      </c>
      <c r="F476" s="12" t="s">
        <v>161</v>
      </c>
      <c r="G476" s="14">
        <f t="shared" ca="1" si="7"/>
        <v>150711.9667434984</v>
      </c>
      <c r="H476" s="12" t="s">
        <v>172</v>
      </c>
      <c r="I476">
        <v>0</v>
      </c>
      <c r="J476">
        <v>40</v>
      </c>
      <c r="K476" s="12" t="s">
        <v>176</v>
      </c>
      <c r="L476">
        <v>0</v>
      </c>
      <c r="M476">
        <v>0</v>
      </c>
      <c r="O476" s="39"/>
      <c r="P476" s="15">
        <v>141339.71</v>
      </c>
      <c r="S476" s="17"/>
    </row>
    <row r="477" spans="1:19" x14ac:dyDescent="0.4">
      <c r="A477">
        <v>3303742</v>
      </c>
      <c r="B477" s="16">
        <v>47</v>
      </c>
      <c r="C477" s="12" t="s">
        <v>122</v>
      </c>
      <c r="D477" s="12" t="s">
        <v>134</v>
      </c>
      <c r="E477" s="12" t="s">
        <v>150</v>
      </c>
      <c r="F477" s="12" t="s">
        <v>158</v>
      </c>
      <c r="G477" s="14">
        <f t="shared" ca="1" si="7"/>
        <v>23266.27901803323</v>
      </c>
      <c r="H477" s="12" t="s">
        <v>172</v>
      </c>
      <c r="I477">
        <v>0</v>
      </c>
      <c r="J477">
        <v>33</v>
      </c>
      <c r="K477" s="12" t="s">
        <v>176</v>
      </c>
      <c r="L477">
        <v>0</v>
      </c>
      <c r="M477">
        <v>0</v>
      </c>
      <c r="O477" s="39"/>
      <c r="P477" s="16">
        <v>16724.7</v>
      </c>
      <c r="S477" s="17"/>
    </row>
    <row r="478" spans="1:19" x14ac:dyDescent="0.4">
      <c r="A478">
        <v>3303894</v>
      </c>
      <c r="B478" s="15">
        <v>26</v>
      </c>
      <c r="C478" s="12" t="s">
        <v>122</v>
      </c>
      <c r="D478" s="12" t="s">
        <v>133</v>
      </c>
      <c r="E478" s="12" t="s">
        <v>150</v>
      </c>
      <c r="F478" s="12" t="s">
        <v>162</v>
      </c>
      <c r="G478" s="14">
        <f t="shared" ca="1" si="7"/>
        <v>281121.5323847367</v>
      </c>
      <c r="H478" s="12" t="s">
        <v>172</v>
      </c>
      <c r="I478">
        <v>0</v>
      </c>
      <c r="J478">
        <v>30</v>
      </c>
      <c r="K478" s="12" t="s">
        <v>176</v>
      </c>
      <c r="L478">
        <v>0</v>
      </c>
      <c r="M478">
        <v>0</v>
      </c>
      <c r="O478" s="39"/>
      <c r="P478" s="15">
        <v>195172.56</v>
      </c>
      <c r="S478" s="17"/>
    </row>
    <row r="479" spans="1:19" x14ac:dyDescent="0.4">
      <c r="A479">
        <v>3306149</v>
      </c>
      <c r="B479" s="16">
        <v>48</v>
      </c>
      <c r="C479" s="12" t="s">
        <v>122</v>
      </c>
      <c r="D479" s="12" t="s">
        <v>134</v>
      </c>
      <c r="E479" s="12" t="s">
        <v>152</v>
      </c>
      <c r="F479" s="12" t="s">
        <v>159</v>
      </c>
      <c r="G479" s="14">
        <f t="shared" ca="1" si="7"/>
        <v>45186.485837030967</v>
      </c>
      <c r="H479" s="12" t="s">
        <v>172</v>
      </c>
      <c r="I479">
        <v>0</v>
      </c>
      <c r="J479">
        <v>40</v>
      </c>
      <c r="K479" s="12" t="s">
        <v>176</v>
      </c>
      <c r="L479">
        <v>0</v>
      </c>
      <c r="M479">
        <v>0</v>
      </c>
      <c r="O479" s="39"/>
      <c r="P479" s="16">
        <v>24127.47</v>
      </c>
      <c r="S479" s="17"/>
    </row>
    <row r="480" spans="1:19" x14ac:dyDescent="0.4">
      <c r="A480">
        <v>3318958</v>
      </c>
      <c r="B480" s="15">
        <v>39</v>
      </c>
      <c r="C480" s="12" t="s">
        <v>122</v>
      </c>
      <c r="D480" s="12" t="s">
        <v>132</v>
      </c>
      <c r="E480" s="12" t="s">
        <v>150</v>
      </c>
      <c r="F480" s="12" t="s">
        <v>163</v>
      </c>
      <c r="G480" s="14">
        <f t="shared" ca="1" si="7"/>
        <v>231512.76440781815</v>
      </c>
      <c r="H480" s="12" t="s">
        <v>171</v>
      </c>
      <c r="I480">
        <v>0</v>
      </c>
      <c r="J480">
        <v>40</v>
      </c>
      <c r="K480" s="12" t="s">
        <v>176</v>
      </c>
      <c r="L480">
        <v>0</v>
      </c>
      <c r="M480">
        <v>0</v>
      </c>
      <c r="O480" s="39"/>
      <c r="P480" s="15">
        <v>217537.77</v>
      </c>
      <c r="S480" s="17"/>
    </row>
    <row r="481" spans="1:19" x14ac:dyDescent="0.4">
      <c r="A481">
        <v>3320224</v>
      </c>
      <c r="B481" s="16">
        <v>56</v>
      </c>
      <c r="C481" s="12" t="s">
        <v>124</v>
      </c>
      <c r="D481" s="12" t="s">
        <v>142</v>
      </c>
      <c r="E481" s="12" t="s">
        <v>152</v>
      </c>
      <c r="F481" s="12" t="s">
        <v>157</v>
      </c>
      <c r="G481" s="14">
        <f t="shared" ca="1" si="7"/>
        <v>56566.945833151243</v>
      </c>
      <c r="H481" s="12" t="s">
        <v>172</v>
      </c>
      <c r="I481">
        <v>0</v>
      </c>
      <c r="J481">
        <v>99</v>
      </c>
      <c r="K481" s="12" t="s">
        <v>176</v>
      </c>
      <c r="L481">
        <v>0</v>
      </c>
      <c r="M481">
        <v>0</v>
      </c>
      <c r="O481" s="39"/>
      <c r="P481" s="16">
        <v>50564.639999999999</v>
      </c>
      <c r="S481" s="17"/>
    </row>
    <row r="482" spans="1:19" x14ac:dyDescent="0.4">
      <c r="A482">
        <v>3328158</v>
      </c>
      <c r="B482" s="15">
        <v>33</v>
      </c>
      <c r="C482" s="12" t="s">
        <v>123</v>
      </c>
      <c r="D482" s="12" t="s">
        <v>135</v>
      </c>
      <c r="E482" s="12" t="s">
        <v>150</v>
      </c>
      <c r="F482" s="12" t="s">
        <v>162</v>
      </c>
      <c r="G482" s="14">
        <f t="shared" ca="1" si="7"/>
        <v>82289.080830596926</v>
      </c>
      <c r="H482" s="12" t="s">
        <v>171</v>
      </c>
      <c r="I482">
        <v>0</v>
      </c>
      <c r="J482">
        <v>40</v>
      </c>
      <c r="K482" s="12" t="s">
        <v>176</v>
      </c>
      <c r="L482">
        <v>0</v>
      </c>
      <c r="M482">
        <v>0</v>
      </c>
      <c r="O482" s="39"/>
      <c r="P482" s="15">
        <v>69232.77</v>
      </c>
      <c r="S482" s="17"/>
    </row>
    <row r="483" spans="1:19" x14ac:dyDescent="0.4">
      <c r="A483">
        <v>3329759</v>
      </c>
      <c r="B483" s="16">
        <v>35</v>
      </c>
      <c r="C483" s="12" t="s">
        <v>123</v>
      </c>
      <c r="D483" s="12" t="s">
        <v>134</v>
      </c>
      <c r="E483" s="12" t="s">
        <v>152</v>
      </c>
      <c r="F483" s="12" t="s">
        <v>160</v>
      </c>
      <c r="G483" s="14">
        <f t="shared" ca="1" si="7"/>
        <v>105214.31748362053</v>
      </c>
      <c r="H483" s="12" t="s">
        <v>172</v>
      </c>
      <c r="I483">
        <v>0</v>
      </c>
      <c r="J483">
        <v>60</v>
      </c>
      <c r="K483" s="12" t="s">
        <v>176</v>
      </c>
      <c r="L483">
        <v>0</v>
      </c>
      <c r="M483">
        <v>0</v>
      </c>
      <c r="O483" s="39"/>
      <c r="P483" s="16">
        <v>55981.64</v>
      </c>
      <c r="S483" s="17"/>
    </row>
    <row r="484" spans="1:19" x14ac:dyDescent="0.4">
      <c r="A484">
        <v>3331706</v>
      </c>
      <c r="B484" s="15">
        <v>33</v>
      </c>
      <c r="C484" s="12" t="s">
        <v>125</v>
      </c>
      <c r="D484" s="12" t="s">
        <v>135</v>
      </c>
      <c r="E484" s="12" t="s">
        <v>152</v>
      </c>
      <c r="F484" s="12" t="s">
        <v>166</v>
      </c>
      <c r="G484" s="14">
        <f t="shared" ca="1" si="7"/>
        <v>37889.596972916617</v>
      </c>
      <c r="H484" s="12" t="s">
        <v>172</v>
      </c>
      <c r="I484">
        <v>0</v>
      </c>
      <c r="J484">
        <v>70</v>
      </c>
      <c r="K484" s="12" t="s">
        <v>176</v>
      </c>
      <c r="L484">
        <v>0</v>
      </c>
      <c r="M484">
        <v>1</v>
      </c>
      <c r="O484" s="39"/>
      <c r="P484" s="15">
        <v>36228.26</v>
      </c>
      <c r="S484" s="17"/>
    </row>
    <row r="485" spans="1:19" x14ac:dyDescent="0.4">
      <c r="A485">
        <v>3334605</v>
      </c>
      <c r="B485" s="16">
        <v>35</v>
      </c>
      <c r="C485" s="12" t="s">
        <v>122</v>
      </c>
      <c r="D485" s="12" t="s">
        <v>135</v>
      </c>
      <c r="E485" s="12" t="s">
        <v>152</v>
      </c>
      <c r="F485" s="12" t="s">
        <v>160</v>
      </c>
      <c r="G485" s="14">
        <f t="shared" ca="1" si="7"/>
        <v>98773.69271601348</v>
      </c>
      <c r="H485" s="12" t="s">
        <v>172</v>
      </c>
      <c r="I485">
        <v>0</v>
      </c>
      <c r="J485">
        <v>47</v>
      </c>
      <c r="K485" s="12" t="s">
        <v>176</v>
      </c>
      <c r="L485">
        <v>4386</v>
      </c>
      <c r="M485">
        <v>1</v>
      </c>
      <c r="O485" s="39"/>
      <c r="P485" s="16">
        <v>56791.05</v>
      </c>
      <c r="S485" s="17"/>
    </row>
    <row r="486" spans="1:19" x14ac:dyDescent="0.4">
      <c r="A486">
        <v>3337130</v>
      </c>
      <c r="B486" s="15">
        <v>33</v>
      </c>
      <c r="C486" s="12" t="s">
        <v>122</v>
      </c>
      <c r="D486" s="12" t="s">
        <v>132</v>
      </c>
      <c r="E486" s="12" t="s">
        <v>150</v>
      </c>
      <c r="F486" s="12" t="s">
        <v>156</v>
      </c>
      <c r="G486" s="14">
        <f t="shared" ca="1" si="7"/>
        <v>78885.78122154047</v>
      </c>
      <c r="H486" s="12" t="s">
        <v>171</v>
      </c>
      <c r="I486">
        <v>0</v>
      </c>
      <c r="J486">
        <v>28</v>
      </c>
      <c r="K486" s="12" t="s">
        <v>176</v>
      </c>
      <c r="L486">
        <v>0</v>
      </c>
      <c r="M486">
        <v>0</v>
      </c>
      <c r="O486" s="39"/>
      <c r="P486" s="15">
        <v>71402.759999999995</v>
      </c>
      <c r="S486" s="17"/>
    </row>
    <row r="487" spans="1:19" x14ac:dyDescent="0.4">
      <c r="A487">
        <v>3337202</v>
      </c>
      <c r="B487" s="16">
        <v>56</v>
      </c>
      <c r="C487" s="12" t="s">
        <v>122</v>
      </c>
      <c r="D487" s="12" t="s">
        <v>135</v>
      </c>
      <c r="E487" s="12" t="s">
        <v>152</v>
      </c>
      <c r="F487" s="12" t="s">
        <v>162</v>
      </c>
      <c r="G487" s="14">
        <f t="shared" ca="1" si="7"/>
        <v>63674.078670218027</v>
      </c>
      <c r="H487" s="12" t="s">
        <v>172</v>
      </c>
      <c r="I487">
        <v>0</v>
      </c>
      <c r="J487">
        <v>40</v>
      </c>
      <c r="K487" s="12" t="s">
        <v>176</v>
      </c>
      <c r="L487">
        <v>10477</v>
      </c>
      <c r="M487">
        <v>1</v>
      </c>
      <c r="O487" s="39"/>
      <c r="P487" s="16">
        <v>42603.57</v>
      </c>
      <c r="S487" s="17"/>
    </row>
    <row r="488" spans="1:19" x14ac:dyDescent="0.4">
      <c r="A488">
        <v>3343487</v>
      </c>
      <c r="B488" s="15">
        <v>45</v>
      </c>
      <c r="C488" s="12" t="s">
        <v>123</v>
      </c>
      <c r="D488" s="12" t="s">
        <v>135</v>
      </c>
      <c r="E488" s="12" t="s">
        <v>151</v>
      </c>
      <c r="F488" s="12" t="s">
        <v>160</v>
      </c>
      <c r="G488" s="14">
        <f t="shared" ca="1" si="7"/>
        <v>116635.33675454852</v>
      </c>
      <c r="H488" s="12" t="s">
        <v>172</v>
      </c>
      <c r="I488">
        <v>0</v>
      </c>
      <c r="J488">
        <v>50</v>
      </c>
      <c r="K488" s="12" t="s">
        <v>176</v>
      </c>
      <c r="L488">
        <v>0</v>
      </c>
      <c r="M488">
        <v>0</v>
      </c>
      <c r="O488" s="39"/>
      <c r="P488" s="15">
        <v>107961.84</v>
      </c>
      <c r="S488" s="17"/>
    </row>
    <row r="489" spans="1:19" x14ac:dyDescent="0.4">
      <c r="A489">
        <v>3344699</v>
      </c>
      <c r="B489" s="16">
        <v>66</v>
      </c>
      <c r="C489" s="12" t="s">
        <v>122</v>
      </c>
      <c r="D489" s="12" t="s">
        <v>135</v>
      </c>
      <c r="E489" s="12" t="s">
        <v>152</v>
      </c>
      <c r="F489" s="12" t="s">
        <v>162</v>
      </c>
      <c r="G489" s="14">
        <f t="shared" ca="1" si="7"/>
        <v>56144.553954481264</v>
      </c>
      <c r="H489" s="12" t="s">
        <v>172</v>
      </c>
      <c r="I489">
        <v>0</v>
      </c>
      <c r="J489">
        <v>15</v>
      </c>
      <c r="K489" s="12" t="s">
        <v>176</v>
      </c>
      <c r="L489">
        <v>0</v>
      </c>
      <c r="M489">
        <v>1</v>
      </c>
      <c r="O489" s="39"/>
      <c r="P489" s="16">
        <v>33987.22</v>
      </c>
      <c r="S489" s="17"/>
    </row>
    <row r="490" spans="1:19" x14ac:dyDescent="0.4">
      <c r="A490">
        <v>3348657</v>
      </c>
      <c r="B490" s="15">
        <v>46</v>
      </c>
      <c r="C490" s="12" t="s">
        <v>126</v>
      </c>
      <c r="D490" s="12" t="s">
        <v>134</v>
      </c>
      <c r="E490" s="12" t="s">
        <v>152</v>
      </c>
      <c r="F490" s="12" t="s">
        <v>156</v>
      </c>
      <c r="G490" s="14">
        <f t="shared" ca="1" si="7"/>
        <v>89461.497430667558</v>
      </c>
      <c r="H490" s="12" t="s">
        <v>172</v>
      </c>
      <c r="I490">
        <v>0</v>
      </c>
      <c r="J490">
        <v>43</v>
      </c>
      <c r="K490" s="12" t="s">
        <v>176</v>
      </c>
      <c r="L490">
        <v>2023</v>
      </c>
      <c r="M490">
        <v>1</v>
      </c>
      <c r="O490" s="39"/>
      <c r="P490" s="15">
        <v>48807.28</v>
      </c>
      <c r="S490" s="17"/>
    </row>
    <row r="491" spans="1:19" x14ac:dyDescent="0.4">
      <c r="A491">
        <v>3350187</v>
      </c>
      <c r="B491" s="16">
        <v>23</v>
      </c>
      <c r="C491" s="12" t="s">
        <v>122</v>
      </c>
      <c r="D491" s="12" t="s">
        <v>133</v>
      </c>
      <c r="E491" s="12" t="s">
        <v>150</v>
      </c>
      <c r="F491" s="12" t="s">
        <v>162</v>
      </c>
      <c r="G491" s="14">
        <f t="shared" ca="1" si="7"/>
        <v>176366.4460081385</v>
      </c>
      <c r="H491" s="12" t="s">
        <v>172</v>
      </c>
      <c r="I491">
        <v>0</v>
      </c>
      <c r="J491">
        <v>30</v>
      </c>
      <c r="K491" s="12" t="s">
        <v>176</v>
      </c>
      <c r="L491">
        <v>0</v>
      </c>
      <c r="M491">
        <v>0</v>
      </c>
      <c r="O491" s="39"/>
      <c r="P491" s="16">
        <v>92970.53</v>
      </c>
      <c r="S491" s="17"/>
    </row>
    <row r="492" spans="1:19" x14ac:dyDescent="0.4">
      <c r="A492">
        <v>3350526</v>
      </c>
      <c r="B492" s="15">
        <v>40</v>
      </c>
      <c r="C492" s="12" t="s">
        <v>122</v>
      </c>
      <c r="D492" s="12" t="s">
        <v>133</v>
      </c>
      <c r="E492" s="12" t="s">
        <v>151</v>
      </c>
      <c r="F492" s="12" t="s">
        <v>160</v>
      </c>
      <c r="G492" s="14">
        <f t="shared" ca="1" si="7"/>
        <v>145556.46869352789</v>
      </c>
      <c r="H492" s="12" t="s">
        <v>172</v>
      </c>
      <c r="I492">
        <v>0</v>
      </c>
      <c r="J492">
        <v>40</v>
      </c>
      <c r="K492" s="12" t="s">
        <v>176</v>
      </c>
      <c r="L492">
        <v>8354</v>
      </c>
      <c r="M492">
        <v>1</v>
      </c>
      <c r="O492" s="39"/>
      <c r="P492" s="15">
        <v>112480.86</v>
      </c>
      <c r="S492" s="17"/>
    </row>
    <row r="493" spans="1:19" x14ac:dyDescent="0.4">
      <c r="A493">
        <v>3365008</v>
      </c>
      <c r="B493" s="16">
        <v>21</v>
      </c>
      <c r="C493" s="12" t="s">
        <v>122</v>
      </c>
      <c r="D493" s="12" t="s">
        <v>134</v>
      </c>
      <c r="E493" s="12" t="s">
        <v>150</v>
      </c>
      <c r="F493" s="12" t="s">
        <v>162</v>
      </c>
      <c r="G493" s="14">
        <f t="shared" ca="1" si="7"/>
        <v>343033.03049072163</v>
      </c>
      <c r="H493" s="12" t="s">
        <v>171</v>
      </c>
      <c r="I493">
        <v>0</v>
      </c>
      <c r="J493">
        <v>40</v>
      </c>
      <c r="K493" s="12" t="s">
        <v>176</v>
      </c>
      <c r="L493">
        <v>0</v>
      </c>
      <c r="M493">
        <v>0</v>
      </c>
      <c r="O493" s="39"/>
      <c r="P493" s="16">
        <v>184072.28</v>
      </c>
      <c r="S493" s="17"/>
    </row>
    <row r="494" spans="1:19" x14ac:dyDescent="0.4">
      <c r="A494">
        <v>3365455</v>
      </c>
      <c r="B494" s="15">
        <v>46</v>
      </c>
      <c r="C494" s="12" t="s">
        <v>122</v>
      </c>
      <c r="D494" s="12" t="s">
        <v>134</v>
      </c>
      <c r="E494" s="12" t="s">
        <v>151</v>
      </c>
      <c r="F494" s="12" t="s">
        <v>160</v>
      </c>
      <c r="G494" s="14">
        <f t="shared" ca="1" si="7"/>
        <v>81798.509426462639</v>
      </c>
      <c r="H494" s="12" t="s">
        <v>171</v>
      </c>
      <c r="I494">
        <v>0</v>
      </c>
      <c r="J494">
        <v>40</v>
      </c>
      <c r="K494" s="12" t="s">
        <v>176</v>
      </c>
      <c r="L494">
        <v>0</v>
      </c>
      <c r="M494">
        <v>0</v>
      </c>
      <c r="O494" s="39"/>
      <c r="P494" s="15">
        <v>56889.59</v>
      </c>
      <c r="S494" s="17"/>
    </row>
    <row r="495" spans="1:19" x14ac:dyDescent="0.4">
      <c r="A495">
        <v>3375669</v>
      </c>
      <c r="B495" s="16">
        <v>37</v>
      </c>
      <c r="C495" s="12" t="s">
        <v>122</v>
      </c>
      <c r="D495" s="12" t="s">
        <v>134</v>
      </c>
      <c r="E495" s="12" t="s">
        <v>150</v>
      </c>
      <c r="F495" s="12" t="s">
        <v>158</v>
      </c>
      <c r="G495" s="14">
        <f t="shared" ca="1" si="7"/>
        <v>37026.627131917216</v>
      </c>
      <c r="H495" s="12" t="s">
        <v>172</v>
      </c>
      <c r="I495">
        <v>0</v>
      </c>
      <c r="J495">
        <v>38</v>
      </c>
      <c r="K495" s="12" t="s">
        <v>176</v>
      </c>
      <c r="L495">
        <v>0</v>
      </c>
      <c r="M495">
        <v>0</v>
      </c>
      <c r="O495" s="39"/>
      <c r="P495" s="16">
        <v>19157.04</v>
      </c>
      <c r="S495" s="17"/>
    </row>
    <row r="496" spans="1:19" x14ac:dyDescent="0.4">
      <c r="A496">
        <v>3377279</v>
      </c>
      <c r="B496" s="15">
        <v>58</v>
      </c>
      <c r="C496" s="12" t="s">
        <v>124</v>
      </c>
      <c r="D496" s="12" t="s">
        <v>137</v>
      </c>
      <c r="E496" s="12" t="s">
        <v>152</v>
      </c>
      <c r="F496" s="12" t="s">
        <v>160</v>
      </c>
      <c r="G496" s="14">
        <f t="shared" ca="1" si="7"/>
        <v>54226.420913678936</v>
      </c>
      <c r="H496" s="12" t="s">
        <v>172</v>
      </c>
      <c r="I496">
        <v>0</v>
      </c>
      <c r="J496">
        <v>40</v>
      </c>
      <c r="K496" s="12" t="s">
        <v>176</v>
      </c>
      <c r="L496">
        <v>15024</v>
      </c>
      <c r="M496">
        <v>1</v>
      </c>
      <c r="O496" s="39"/>
      <c r="P496" s="15">
        <v>36607.19</v>
      </c>
      <c r="S496" s="17"/>
    </row>
    <row r="497" spans="1:19" x14ac:dyDescent="0.4">
      <c r="A497">
        <v>3379095</v>
      </c>
      <c r="B497" s="16">
        <v>43</v>
      </c>
      <c r="C497" s="12" t="s">
        <v>122</v>
      </c>
      <c r="D497" s="12" t="s">
        <v>134</v>
      </c>
      <c r="E497" s="12" t="s">
        <v>151</v>
      </c>
      <c r="F497" s="12" t="s">
        <v>160</v>
      </c>
      <c r="G497" s="14">
        <f t="shared" ca="1" si="7"/>
        <v>129669.55152243109</v>
      </c>
      <c r="H497" s="12" t="s">
        <v>171</v>
      </c>
      <c r="I497">
        <v>0</v>
      </c>
      <c r="J497">
        <v>40</v>
      </c>
      <c r="K497" s="12" t="s">
        <v>176</v>
      </c>
      <c r="L497">
        <v>0</v>
      </c>
      <c r="M497">
        <v>0</v>
      </c>
      <c r="O497" s="39"/>
      <c r="P497" s="16">
        <v>66707.56</v>
      </c>
      <c r="S497" s="17"/>
    </row>
    <row r="498" spans="1:19" x14ac:dyDescent="0.4">
      <c r="A498">
        <v>3379122</v>
      </c>
      <c r="B498" s="15">
        <v>28</v>
      </c>
      <c r="C498" s="12" t="s">
        <v>122</v>
      </c>
      <c r="D498" s="12" t="s">
        <v>135</v>
      </c>
      <c r="E498" s="12" t="s">
        <v>152</v>
      </c>
      <c r="F498" s="12" t="s">
        <v>158</v>
      </c>
      <c r="G498" s="14">
        <f t="shared" ca="1" si="7"/>
        <v>125568.93878233088</v>
      </c>
      <c r="H498" s="12" t="s">
        <v>171</v>
      </c>
      <c r="I498">
        <v>0</v>
      </c>
      <c r="J498">
        <v>15</v>
      </c>
      <c r="K498" s="12" t="s">
        <v>176</v>
      </c>
      <c r="L498">
        <v>0</v>
      </c>
      <c r="M498">
        <v>0</v>
      </c>
      <c r="O498" s="39"/>
      <c r="P498" s="15">
        <v>81967.31</v>
      </c>
      <c r="S498" s="17"/>
    </row>
    <row r="499" spans="1:19" x14ac:dyDescent="0.4">
      <c r="A499">
        <v>3381305</v>
      </c>
      <c r="B499" s="16">
        <v>40</v>
      </c>
      <c r="C499" s="12" t="s">
        <v>122</v>
      </c>
      <c r="D499" s="12" t="s">
        <v>134</v>
      </c>
      <c r="E499" s="12" t="s">
        <v>150</v>
      </c>
      <c r="F499" s="12" t="s">
        <v>160</v>
      </c>
      <c r="G499" s="14">
        <f t="shared" ca="1" si="7"/>
        <v>200534.20662968731</v>
      </c>
      <c r="H499" s="12" t="s">
        <v>171</v>
      </c>
      <c r="I499">
        <v>0</v>
      </c>
      <c r="J499">
        <v>45</v>
      </c>
      <c r="K499" s="12" t="s">
        <v>176</v>
      </c>
      <c r="L499">
        <v>0</v>
      </c>
      <c r="M499">
        <v>0</v>
      </c>
      <c r="O499" s="39"/>
      <c r="P499" s="16">
        <v>116076.42</v>
      </c>
      <c r="S499" s="17"/>
    </row>
    <row r="500" spans="1:19" x14ac:dyDescent="0.4">
      <c r="A500">
        <v>3386761</v>
      </c>
      <c r="B500" s="15">
        <v>67</v>
      </c>
      <c r="C500" s="12" t="s">
        <v>129</v>
      </c>
      <c r="D500" s="12" t="s">
        <v>134</v>
      </c>
      <c r="E500" s="12" t="s">
        <v>152</v>
      </c>
      <c r="F500" s="12" t="s">
        <v>129</v>
      </c>
      <c r="G500" s="14">
        <f t="shared" ca="1" si="7"/>
        <v>308444.73412451317</v>
      </c>
      <c r="H500" s="12" t="s">
        <v>171</v>
      </c>
      <c r="I500">
        <v>0</v>
      </c>
      <c r="J500">
        <v>5</v>
      </c>
      <c r="K500" s="12" t="s">
        <v>176</v>
      </c>
      <c r="L500">
        <v>0</v>
      </c>
      <c r="M500">
        <v>0</v>
      </c>
      <c r="O500" s="39"/>
      <c r="P500" s="15">
        <v>262911.83</v>
      </c>
      <c r="S500" s="17"/>
    </row>
    <row r="501" spans="1:19" x14ac:dyDescent="0.4">
      <c r="A501">
        <v>3390698</v>
      </c>
      <c r="B501" s="16">
        <v>19</v>
      </c>
      <c r="C501" s="12" t="s">
        <v>122</v>
      </c>
      <c r="D501" s="12" t="s">
        <v>134</v>
      </c>
      <c r="E501" s="12" t="s">
        <v>150</v>
      </c>
      <c r="F501" s="12" t="s">
        <v>164</v>
      </c>
      <c r="G501" s="14">
        <f t="shared" ca="1" si="7"/>
        <v>339479.65400791913</v>
      </c>
      <c r="H501" s="12" t="s">
        <v>172</v>
      </c>
      <c r="I501">
        <v>0</v>
      </c>
      <c r="J501">
        <v>35</v>
      </c>
      <c r="K501" s="12" t="s">
        <v>176</v>
      </c>
      <c r="L501">
        <v>0</v>
      </c>
      <c r="M501">
        <v>0</v>
      </c>
      <c r="O501" s="39"/>
      <c r="P501" s="16">
        <v>183653.58</v>
      </c>
      <c r="S501" s="17"/>
    </row>
    <row r="502" spans="1:19" x14ac:dyDescent="0.4">
      <c r="A502">
        <v>3392247</v>
      </c>
      <c r="B502" s="15">
        <v>68</v>
      </c>
      <c r="C502" s="12" t="s">
        <v>122</v>
      </c>
      <c r="D502" s="12" t="s">
        <v>142</v>
      </c>
      <c r="E502" s="12" t="s">
        <v>152</v>
      </c>
      <c r="F502" s="12" t="s">
        <v>159</v>
      </c>
      <c r="G502" s="14">
        <f t="shared" ca="1" si="7"/>
        <v>43175.692399665393</v>
      </c>
      <c r="H502" s="12" t="s">
        <v>172</v>
      </c>
      <c r="I502">
        <v>0</v>
      </c>
      <c r="J502">
        <v>44</v>
      </c>
      <c r="K502" s="12" t="s">
        <v>176</v>
      </c>
      <c r="L502">
        <v>0</v>
      </c>
      <c r="M502">
        <v>0</v>
      </c>
      <c r="O502" s="39"/>
      <c r="P502" s="15">
        <v>40478.75</v>
      </c>
      <c r="S502" s="17"/>
    </row>
    <row r="503" spans="1:19" x14ac:dyDescent="0.4">
      <c r="A503">
        <v>3399879</v>
      </c>
      <c r="B503" s="16">
        <v>43</v>
      </c>
      <c r="C503" s="12" t="s">
        <v>124</v>
      </c>
      <c r="D503" s="12" t="s">
        <v>144</v>
      </c>
      <c r="E503" s="12" t="s">
        <v>152</v>
      </c>
      <c r="F503" s="12" t="s">
        <v>160</v>
      </c>
      <c r="G503" s="14">
        <f t="shared" ca="1" si="7"/>
        <v>69818.523123277992</v>
      </c>
      <c r="H503" s="12" t="s">
        <v>172</v>
      </c>
      <c r="I503">
        <v>0</v>
      </c>
      <c r="J503">
        <v>40</v>
      </c>
      <c r="K503" s="12" t="s">
        <v>176</v>
      </c>
      <c r="L503">
        <v>99999</v>
      </c>
      <c r="M503">
        <v>1</v>
      </c>
      <c r="O503" s="39"/>
      <c r="P503" s="16">
        <v>48852.77</v>
      </c>
      <c r="S503" s="17"/>
    </row>
    <row r="504" spans="1:19" x14ac:dyDescent="0.4">
      <c r="A504">
        <v>3406334</v>
      </c>
      <c r="B504" s="15">
        <v>31</v>
      </c>
      <c r="C504" s="12" t="s">
        <v>123</v>
      </c>
      <c r="D504" s="12" t="s">
        <v>134</v>
      </c>
      <c r="E504" s="12" t="s">
        <v>152</v>
      </c>
      <c r="F504" s="12" t="s">
        <v>159</v>
      </c>
      <c r="G504" s="14">
        <f t="shared" ca="1" si="7"/>
        <v>61407.797796164537</v>
      </c>
      <c r="H504" s="12" t="s">
        <v>172</v>
      </c>
      <c r="I504">
        <v>1902</v>
      </c>
      <c r="J504">
        <v>40</v>
      </c>
      <c r="K504" s="12" t="s">
        <v>176</v>
      </c>
      <c r="L504">
        <v>19875</v>
      </c>
      <c r="M504">
        <v>1</v>
      </c>
      <c r="O504" s="39"/>
      <c r="P504" s="15">
        <v>59999.6</v>
      </c>
      <c r="S504" s="17"/>
    </row>
    <row r="505" spans="1:19" x14ac:dyDescent="0.4">
      <c r="A505">
        <v>3408103</v>
      </c>
      <c r="B505" s="16">
        <v>33</v>
      </c>
      <c r="C505" s="12" t="s">
        <v>126</v>
      </c>
      <c r="D505" s="12" t="s">
        <v>138</v>
      </c>
      <c r="E505" s="12" t="s">
        <v>152</v>
      </c>
      <c r="F505" s="12" t="s">
        <v>144</v>
      </c>
      <c r="G505" s="14">
        <f t="shared" ca="1" si="7"/>
        <v>50820.695464746263</v>
      </c>
      <c r="H505" s="12" t="s">
        <v>172</v>
      </c>
      <c r="I505">
        <v>0</v>
      </c>
      <c r="J505">
        <v>50</v>
      </c>
      <c r="K505" s="12" t="s">
        <v>176</v>
      </c>
      <c r="L505">
        <v>2307</v>
      </c>
      <c r="M505">
        <v>1</v>
      </c>
      <c r="O505" s="39"/>
      <c r="P505" s="16">
        <v>28571.83</v>
      </c>
      <c r="S505" s="17"/>
    </row>
    <row r="506" spans="1:19" x14ac:dyDescent="0.4">
      <c r="A506">
        <v>3410067</v>
      </c>
      <c r="B506" s="15">
        <v>50</v>
      </c>
      <c r="C506" s="12" t="s">
        <v>122</v>
      </c>
      <c r="D506" s="12" t="s">
        <v>134</v>
      </c>
      <c r="E506" s="12" t="s">
        <v>152</v>
      </c>
      <c r="F506" s="12" t="s">
        <v>159</v>
      </c>
      <c r="G506" s="14">
        <f t="shared" ca="1" si="7"/>
        <v>75078.406791170069</v>
      </c>
      <c r="H506" s="12" t="s">
        <v>172</v>
      </c>
      <c r="I506">
        <v>0</v>
      </c>
      <c r="J506">
        <v>40</v>
      </c>
      <c r="K506" s="12" t="s">
        <v>176</v>
      </c>
      <c r="L506">
        <v>8436</v>
      </c>
      <c r="M506">
        <v>1</v>
      </c>
      <c r="O506" s="39"/>
      <c r="P506" s="15">
        <v>59745.14</v>
      </c>
      <c r="S506" s="17"/>
    </row>
    <row r="507" spans="1:19" x14ac:dyDescent="0.4">
      <c r="A507">
        <v>3416897</v>
      </c>
      <c r="B507" s="16">
        <v>54</v>
      </c>
      <c r="C507" s="12" t="s">
        <v>122</v>
      </c>
      <c r="D507" s="12" t="s">
        <v>134</v>
      </c>
      <c r="E507" s="12" t="s">
        <v>150</v>
      </c>
      <c r="F507" s="12" t="s">
        <v>156</v>
      </c>
      <c r="G507" s="14">
        <f t="shared" ca="1" si="7"/>
        <v>178231.4345860701</v>
      </c>
      <c r="H507" s="12" t="s">
        <v>171</v>
      </c>
      <c r="I507">
        <v>0</v>
      </c>
      <c r="J507">
        <v>20</v>
      </c>
      <c r="K507" s="12" t="s">
        <v>195</v>
      </c>
      <c r="L507">
        <v>0</v>
      </c>
      <c r="M507">
        <v>0</v>
      </c>
      <c r="O507" s="39"/>
      <c r="P507" s="16">
        <v>129388.23</v>
      </c>
      <c r="S507" s="17"/>
    </row>
    <row r="508" spans="1:19" x14ac:dyDescent="0.4">
      <c r="A508">
        <v>3420408</v>
      </c>
      <c r="B508" s="15">
        <v>57</v>
      </c>
      <c r="C508" s="12" t="s">
        <v>123</v>
      </c>
      <c r="D508" s="12" t="s">
        <v>134</v>
      </c>
      <c r="E508" s="12" t="s">
        <v>152</v>
      </c>
      <c r="F508" s="12" t="s">
        <v>160</v>
      </c>
      <c r="G508" s="14">
        <f t="shared" ca="1" si="7"/>
        <v>95734.597259610979</v>
      </c>
      <c r="H508" s="12" t="s">
        <v>172</v>
      </c>
      <c r="I508">
        <v>0</v>
      </c>
      <c r="J508">
        <v>1</v>
      </c>
      <c r="K508" s="12" t="s">
        <v>176</v>
      </c>
      <c r="L508">
        <v>0</v>
      </c>
      <c r="M508">
        <v>0</v>
      </c>
      <c r="O508" s="39"/>
      <c r="P508" s="15">
        <v>53313.24</v>
      </c>
      <c r="S508" s="17"/>
    </row>
    <row r="509" spans="1:19" x14ac:dyDescent="0.4">
      <c r="A509">
        <v>3428965</v>
      </c>
      <c r="B509" s="16">
        <v>18</v>
      </c>
      <c r="C509" s="12" t="s">
        <v>122</v>
      </c>
      <c r="D509" s="12" t="s">
        <v>139</v>
      </c>
      <c r="E509" s="12" t="s">
        <v>150</v>
      </c>
      <c r="F509" s="12" t="s">
        <v>156</v>
      </c>
      <c r="G509" s="14">
        <f t="shared" ca="1" si="7"/>
        <v>146596.65523071354</v>
      </c>
      <c r="H509" s="12" t="s">
        <v>171</v>
      </c>
      <c r="I509">
        <v>0</v>
      </c>
      <c r="J509">
        <v>20</v>
      </c>
      <c r="K509" s="12" t="s">
        <v>176</v>
      </c>
      <c r="L509">
        <v>0</v>
      </c>
      <c r="M509">
        <v>0</v>
      </c>
      <c r="O509" s="39"/>
      <c r="P509" s="16">
        <v>113834.61</v>
      </c>
      <c r="S509" s="17"/>
    </row>
    <row r="510" spans="1:19" x14ac:dyDescent="0.4">
      <c r="A510">
        <v>3433750</v>
      </c>
      <c r="B510" s="15">
        <v>34</v>
      </c>
      <c r="C510" s="12" t="s">
        <v>122</v>
      </c>
      <c r="D510" s="12" t="s">
        <v>132</v>
      </c>
      <c r="E510" s="12" t="s">
        <v>152</v>
      </c>
      <c r="F510" s="12" t="s">
        <v>157</v>
      </c>
      <c r="G510" s="14">
        <f t="shared" ca="1" si="7"/>
        <v>93591.484924382748</v>
      </c>
      <c r="H510" s="12" t="s">
        <v>172</v>
      </c>
      <c r="I510">
        <v>1452.6666666666699</v>
      </c>
      <c r="J510">
        <v>40</v>
      </c>
      <c r="K510" s="12" t="s">
        <v>176</v>
      </c>
      <c r="L510">
        <v>0</v>
      </c>
      <c r="M510">
        <v>0</v>
      </c>
      <c r="O510" s="39"/>
      <c r="P510" s="15">
        <v>57302.55</v>
      </c>
      <c r="S510" s="17"/>
    </row>
    <row r="511" spans="1:19" x14ac:dyDescent="0.4">
      <c r="A511">
        <v>3438153</v>
      </c>
      <c r="B511" s="16">
        <v>37</v>
      </c>
      <c r="C511" s="12" t="s">
        <v>122</v>
      </c>
      <c r="D511" s="12" t="s">
        <v>134</v>
      </c>
      <c r="E511" s="12" t="s">
        <v>152</v>
      </c>
      <c r="F511" s="12" t="s">
        <v>159</v>
      </c>
      <c r="G511" s="14">
        <f t="shared" ca="1" si="7"/>
        <v>41968.099142669387</v>
      </c>
      <c r="H511" s="12" t="s">
        <v>172</v>
      </c>
      <c r="I511">
        <v>0</v>
      </c>
      <c r="J511">
        <v>40</v>
      </c>
      <c r="K511" s="12" t="s">
        <v>176</v>
      </c>
      <c r="L511">
        <v>0</v>
      </c>
      <c r="M511">
        <v>0</v>
      </c>
      <c r="O511" s="39"/>
      <c r="P511" s="16">
        <v>26674.21</v>
      </c>
      <c r="S511" s="17"/>
    </row>
    <row r="512" spans="1:19" x14ac:dyDescent="0.4">
      <c r="A512">
        <v>3438433</v>
      </c>
      <c r="B512" s="15">
        <v>49</v>
      </c>
      <c r="C512" s="12" t="s">
        <v>126</v>
      </c>
      <c r="D512" s="12" t="s">
        <v>138</v>
      </c>
      <c r="E512" s="12" t="s">
        <v>152</v>
      </c>
      <c r="F512" s="12" t="s">
        <v>144</v>
      </c>
      <c r="G512" s="14">
        <f t="shared" ca="1" si="7"/>
        <v>39223.985077974699</v>
      </c>
      <c r="H512" s="12" t="s">
        <v>172</v>
      </c>
      <c r="I512">
        <v>0</v>
      </c>
      <c r="J512">
        <v>45</v>
      </c>
      <c r="K512" s="12" t="s">
        <v>176</v>
      </c>
      <c r="L512">
        <v>0</v>
      </c>
      <c r="M512">
        <v>1</v>
      </c>
      <c r="O512" s="39"/>
      <c r="P512" s="15">
        <v>38082.1</v>
      </c>
      <c r="S512" s="17"/>
    </row>
    <row r="513" spans="1:19" x14ac:dyDescent="0.4">
      <c r="A513">
        <v>3465197</v>
      </c>
      <c r="B513" s="16">
        <v>41</v>
      </c>
      <c r="C513" s="12" t="s">
        <v>122</v>
      </c>
      <c r="D513" s="12" t="s">
        <v>134</v>
      </c>
      <c r="E513" s="12" t="s">
        <v>152</v>
      </c>
      <c r="F513" s="12" t="s">
        <v>159</v>
      </c>
      <c r="G513" s="14">
        <f t="shared" ca="1" si="7"/>
        <v>48270.756085252549</v>
      </c>
      <c r="H513" s="12" t="s">
        <v>172</v>
      </c>
      <c r="I513">
        <v>1848</v>
      </c>
      <c r="J513">
        <v>40</v>
      </c>
      <c r="K513" s="12" t="s">
        <v>176</v>
      </c>
      <c r="L513">
        <v>14122</v>
      </c>
      <c r="M513">
        <v>1</v>
      </c>
      <c r="O513" s="39"/>
      <c r="P513" s="16">
        <v>46992.2</v>
      </c>
      <c r="S513" s="17"/>
    </row>
    <row r="514" spans="1:19" x14ac:dyDescent="0.4">
      <c r="A514">
        <v>3468884</v>
      </c>
      <c r="B514" s="15">
        <v>38</v>
      </c>
      <c r="C514" s="12" t="s">
        <v>122</v>
      </c>
      <c r="D514" s="12" t="s">
        <v>132</v>
      </c>
      <c r="E514" s="12" t="s">
        <v>151</v>
      </c>
      <c r="F514" s="12" t="s">
        <v>162</v>
      </c>
      <c r="G514" s="14">
        <f t="shared" ca="1" si="7"/>
        <v>116585.04482603246</v>
      </c>
      <c r="H514" s="12" t="s">
        <v>171</v>
      </c>
      <c r="I514">
        <v>0</v>
      </c>
      <c r="J514">
        <v>40</v>
      </c>
      <c r="K514" s="12" t="s">
        <v>176</v>
      </c>
      <c r="L514">
        <v>0</v>
      </c>
      <c r="M514">
        <v>0</v>
      </c>
      <c r="O514" s="39"/>
      <c r="P514" s="15">
        <v>94304.23</v>
      </c>
      <c r="S514" s="17"/>
    </row>
    <row r="515" spans="1:19" x14ac:dyDescent="0.4">
      <c r="A515">
        <v>3474349</v>
      </c>
      <c r="B515" s="16">
        <v>35</v>
      </c>
      <c r="C515" s="12" t="s">
        <v>122</v>
      </c>
      <c r="D515" s="12" t="s">
        <v>134</v>
      </c>
      <c r="E515" s="12" t="s">
        <v>152</v>
      </c>
      <c r="F515" s="12" t="s">
        <v>158</v>
      </c>
      <c r="G515" s="14">
        <f t="shared" ca="1" si="7"/>
        <v>43772.354363018421</v>
      </c>
      <c r="H515" s="12" t="s">
        <v>172</v>
      </c>
      <c r="I515">
        <v>0</v>
      </c>
      <c r="J515">
        <v>45</v>
      </c>
      <c r="K515" s="12" t="s">
        <v>176</v>
      </c>
      <c r="L515">
        <v>0</v>
      </c>
      <c r="M515">
        <v>0</v>
      </c>
      <c r="O515" s="39"/>
      <c r="P515" s="16">
        <v>22528.23</v>
      </c>
      <c r="S515" s="17"/>
    </row>
    <row r="516" spans="1:19" x14ac:dyDescent="0.4">
      <c r="A516">
        <v>3484201</v>
      </c>
      <c r="B516" s="15">
        <v>35</v>
      </c>
      <c r="C516" s="12" t="s">
        <v>122</v>
      </c>
      <c r="D516" s="12" t="s">
        <v>134</v>
      </c>
      <c r="E516" s="12" t="s">
        <v>152</v>
      </c>
      <c r="F516" s="12" t="s">
        <v>164</v>
      </c>
      <c r="G516" s="14">
        <f t="shared" ca="1" si="7"/>
        <v>81220.641357917921</v>
      </c>
      <c r="H516" s="12" t="s">
        <v>172</v>
      </c>
      <c r="I516">
        <v>0</v>
      </c>
      <c r="J516">
        <v>40</v>
      </c>
      <c r="K516" s="12" t="s">
        <v>176</v>
      </c>
      <c r="L516">
        <v>0</v>
      </c>
      <c r="M516">
        <v>0</v>
      </c>
      <c r="O516" s="39"/>
      <c r="P516" s="15">
        <v>42134.13</v>
      </c>
      <c r="S516" s="17"/>
    </row>
    <row r="517" spans="1:19" x14ac:dyDescent="0.4">
      <c r="A517">
        <v>3499406</v>
      </c>
      <c r="B517" s="16">
        <v>41</v>
      </c>
      <c r="C517" s="12" t="s">
        <v>122</v>
      </c>
      <c r="D517" s="12" t="s">
        <v>134</v>
      </c>
      <c r="E517" s="12" t="s">
        <v>150</v>
      </c>
      <c r="F517" s="12" t="s">
        <v>162</v>
      </c>
      <c r="G517" s="14">
        <f t="shared" ca="1" si="7"/>
        <v>181332.56570801258</v>
      </c>
      <c r="H517" s="12" t="s">
        <v>171</v>
      </c>
      <c r="I517">
        <v>0</v>
      </c>
      <c r="J517">
        <v>40</v>
      </c>
      <c r="K517" s="12" t="s">
        <v>176</v>
      </c>
      <c r="L517">
        <v>0</v>
      </c>
      <c r="M517">
        <v>0</v>
      </c>
      <c r="O517" s="39"/>
      <c r="P517" s="16">
        <v>176293.81</v>
      </c>
      <c r="S517" s="17"/>
    </row>
    <row r="518" spans="1:19" x14ac:dyDescent="0.4">
      <c r="A518">
        <v>3504059</v>
      </c>
      <c r="B518" s="15">
        <v>56</v>
      </c>
      <c r="C518" s="12" t="s">
        <v>122</v>
      </c>
      <c r="D518" s="12" t="s">
        <v>135</v>
      </c>
      <c r="E518" s="12" t="s">
        <v>152</v>
      </c>
      <c r="F518" s="12" t="s">
        <v>159</v>
      </c>
      <c r="G518" s="14">
        <f t="shared" ca="1" si="7"/>
        <v>30551.54119835181</v>
      </c>
      <c r="H518" s="12" t="s">
        <v>172</v>
      </c>
      <c r="I518">
        <v>0</v>
      </c>
      <c r="J518">
        <v>40</v>
      </c>
      <c r="K518" s="12" t="s">
        <v>176</v>
      </c>
      <c r="L518">
        <v>0</v>
      </c>
      <c r="M518">
        <v>0</v>
      </c>
      <c r="O518" s="39"/>
      <c r="P518" s="15">
        <v>17996.830000000002</v>
      </c>
      <c r="S518" s="17"/>
    </row>
    <row r="519" spans="1:19" x14ac:dyDescent="0.4">
      <c r="A519">
        <v>3504293</v>
      </c>
      <c r="B519" s="16">
        <v>30</v>
      </c>
      <c r="C519" s="12" t="s">
        <v>122</v>
      </c>
      <c r="D519" s="12" t="s">
        <v>133</v>
      </c>
      <c r="E519" s="12" t="s">
        <v>150</v>
      </c>
      <c r="F519" s="12" t="s">
        <v>163</v>
      </c>
      <c r="G519" s="14">
        <f t="shared" ca="1" si="7"/>
        <v>182767.69042279903</v>
      </c>
      <c r="H519" s="12" t="s">
        <v>171</v>
      </c>
      <c r="I519">
        <v>0</v>
      </c>
      <c r="J519">
        <v>40</v>
      </c>
      <c r="K519" s="12" t="s">
        <v>176</v>
      </c>
      <c r="L519">
        <v>0</v>
      </c>
      <c r="M519">
        <v>0</v>
      </c>
      <c r="O519" s="39"/>
      <c r="P519" s="16">
        <v>122219.74</v>
      </c>
      <c r="S519" s="17"/>
    </row>
    <row r="520" spans="1:19" x14ac:dyDescent="0.4">
      <c r="A520">
        <v>3506810</v>
      </c>
      <c r="B520" s="15">
        <v>19</v>
      </c>
      <c r="C520" s="12" t="s">
        <v>122</v>
      </c>
      <c r="D520" s="12" t="s">
        <v>132</v>
      </c>
      <c r="E520" s="12" t="s">
        <v>150</v>
      </c>
      <c r="F520" s="12" t="s">
        <v>159</v>
      </c>
      <c r="G520" s="14">
        <f t="shared" ca="1" si="7"/>
        <v>312946.26416940073</v>
      </c>
      <c r="H520" s="12" t="s">
        <v>172</v>
      </c>
      <c r="I520">
        <v>0</v>
      </c>
      <c r="J520">
        <v>40</v>
      </c>
      <c r="K520" s="12" t="s">
        <v>176</v>
      </c>
      <c r="L520">
        <v>0</v>
      </c>
      <c r="M520">
        <v>0</v>
      </c>
      <c r="O520" s="39"/>
      <c r="P520" s="15">
        <v>222208.64000000001</v>
      </c>
      <c r="S520" s="17"/>
    </row>
    <row r="521" spans="1:19" x14ac:dyDescent="0.4">
      <c r="A521">
        <v>3507780</v>
      </c>
      <c r="B521" s="16">
        <v>32</v>
      </c>
      <c r="C521" s="12" t="s">
        <v>122</v>
      </c>
      <c r="D521" s="12" t="s">
        <v>135</v>
      </c>
      <c r="E521" s="12" t="s">
        <v>152</v>
      </c>
      <c r="F521" s="12" t="s">
        <v>162</v>
      </c>
      <c r="G521" s="14">
        <f t="shared" ca="1" si="7"/>
        <v>120361.01073355884</v>
      </c>
      <c r="H521" s="12" t="s">
        <v>172</v>
      </c>
      <c r="I521">
        <v>0</v>
      </c>
      <c r="J521">
        <v>50</v>
      </c>
      <c r="K521" s="12" t="s">
        <v>176</v>
      </c>
      <c r="L521">
        <v>15024</v>
      </c>
      <c r="M521">
        <v>1</v>
      </c>
      <c r="O521" s="39"/>
      <c r="P521" s="16">
        <v>66145.39</v>
      </c>
      <c r="S521" s="17"/>
    </row>
    <row r="522" spans="1:19" x14ac:dyDescent="0.4">
      <c r="A522">
        <v>3508315</v>
      </c>
      <c r="B522" s="15">
        <v>37</v>
      </c>
      <c r="C522" s="12" t="s">
        <v>122</v>
      </c>
      <c r="D522" s="12" t="s">
        <v>134</v>
      </c>
      <c r="E522" s="12" t="s">
        <v>152</v>
      </c>
      <c r="F522" s="12" t="s">
        <v>162</v>
      </c>
      <c r="G522" s="14">
        <f t="shared" ca="1" si="7"/>
        <v>41748.745570142775</v>
      </c>
      <c r="H522" s="12" t="s">
        <v>172</v>
      </c>
      <c r="I522">
        <v>0</v>
      </c>
      <c r="J522">
        <v>50</v>
      </c>
      <c r="K522" s="12" t="s">
        <v>176</v>
      </c>
      <c r="L522">
        <v>0</v>
      </c>
      <c r="M522">
        <v>0</v>
      </c>
      <c r="O522" s="39"/>
      <c r="P522" s="15">
        <v>38208.31</v>
      </c>
      <c r="S522" s="17"/>
    </row>
    <row r="523" spans="1:19" x14ac:dyDescent="0.4">
      <c r="A523">
        <v>3513078</v>
      </c>
      <c r="B523" s="16">
        <v>44</v>
      </c>
      <c r="C523" s="12" t="s">
        <v>124</v>
      </c>
      <c r="D523" s="12" t="s">
        <v>132</v>
      </c>
      <c r="E523" s="12" t="s">
        <v>152</v>
      </c>
      <c r="F523" s="12" t="s">
        <v>159</v>
      </c>
      <c r="G523" s="14">
        <f t="shared" ref="G523:G586" ca="1" si="8">P523*(1+RAND())</f>
        <v>51687.656421761196</v>
      </c>
      <c r="H523" s="12" t="s">
        <v>172</v>
      </c>
      <c r="I523">
        <v>0</v>
      </c>
      <c r="J523">
        <v>58</v>
      </c>
      <c r="K523" s="12" t="s">
        <v>176</v>
      </c>
      <c r="L523">
        <v>12194</v>
      </c>
      <c r="M523">
        <v>1</v>
      </c>
      <c r="O523" s="39"/>
      <c r="P523" s="16">
        <v>30138.02</v>
      </c>
      <c r="S523" s="17"/>
    </row>
    <row r="524" spans="1:19" x14ac:dyDescent="0.4">
      <c r="A524">
        <v>3515442</v>
      </c>
      <c r="B524" s="15">
        <v>44</v>
      </c>
      <c r="C524" s="12" t="s">
        <v>127</v>
      </c>
      <c r="D524" s="12" t="s">
        <v>135</v>
      </c>
      <c r="E524" s="12" t="s">
        <v>152</v>
      </c>
      <c r="F524" s="12" t="s">
        <v>160</v>
      </c>
      <c r="G524" s="14">
        <f t="shared" ca="1" si="8"/>
        <v>56217.570618952224</v>
      </c>
      <c r="H524" s="12" t="s">
        <v>172</v>
      </c>
      <c r="I524">
        <v>0</v>
      </c>
      <c r="J524">
        <v>48</v>
      </c>
      <c r="K524" s="12" t="s">
        <v>176</v>
      </c>
      <c r="L524">
        <v>0</v>
      </c>
      <c r="M524">
        <v>0</v>
      </c>
      <c r="O524" s="39"/>
      <c r="P524" s="15">
        <v>48292.14</v>
      </c>
      <c r="S524" s="17"/>
    </row>
    <row r="525" spans="1:19" x14ac:dyDescent="0.4">
      <c r="A525">
        <v>3525618</v>
      </c>
      <c r="B525" s="16">
        <v>26</v>
      </c>
      <c r="C525" s="12" t="s">
        <v>122</v>
      </c>
      <c r="D525" s="12" t="s">
        <v>135</v>
      </c>
      <c r="E525" s="12" t="s">
        <v>150</v>
      </c>
      <c r="F525" s="12" t="s">
        <v>156</v>
      </c>
      <c r="G525" s="14">
        <f t="shared" ca="1" si="8"/>
        <v>129016.17554781568</v>
      </c>
      <c r="H525" s="12" t="s">
        <v>172</v>
      </c>
      <c r="I525">
        <v>0</v>
      </c>
      <c r="J525">
        <v>30</v>
      </c>
      <c r="K525" s="12" t="s">
        <v>176</v>
      </c>
      <c r="L525">
        <v>0</v>
      </c>
      <c r="M525">
        <v>0</v>
      </c>
      <c r="O525" s="39"/>
      <c r="P525" s="16">
        <v>67468.36</v>
      </c>
      <c r="S525" s="17"/>
    </row>
    <row r="526" spans="1:19" x14ac:dyDescent="0.4">
      <c r="A526">
        <v>3536933</v>
      </c>
      <c r="B526" s="15">
        <v>40</v>
      </c>
      <c r="C526" s="12" t="s">
        <v>122</v>
      </c>
      <c r="D526" s="12" t="s">
        <v>139</v>
      </c>
      <c r="E526" s="12" t="s">
        <v>151</v>
      </c>
      <c r="F526" s="12" t="s">
        <v>156</v>
      </c>
      <c r="G526" s="14">
        <f t="shared" ca="1" si="8"/>
        <v>157210.60287294444</v>
      </c>
      <c r="H526" s="12" t="s">
        <v>171</v>
      </c>
      <c r="I526">
        <v>0</v>
      </c>
      <c r="J526">
        <v>20</v>
      </c>
      <c r="K526" s="12" t="s">
        <v>176</v>
      </c>
      <c r="L526">
        <v>0</v>
      </c>
      <c r="M526">
        <v>0</v>
      </c>
      <c r="O526" s="39"/>
      <c r="P526" s="15">
        <v>136995.17000000001</v>
      </c>
      <c r="S526" s="17"/>
    </row>
    <row r="527" spans="1:19" x14ac:dyDescent="0.4">
      <c r="A527">
        <v>3537551</v>
      </c>
      <c r="B527" s="16">
        <v>41</v>
      </c>
      <c r="C527" s="12" t="s">
        <v>124</v>
      </c>
      <c r="D527" s="12" t="s">
        <v>134</v>
      </c>
      <c r="E527" s="12" t="s">
        <v>152</v>
      </c>
      <c r="F527" s="12" t="s">
        <v>159</v>
      </c>
      <c r="G527" s="14">
        <f t="shared" ca="1" si="8"/>
        <v>10335.781484615645</v>
      </c>
      <c r="H527" s="12" t="s">
        <v>172</v>
      </c>
      <c r="I527">
        <v>0</v>
      </c>
      <c r="J527">
        <v>40</v>
      </c>
      <c r="K527" s="12" t="s">
        <v>176</v>
      </c>
      <c r="L527">
        <v>0</v>
      </c>
      <c r="M527">
        <v>0</v>
      </c>
      <c r="O527" s="39"/>
      <c r="P527" s="16">
        <v>7933.4</v>
      </c>
      <c r="S527" s="17"/>
    </row>
    <row r="528" spans="1:19" x14ac:dyDescent="0.4">
      <c r="A528">
        <v>3543518</v>
      </c>
      <c r="B528" s="15">
        <v>30</v>
      </c>
      <c r="C528" s="12" t="s">
        <v>122</v>
      </c>
      <c r="D528" s="12" t="s">
        <v>134</v>
      </c>
      <c r="E528" s="12" t="s">
        <v>152</v>
      </c>
      <c r="F528" s="12" t="s">
        <v>161</v>
      </c>
      <c r="G528" s="14">
        <f t="shared" ca="1" si="8"/>
        <v>84855.795527611801</v>
      </c>
      <c r="H528" s="12" t="s">
        <v>172</v>
      </c>
      <c r="I528">
        <v>0</v>
      </c>
      <c r="J528">
        <v>40</v>
      </c>
      <c r="K528" s="12" t="s">
        <v>176</v>
      </c>
      <c r="L528">
        <v>0</v>
      </c>
      <c r="M528">
        <v>0</v>
      </c>
      <c r="O528" s="39"/>
      <c r="P528" s="15">
        <v>42654.080000000002</v>
      </c>
      <c r="S528" s="17"/>
    </row>
    <row r="529" spans="1:19" x14ac:dyDescent="0.4">
      <c r="A529">
        <v>3547190</v>
      </c>
      <c r="B529" s="16">
        <v>24</v>
      </c>
      <c r="C529" s="12" t="s">
        <v>127</v>
      </c>
      <c r="D529" s="12" t="s">
        <v>135</v>
      </c>
      <c r="E529" s="12" t="s">
        <v>150</v>
      </c>
      <c r="F529" s="12" t="s">
        <v>144</v>
      </c>
      <c r="G529" s="14">
        <f t="shared" ca="1" si="8"/>
        <v>61470.605429921459</v>
      </c>
      <c r="H529" s="12" t="s">
        <v>172</v>
      </c>
      <c r="I529">
        <v>1160.6666666666699</v>
      </c>
      <c r="J529">
        <v>45</v>
      </c>
      <c r="K529" s="12" t="s">
        <v>176</v>
      </c>
      <c r="L529">
        <v>0</v>
      </c>
      <c r="M529">
        <v>0</v>
      </c>
      <c r="O529" s="39"/>
      <c r="P529" s="16">
        <v>60796.94</v>
      </c>
      <c r="S529" s="17"/>
    </row>
    <row r="530" spans="1:19" x14ac:dyDescent="0.4">
      <c r="A530">
        <v>3551522</v>
      </c>
      <c r="B530" s="15">
        <v>25</v>
      </c>
      <c r="C530" s="12" t="s">
        <v>122</v>
      </c>
      <c r="D530" s="12" t="s">
        <v>133</v>
      </c>
      <c r="E530" s="12" t="s">
        <v>150</v>
      </c>
      <c r="F530" s="12" t="s">
        <v>163</v>
      </c>
      <c r="G530" s="14">
        <f t="shared" ca="1" si="8"/>
        <v>94735.913193074302</v>
      </c>
      <c r="H530" s="12" t="s">
        <v>172</v>
      </c>
      <c r="I530">
        <v>0</v>
      </c>
      <c r="J530">
        <v>30</v>
      </c>
      <c r="K530" s="12" t="s">
        <v>176</v>
      </c>
      <c r="L530">
        <v>0</v>
      </c>
      <c r="M530">
        <v>0</v>
      </c>
      <c r="O530" s="39"/>
      <c r="P530" s="15">
        <v>59720.41</v>
      </c>
      <c r="S530" s="17"/>
    </row>
    <row r="531" spans="1:19" x14ac:dyDescent="0.4">
      <c r="A531">
        <v>3551532</v>
      </c>
      <c r="B531" s="16">
        <v>25</v>
      </c>
      <c r="C531" s="12" t="s">
        <v>122</v>
      </c>
      <c r="D531" s="12" t="s">
        <v>135</v>
      </c>
      <c r="E531" s="12" t="s">
        <v>150</v>
      </c>
      <c r="F531" s="12" t="s">
        <v>158</v>
      </c>
      <c r="G531" s="14">
        <f t="shared" ca="1" si="8"/>
        <v>45000.910811594738</v>
      </c>
      <c r="H531" s="12" t="s">
        <v>171</v>
      </c>
      <c r="I531">
        <v>0</v>
      </c>
      <c r="J531">
        <v>40</v>
      </c>
      <c r="K531" s="12" t="s">
        <v>176</v>
      </c>
      <c r="L531">
        <v>0</v>
      </c>
      <c r="M531">
        <v>0</v>
      </c>
      <c r="O531" s="39"/>
      <c r="P531" s="16">
        <v>36729.360000000001</v>
      </c>
      <c r="S531" s="17"/>
    </row>
    <row r="532" spans="1:19" x14ac:dyDescent="0.4">
      <c r="A532">
        <v>3554427</v>
      </c>
      <c r="B532" s="15">
        <v>24</v>
      </c>
      <c r="C532" s="12" t="s">
        <v>122</v>
      </c>
      <c r="D532" s="12" t="s">
        <v>132</v>
      </c>
      <c r="E532" s="12" t="s">
        <v>151</v>
      </c>
      <c r="F532" s="12" t="s">
        <v>158</v>
      </c>
      <c r="G532" s="14">
        <f t="shared" ca="1" si="8"/>
        <v>119085.1120733171</v>
      </c>
      <c r="H532" s="12" t="s">
        <v>171</v>
      </c>
      <c r="I532">
        <v>0</v>
      </c>
      <c r="J532">
        <v>40</v>
      </c>
      <c r="K532" s="12" t="s">
        <v>176</v>
      </c>
      <c r="L532">
        <v>0</v>
      </c>
      <c r="M532">
        <v>0</v>
      </c>
      <c r="O532" s="39"/>
      <c r="P532" s="15">
        <v>117086.88</v>
      </c>
      <c r="S532" s="17"/>
    </row>
    <row r="533" spans="1:19" x14ac:dyDescent="0.4">
      <c r="A533">
        <v>3557118</v>
      </c>
      <c r="B533" s="16">
        <v>42</v>
      </c>
      <c r="C533" s="12" t="s">
        <v>122</v>
      </c>
      <c r="D533" s="12" t="s">
        <v>132</v>
      </c>
      <c r="E533" s="12" t="s">
        <v>152</v>
      </c>
      <c r="F533" s="12" t="s">
        <v>162</v>
      </c>
      <c r="G533" s="14">
        <f t="shared" ca="1" si="8"/>
        <v>34405.699166206963</v>
      </c>
      <c r="H533" s="12" t="s">
        <v>172</v>
      </c>
      <c r="I533">
        <v>0</v>
      </c>
      <c r="J533">
        <v>50</v>
      </c>
      <c r="K533" s="12" t="s">
        <v>176</v>
      </c>
      <c r="L533">
        <v>3435</v>
      </c>
      <c r="M533">
        <v>1</v>
      </c>
      <c r="O533" s="39"/>
      <c r="P533" s="16">
        <v>33975.919999999998</v>
      </c>
      <c r="S533" s="17"/>
    </row>
    <row r="534" spans="1:19" x14ac:dyDescent="0.4">
      <c r="A534">
        <v>3566985</v>
      </c>
      <c r="B534" s="15">
        <v>18</v>
      </c>
      <c r="C534" s="12" t="s">
        <v>122</v>
      </c>
      <c r="D534" s="12" t="s">
        <v>134</v>
      </c>
      <c r="E534" s="12" t="s">
        <v>150</v>
      </c>
      <c r="F534" s="12" t="s">
        <v>162</v>
      </c>
      <c r="G534" s="14">
        <f t="shared" ca="1" si="8"/>
        <v>112162.34887149367</v>
      </c>
      <c r="H534" s="12" t="s">
        <v>171</v>
      </c>
      <c r="I534">
        <v>1068</v>
      </c>
      <c r="J534">
        <v>20</v>
      </c>
      <c r="K534" s="12" t="s">
        <v>176</v>
      </c>
      <c r="L534">
        <v>0</v>
      </c>
      <c r="M534">
        <v>0</v>
      </c>
      <c r="O534" s="39"/>
      <c r="P534" s="15">
        <v>109846.82</v>
      </c>
      <c r="S534" s="17"/>
    </row>
    <row r="535" spans="1:19" x14ac:dyDescent="0.4">
      <c r="A535">
        <v>3570983</v>
      </c>
      <c r="B535" s="16">
        <v>32</v>
      </c>
      <c r="C535" s="12" t="s">
        <v>123</v>
      </c>
      <c r="D535" s="12" t="s">
        <v>134</v>
      </c>
      <c r="E535" s="12" t="s">
        <v>152</v>
      </c>
      <c r="F535" s="12" t="s">
        <v>156</v>
      </c>
      <c r="G535" s="14">
        <f t="shared" ca="1" si="8"/>
        <v>177381.61961196549</v>
      </c>
      <c r="H535" s="12" t="s">
        <v>171</v>
      </c>
      <c r="I535">
        <v>0</v>
      </c>
      <c r="J535">
        <v>5</v>
      </c>
      <c r="K535" s="12" t="s">
        <v>129</v>
      </c>
      <c r="L535">
        <v>0</v>
      </c>
      <c r="M535">
        <v>0</v>
      </c>
      <c r="O535" s="39"/>
      <c r="P535" s="16">
        <v>89398.02</v>
      </c>
      <c r="S535" s="17"/>
    </row>
    <row r="536" spans="1:19" x14ac:dyDescent="0.4">
      <c r="A536">
        <v>3581514</v>
      </c>
      <c r="B536" s="15">
        <v>34</v>
      </c>
      <c r="C536" s="12" t="s">
        <v>122</v>
      </c>
      <c r="D536" s="12" t="s">
        <v>134</v>
      </c>
      <c r="E536" s="12" t="s">
        <v>151</v>
      </c>
      <c r="F536" s="12" t="s">
        <v>158</v>
      </c>
      <c r="G536" s="14">
        <f t="shared" ca="1" si="8"/>
        <v>165467.76528823288</v>
      </c>
      <c r="H536" s="12" t="s">
        <v>171</v>
      </c>
      <c r="I536">
        <v>0</v>
      </c>
      <c r="J536">
        <v>35</v>
      </c>
      <c r="K536" s="12" t="s">
        <v>176</v>
      </c>
      <c r="L536">
        <v>0</v>
      </c>
      <c r="M536">
        <v>0</v>
      </c>
      <c r="O536" s="39"/>
      <c r="P536" s="15">
        <v>147538.87</v>
      </c>
      <c r="S536" s="17"/>
    </row>
    <row r="537" spans="1:19" x14ac:dyDescent="0.4">
      <c r="A537">
        <v>3589428</v>
      </c>
      <c r="B537" s="16">
        <v>24</v>
      </c>
      <c r="C537" s="12" t="s">
        <v>122</v>
      </c>
      <c r="D537" s="12" t="s">
        <v>135</v>
      </c>
      <c r="E537" s="12" t="s">
        <v>152</v>
      </c>
      <c r="F537" s="12" t="s">
        <v>160</v>
      </c>
      <c r="G537" s="14">
        <f t="shared" ca="1" si="8"/>
        <v>295340.97040776472</v>
      </c>
      <c r="H537" s="12" t="s">
        <v>171</v>
      </c>
      <c r="I537">
        <v>0</v>
      </c>
      <c r="J537">
        <v>45</v>
      </c>
      <c r="K537" s="12" t="s">
        <v>176</v>
      </c>
      <c r="L537">
        <v>7688</v>
      </c>
      <c r="M537">
        <v>1</v>
      </c>
      <c r="O537" s="39"/>
      <c r="P537" s="16">
        <v>166052.51999999999</v>
      </c>
      <c r="S537" s="17"/>
    </row>
    <row r="538" spans="1:19" x14ac:dyDescent="0.4">
      <c r="A538">
        <v>3593313</v>
      </c>
      <c r="B538" s="15">
        <v>39</v>
      </c>
      <c r="C538" s="12" t="s">
        <v>122</v>
      </c>
      <c r="D538" s="12" t="s">
        <v>144</v>
      </c>
      <c r="E538" s="12" t="s">
        <v>151</v>
      </c>
      <c r="F538" s="12" t="s">
        <v>144</v>
      </c>
      <c r="G538" s="14">
        <f t="shared" ca="1" si="8"/>
        <v>127191.92214772798</v>
      </c>
      <c r="H538" s="12" t="s">
        <v>172</v>
      </c>
      <c r="I538">
        <v>0</v>
      </c>
      <c r="J538">
        <v>70</v>
      </c>
      <c r="K538" s="12" t="s">
        <v>176</v>
      </c>
      <c r="L538">
        <v>7742</v>
      </c>
      <c r="M538">
        <v>1</v>
      </c>
      <c r="O538" s="39"/>
      <c r="P538" s="15">
        <v>70847.77</v>
      </c>
      <c r="S538" s="17"/>
    </row>
    <row r="539" spans="1:19" x14ac:dyDescent="0.4">
      <c r="A539">
        <v>3598597</v>
      </c>
      <c r="B539" s="16">
        <v>32</v>
      </c>
      <c r="C539" s="12" t="s">
        <v>122</v>
      </c>
      <c r="D539" s="12" t="s">
        <v>132</v>
      </c>
      <c r="E539" s="12" t="s">
        <v>151</v>
      </c>
      <c r="F539" s="12" t="s">
        <v>144</v>
      </c>
      <c r="G539" s="14">
        <f t="shared" ca="1" si="8"/>
        <v>156949.67575907547</v>
      </c>
      <c r="H539" s="12" t="s">
        <v>171</v>
      </c>
      <c r="I539">
        <v>0</v>
      </c>
      <c r="J539">
        <v>30</v>
      </c>
      <c r="K539" s="12" t="s">
        <v>176</v>
      </c>
      <c r="L539">
        <v>0</v>
      </c>
      <c r="M539">
        <v>0</v>
      </c>
      <c r="O539" s="39"/>
      <c r="P539" s="16">
        <v>91745.36</v>
      </c>
      <c r="S539" s="17"/>
    </row>
    <row r="540" spans="1:19" x14ac:dyDescent="0.4">
      <c r="A540">
        <v>3605760</v>
      </c>
      <c r="B540" s="15">
        <v>27</v>
      </c>
      <c r="C540" s="12" t="s">
        <v>122</v>
      </c>
      <c r="D540" s="12" t="s">
        <v>132</v>
      </c>
      <c r="E540" s="12" t="s">
        <v>150</v>
      </c>
      <c r="F540" s="12" t="s">
        <v>158</v>
      </c>
      <c r="G540" s="14">
        <f t="shared" ca="1" si="8"/>
        <v>59001.20573312114</v>
      </c>
      <c r="H540" s="12" t="s">
        <v>171</v>
      </c>
      <c r="I540">
        <v>0</v>
      </c>
      <c r="J540">
        <v>40</v>
      </c>
      <c r="K540" s="12" t="s">
        <v>176</v>
      </c>
      <c r="L540">
        <v>0</v>
      </c>
      <c r="M540">
        <v>0</v>
      </c>
      <c r="O540" s="39"/>
      <c r="P540" s="15">
        <v>44527.23</v>
      </c>
      <c r="S540" s="17"/>
    </row>
    <row r="541" spans="1:19" x14ac:dyDescent="0.4">
      <c r="A541">
        <v>3609988</v>
      </c>
      <c r="B541" s="16">
        <v>25</v>
      </c>
      <c r="C541" s="12" t="s">
        <v>122</v>
      </c>
      <c r="D541" s="12" t="s">
        <v>132</v>
      </c>
      <c r="E541" s="12" t="s">
        <v>152</v>
      </c>
      <c r="F541" s="12" t="s">
        <v>158</v>
      </c>
      <c r="G541" s="14">
        <f t="shared" ca="1" si="8"/>
        <v>248912.56203385425</v>
      </c>
      <c r="H541" s="12" t="s">
        <v>171</v>
      </c>
      <c r="I541">
        <v>0</v>
      </c>
      <c r="J541">
        <v>56</v>
      </c>
      <c r="K541" s="12" t="s">
        <v>176</v>
      </c>
      <c r="L541">
        <v>17568</v>
      </c>
      <c r="M541">
        <v>1</v>
      </c>
      <c r="O541" s="39"/>
      <c r="P541" s="16">
        <v>177114.9</v>
      </c>
      <c r="S541" s="17"/>
    </row>
    <row r="542" spans="1:19" x14ac:dyDescent="0.4">
      <c r="A542">
        <v>3611698</v>
      </c>
      <c r="B542" s="15">
        <v>17</v>
      </c>
      <c r="C542" s="12" t="s">
        <v>122</v>
      </c>
      <c r="D542" s="12" t="s">
        <v>139</v>
      </c>
      <c r="E542" s="12" t="s">
        <v>150</v>
      </c>
      <c r="F542" s="12" t="s">
        <v>167</v>
      </c>
      <c r="G542" s="14">
        <f t="shared" ca="1" si="8"/>
        <v>200543.35644910857</v>
      </c>
      <c r="H542" s="12" t="s">
        <v>171</v>
      </c>
      <c r="I542">
        <v>0</v>
      </c>
      <c r="J542">
        <v>20</v>
      </c>
      <c r="K542" s="12" t="s">
        <v>176</v>
      </c>
      <c r="L542">
        <v>0</v>
      </c>
      <c r="M542">
        <v>0</v>
      </c>
      <c r="O542" s="39"/>
      <c r="P542" s="15">
        <v>115060.52</v>
      </c>
      <c r="S542" s="17"/>
    </row>
    <row r="543" spans="1:19" x14ac:dyDescent="0.4">
      <c r="A543">
        <v>3613313</v>
      </c>
      <c r="B543" s="16">
        <v>43</v>
      </c>
      <c r="C543" s="12" t="s">
        <v>122</v>
      </c>
      <c r="D543" s="12" t="s">
        <v>134</v>
      </c>
      <c r="E543" s="12" t="s">
        <v>153</v>
      </c>
      <c r="F543" s="12" t="s">
        <v>161</v>
      </c>
      <c r="G543" s="14">
        <f t="shared" ca="1" si="8"/>
        <v>53495.944281188502</v>
      </c>
      <c r="H543" s="12" t="s">
        <v>171</v>
      </c>
      <c r="I543">
        <v>0</v>
      </c>
      <c r="J543">
        <v>60</v>
      </c>
      <c r="K543" s="12" t="s">
        <v>176</v>
      </c>
      <c r="L543">
        <v>0</v>
      </c>
      <c r="M543">
        <v>0</v>
      </c>
      <c r="O543" s="39"/>
      <c r="P543" s="16">
        <v>51288.14</v>
      </c>
      <c r="S543" s="17"/>
    </row>
    <row r="544" spans="1:19" x14ac:dyDescent="0.4">
      <c r="A544">
        <v>3630600</v>
      </c>
      <c r="B544" s="15">
        <v>59</v>
      </c>
      <c r="C544" s="12" t="s">
        <v>122</v>
      </c>
      <c r="D544" s="12" t="s">
        <v>132</v>
      </c>
      <c r="E544" s="12" t="s">
        <v>150</v>
      </c>
      <c r="F544" s="12" t="s">
        <v>158</v>
      </c>
      <c r="G544" s="14">
        <f t="shared" ca="1" si="8"/>
        <v>285613.64768439357</v>
      </c>
      <c r="H544" s="12" t="s">
        <v>171</v>
      </c>
      <c r="I544">
        <v>0</v>
      </c>
      <c r="J544">
        <v>34</v>
      </c>
      <c r="K544" s="12" t="s">
        <v>176</v>
      </c>
      <c r="L544">
        <v>0</v>
      </c>
      <c r="M544">
        <v>0</v>
      </c>
      <c r="O544" s="39"/>
      <c r="P544" s="15">
        <v>154292.88</v>
      </c>
      <c r="S544" s="17"/>
    </row>
    <row r="545" spans="1:19" x14ac:dyDescent="0.4">
      <c r="A545">
        <v>3634964</v>
      </c>
      <c r="B545" s="16">
        <v>23</v>
      </c>
      <c r="C545" s="12" t="s">
        <v>122</v>
      </c>
      <c r="D545" s="12" t="s">
        <v>132</v>
      </c>
      <c r="E545" s="12" t="s">
        <v>150</v>
      </c>
      <c r="F545" s="12" t="s">
        <v>156</v>
      </c>
      <c r="G545" s="14">
        <f t="shared" ca="1" si="8"/>
        <v>118750.24352605989</v>
      </c>
      <c r="H545" s="12" t="s">
        <v>172</v>
      </c>
      <c r="I545">
        <v>0</v>
      </c>
      <c r="J545">
        <v>40</v>
      </c>
      <c r="K545" s="12" t="s">
        <v>176</v>
      </c>
      <c r="L545">
        <v>0</v>
      </c>
      <c r="M545">
        <v>0</v>
      </c>
      <c r="O545" s="39"/>
      <c r="P545" s="16">
        <v>88744.88</v>
      </c>
      <c r="S545" s="17"/>
    </row>
    <row r="546" spans="1:19" x14ac:dyDescent="0.4">
      <c r="A546">
        <v>3643955</v>
      </c>
      <c r="B546" s="15">
        <v>48</v>
      </c>
      <c r="C546" s="12" t="s">
        <v>129</v>
      </c>
      <c r="D546" s="12" t="s">
        <v>132</v>
      </c>
      <c r="E546" s="12" t="s">
        <v>152</v>
      </c>
      <c r="F546" s="12" t="s">
        <v>129</v>
      </c>
      <c r="G546" s="14">
        <f t="shared" ca="1" si="8"/>
        <v>36016.32034389484</v>
      </c>
      <c r="H546" s="12" t="s">
        <v>172</v>
      </c>
      <c r="I546">
        <v>0</v>
      </c>
      <c r="J546">
        <v>40</v>
      </c>
      <c r="K546" s="12" t="s">
        <v>129</v>
      </c>
      <c r="L546">
        <v>7217</v>
      </c>
      <c r="M546">
        <v>1</v>
      </c>
      <c r="O546" s="39"/>
      <c r="P546" s="15">
        <v>27415.4</v>
      </c>
      <c r="S546" s="17"/>
    </row>
    <row r="547" spans="1:19" x14ac:dyDescent="0.4">
      <c r="A547">
        <v>3647630</v>
      </c>
      <c r="B547" s="16">
        <v>46</v>
      </c>
      <c r="C547" s="12" t="s">
        <v>125</v>
      </c>
      <c r="D547" s="12" t="s">
        <v>135</v>
      </c>
      <c r="E547" s="12" t="s">
        <v>150</v>
      </c>
      <c r="F547" s="12" t="s">
        <v>144</v>
      </c>
      <c r="G547" s="14">
        <f t="shared" ca="1" si="8"/>
        <v>101473.32601817323</v>
      </c>
      <c r="H547" s="12" t="s">
        <v>171</v>
      </c>
      <c r="I547">
        <v>0</v>
      </c>
      <c r="J547">
        <v>40</v>
      </c>
      <c r="K547" s="12" t="s">
        <v>176</v>
      </c>
      <c r="L547">
        <v>0</v>
      </c>
      <c r="M547">
        <v>0</v>
      </c>
      <c r="O547" s="39"/>
      <c r="P547" s="16">
        <v>62609.31</v>
      </c>
      <c r="S547" s="17"/>
    </row>
    <row r="548" spans="1:19" x14ac:dyDescent="0.4">
      <c r="A548">
        <v>3650188</v>
      </c>
      <c r="B548" s="15">
        <v>45</v>
      </c>
      <c r="C548" s="12" t="s">
        <v>122</v>
      </c>
      <c r="D548" s="12" t="s">
        <v>135</v>
      </c>
      <c r="E548" s="12" t="s">
        <v>152</v>
      </c>
      <c r="F548" s="12" t="s">
        <v>160</v>
      </c>
      <c r="G548" s="14">
        <f t="shared" ca="1" si="8"/>
        <v>72391.190823595753</v>
      </c>
      <c r="H548" s="12" t="s">
        <v>172</v>
      </c>
      <c r="I548">
        <v>0</v>
      </c>
      <c r="J548">
        <v>50</v>
      </c>
      <c r="K548" s="12" t="s">
        <v>176</v>
      </c>
      <c r="L548">
        <v>18513</v>
      </c>
      <c r="M548">
        <v>1</v>
      </c>
      <c r="O548" s="39"/>
      <c r="P548" s="15">
        <v>40475.97</v>
      </c>
      <c r="S548" s="17"/>
    </row>
    <row r="549" spans="1:19" x14ac:dyDescent="0.4">
      <c r="A549">
        <v>3656868</v>
      </c>
      <c r="B549" s="16">
        <v>35</v>
      </c>
      <c r="C549" s="12" t="s">
        <v>123</v>
      </c>
      <c r="D549" s="12" t="s">
        <v>144</v>
      </c>
      <c r="E549" s="12" t="s">
        <v>152</v>
      </c>
      <c r="F549" s="12" t="s">
        <v>144</v>
      </c>
      <c r="G549" s="14">
        <f t="shared" ca="1" si="8"/>
        <v>31666.448956927128</v>
      </c>
      <c r="H549" s="12" t="s">
        <v>172</v>
      </c>
      <c r="I549">
        <v>0</v>
      </c>
      <c r="J549">
        <v>50</v>
      </c>
      <c r="K549" s="12" t="s">
        <v>176</v>
      </c>
      <c r="L549">
        <v>8436</v>
      </c>
      <c r="M549">
        <v>1</v>
      </c>
      <c r="O549" s="39"/>
      <c r="P549" s="16">
        <v>24147.69</v>
      </c>
      <c r="S549" s="17"/>
    </row>
    <row r="550" spans="1:19" x14ac:dyDescent="0.4">
      <c r="A550">
        <v>3663663</v>
      </c>
      <c r="B550" s="15">
        <v>38</v>
      </c>
      <c r="C550" s="12" t="s">
        <v>122</v>
      </c>
      <c r="D550" s="12" t="s">
        <v>132</v>
      </c>
      <c r="E550" s="12" t="s">
        <v>152</v>
      </c>
      <c r="F550" s="12" t="s">
        <v>159</v>
      </c>
      <c r="G550" s="14">
        <f t="shared" ca="1" si="8"/>
        <v>11579.45081123521</v>
      </c>
      <c r="H550" s="12" t="s">
        <v>172</v>
      </c>
      <c r="I550">
        <v>0</v>
      </c>
      <c r="J550">
        <v>40</v>
      </c>
      <c r="K550" s="12" t="s">
        <v>176</v>
      </c>
      <c r="L550">
        <v>0</v>
      </c>
      <c r="M550">
        <v>0</v>
      </c>
      <c r="O550" s="39"/>
      <c r="P550" s="15">
        <v>7147.78</v>
      </c>
      <c r="S550" s="17"/>
    </row>
    <row r="551" spans="1:19" x14ac:dyDescent="0.4">
      <c r="A551">
        <v>3665288</v>
      </c>
      <c r="B551" s="16">
        <v>25</v>
      </c>
      <c r="C551" s="12" t="s">
        <v>122</v>
      </c>
      <c r="D551" s="12" t="s">
        <v>135</v>
      </c>
      <c r="E551" s="12" t="s">
        <v>150</v>
      </c>
      <c r="F551" s="12" t="s">
        <v>163</v>
      </c>
      <c r="G551" s="14">
        <f t="shared" ca="1" si="8"/>
        <v>377488.95026583632</v>
      </c>
      <c r="H551" s="12" t="s">
        <v>172</v>
      </c>
      <c r="I551">
        <v>0</v>
      </c>
      <c r="J551">
        <v>40</v>
      </c>
      <c r="K551" s="12" t="s">
        <v>176</v>
      </c>
      <c r="L551">
        <v>0</v>
      </c>
      <c r="M551">
        <v>0</v>
      </c>
      <c r="O551" s="39"/>
      <c r="P551" s="16">
        <v>189962.59</v>
      </c>
      <c r="S551" s="17"/>
    </row>
    <row r="552" spans="1:19" x14ac:dyDescent="0.4">
      <c r="A552">
        <v>3665576</v>
      </c>
      <c r="B552" s="15">
        <v>55</v>
      </c>
      <c r="C552" s="12" t="s">
        <v>122</v>
      </c>
      <c r="D552" s="12" t="s">
        <v>135</v>
      </c>
      <c r="E552" s="12" t="s">
        <v>154</v>
      </c>
      <c r="F552" s="12" t="s">
        <v>159</v>
      </c>
      <c r="G552" s="14">
        <f t="shared" ca="1" si="8"/>
        <v>233114.04994243875</v>
      </c>
      <c r="H552" s="12" t="s">
        <v>171</v>
      </c>
      <c r="I552">
        <v>0</v>
      </c>
      <c r="J552">
        <v>55</v>
      </c>
      <c r="K552" s="12" t="s">
        <v>186</v>
      </c>
      <c r="L552">
        <v>0</v>
      </c>
      <c r="M552">
        <v>0</v>
      </c>
      <c r="O552" s="39"/>
      <c r="P552" s="15">
        <v>164211.16</v>
      </c>
      <c r="S552" s="17"/>
    </row>
    <row r="553" spans="1:19" x14ac:dyDescent="0.4">
      <c r="A553">
        <v>3666173</v>
      </c>
      <c r="B553" s="16">
        <v>22</v>
      </c>
      <c r="C553" s="12" t="s">
        <v>122</v>
      </c>
      <c r="D553" s="12" t="s">
        <v>132</v>
      </c>
      <c r="E553" s="12" t="s">
        <v>150</v>
      </c>
      <c r="F553" s="12" t="s">
        <v>164</v>
      </c>
      <c r="G553" s="14">
        <f t="shared" ca="1" si="8"/>
        <v>200099.61919965627</v>
      </c>
      <c r="H553" s="12" t="s">
        <v>172</v>
      </c>
      <c r="I553">
        <v>0</v>
      </c>
      <c r="J553">
        <v>24</v>
      </c>
      <c r="K553" s="12" t="s">
        <v>179</v>
      </c>
      <c r="L553">
        <v>0</v>
      </c>
      <c r="M553">
        <v>0</v>
      </c>
      <c r="O553" s="39"/>
      <c r="P553" s="16">
        <v>110504.79</v>
      </c>
      <c r="S553" s="17"/>
    </row>
    <row r="554" spans="1:19" x14ac:dyDescent="0.4">
      <c r="A554">
        <v>3673140</v>
      </c>
      <c r="B554" s="15">
        <v>44</v>
      </c>
      <c r="C554" s="12" t="s">
        <v>122</v>
      </c>
      <c r="D554" s="12" t="s">
        <v>134</v>
      </c>
      <c r="E554" s="12" t="s">
        <v>152</v>
      </c>
      <c r="F554" s="12" t="s">
        <v>157</v>
      </c>
      <c r="G554" s="14">
        <f t="shared" ca="1" si="8"/>
        <v>42187.557955750613</v>
      </c>
      <c r="H554" s="12" t="s">
        <v>172</v>
      </c>
      <c r="I554">
        <v>0</v>
      </c>
      <c r="J554">
        <v>45</v>
      </c>
      <c r="K554" s="12" t="s">
        <v>176</v>
      </c>
      <c r="L554">
        <v>0</v>
      </c>
      <c r="M554">
        <v>0</v>
      </c>
      <c r="O554" s="39"/>
      <c r="P554" s="15">
        <v>33651.43</v>
      </c>
      <c r="S554" s="17"/>
    </row>
    <row r="555" spans="1:19" x14ac:dyDescent="0.4">
      <c r="A555">
        <v>3673630</v>
      </c>
      <c r="B555" s="16">
        <v>62</v>
      </c>
      <c r="C555" s="12" t="s">
        <v>125</v>
      </c>
      <c r="D555" s="12" t="s">
        <v>134</v>
      </c>
      <c r="E555" s="12" t="s">
        <v>152</v>
      </c>
      <c r="F555" s="12" t="s">
        <v>156</v>
      </c>
      <c r="G555" s="14">
        <f t="shared" ca="1" si="8"/>
        <v>48644.209218795841</v>
      </c>
      <c r="H555" s="12" t="s">
        <v>172</v>
      </c>
      <c r="I555">
        <v>0</v>
      </c>
      <c r="J555">
        <v>40</v>
      </c>
      <c r="K555" s="12" t="s">
        <v>176</v>
      </c>
      <c r="L555">
        <v>77901</v>
      </c>
      <c r="M555">
        <v>1</v>
      </c>
      <c r="O555" s="39"/>
      <c r="P555" s="16">
        <v>40079.480000000003</v>
      </c>
      <c r="S555" s="17"/>
    </row>
    <row r="556" spans="1:19" x14ac:dyDescent="0.4">
      <c r="A556">
        <v>3677227</v>
      </c>
      <c r="B556" s="15">
        <v>27</v>
      </c>
      <c r="C556" s="12" t="s">
        <v>124</v>
      </c>
      <c r="D556" s="12" t="s">
        <v>135</v>
      </c>
      <c r="E556" s="12" t="s">
        <v>150</v>
      </c>
      <c r="F556" s="12" t="s">
        <v>160</v>
      </c>
      <c r="G556" s="14">
        <f t="shared" ca="1" si="8"/>
        <v>296247.69094112446</v>
      </c>
      <c r="H556" s="12" t="s">
        <v>171</v>
      </c>
      <c r="I556">
        <v>0</v>
      </c>
      <c r="J556">
        <v>40</v>
      </c>
      <c r="K556" s="12" t="s">
        <v>176</v>
      </c>
      <c r="L556">
        <v>0</v>
      </c>
      <c r="M556">
        <v>0</v>
      </c>
      <c r="O556" s="39"/>
      <c r="P556" s="15">
        <v>229417.24</v>
      </c>
      <c r="S556" s="17"/>
    </row>
    <row r="557" spans="1:19" x14ac:dyDescent="0.4">
      <c r="A557">
        <v>3683760</v>
      </c>
      <c r="B557" s="16">
        <v>35</v>
      </c>
      <c r="C557" s="12" t="s">
        <v>122</v>
      </c>
      <c r="D557" s="12" t="s">
        <v>134</v>
      </c>
      <c r="E557" s="12" t="s">
        <v>152</v>
      </c>
      <c r="F557" s="12" t="s">
        <v>161</v>
      </c>
      <c r="G557" s="14">
        <f t="shared" ca="1" si="8"/>
        <v>329857.10207107058</v>
      </c>
      <c r="H557" s="12" t="s">
        <v>171</v>
      </c>
      <c r="I557">
        <v>0</v>
      </c>
      <c r="J557">
        <v>40</v>
      </c>
      <c r="K557" s="12" t="s">
        <v>176</v>
      </c>
      <c r="L557">
        <v>0</v>
      </c>
      <c r="M557">
        <v>0</v>
      </c>
      <c r="O557" s="39"/>
      <c r="P557" s="16">
        <v>314194.62</v>
      </c>
      <c r="S557" s="17"/>
    </row>
    <row r="558" spans="1:19" x14ac:dyDescent="0.4">
      <c r="A558">
        <v>3690282</v>
      </c>
      <c r="B558" s="15">
        <v>59</v>
      </c>
      <c r="C558" s="12" t="s">
        <v>125</v>
      </c>
      <c r="D558" s="12" t="s">
        <v>140</v>
      </c>
      <c r="E558" s="12" t="s">
        <v>152</v>
      </c>
      <c r="F558" s="12" t="s">
        <v>159</v>
      </c>
      <c r="G558" s="14">
        <f t="shared" ca="1" si="8"/>
        <v>33677.354889150251</v>
      </c>
      <c r="H558" s="12" t="s">
        <v>172</v>
      </c>
      <c r="I558">
        <v>0</v>
      </c>
      <c r="J558">
        <v>40</v>
      </c>
      <c r="K558" s="12" t="s">
        <v>176</v>
      </c>
      <c r="L558">
        <v>0</v>
      </c>
      <c r="M558">
        <v>0</v>
      </c>
      <c r="O558" s="39"/>
      <c r="P558" s="15">
        <v>25218.36</v>
      </c>
      <c r="S558" s="17"/>
    </row>
    <row r="559" spans="1:19" x14ac:dyDescent="0.4">
      <c r="A559">
        <v>3690485</v>
      </c>
      <c r="B559" s="16">
        <v>30</v>
      </c>
      <c r="C559" s="12" t="s">
        <v>122</v>
      </c>
      <c r="D559" s="12" t="s">
        <v>132</v>
      </c>
      <c r="E559" s="12" t="s">
        <v>151</v>
      </c>
      <c r="F559" s="12" t="s">
        <v>144</v>
      </c>
      <c r="G559" s="14">
        <f t="shared" ca="1" si="8"/>
        <v>419103.87902346504</v>
      </c>
      <c r="H559" s="12" t="s">
        <v>171</v>
      </c>
      <c r="I559">
        <v>0</v>
      </c>
      <c r="J559">
        <v>40</v>
      </c>
      <c r="K559" s="12" t="s">
        <v>176</v>
      </c>
      <c r="L559">
        <v>0</v>
      </c>
      <c r="M559">
        <v>0</v>
      </c>
      <c r="O559" s="39"/>
      <c r="P559" s="16">
        <v>217277.34</v>
      </c>
      <c r="S559" s="17"/>
    </row>
    <row r="560" spans="1:19" x14ac:dyDescent="0.4">
      <c r="A560">
        <v>3692149</v>
      </c>
      <c r="B560" s="15">
        <v>39</v>
      </c>
      <c r="C560" s="12" t="s">
        <v>122</v>
      </c>
      <c r="D560" s="12" t="s">
        <v>134</v>
      </c>
      <c r="E560" s="12" t="s">
        <v>150</v>
      </c>
      <c r="F560" s="12" t="s">
        <v>162</v>
      </c>
      <c r="G560" s="14">
        <f t="shared" ca="1" si="8"/>
        <v>303731.90471933607</v>
      </c>
      <c r="H560" s="12" t="s">
        <v>171</v>
      </c>
      <c r="I560">
        <v>0</v>
      </c>
      <c r="J560">
        <v>40</v>
      </c>
      <c r="K560" s="12" t="s">
        <v>176</v>
      </c>
      <c r="L560">
        <v>0</v>
      </c>
      <c r="M560">
        <v>0</v>
      </c>
      <c r="O560" s="39"/>
      <c r="P560" s="15">
        <v>197192.92</v>
      </c>
      <c r="S560" s="17"/>
    </row>
    <row r="561" spans="1:19" x14ac:dyDescent="0.4">
      <c r="A561">
        <v>3707909</v>
      </c>
      <c r="B561" s="16">
        <v>59</v>
      </c>
      <c r="C561" s="12" t="s">
        <v>125</v>
      </c>
      <c r="D561" s="12" t="s">
        <v>135</v>
      </c>
      <c r="E561" s="12" t="s">
        <v>152</v>
      </c>
      <c r="F561" s="12" t="s">
        <v>144</v>
      </c>
      <c r="G561" s="14">
        <f t="shared" ca="1" si="8"/>
        <v>20483.028740333761</v>
      </c>
      <c r="H561" s="12" t="s">
        <v>172</v>
      </c>
      <c r="I561">
        <v>0</v>
      </c>
      <c r="J561">
        <v>50</v>
      </c>
      <c r="K561" s="12" t="s">
        <v>176</v>
      </c>
      <c r="L561">
        <v>-402</v>
      </c>
      <c r="M561">
        <v>1</v>
      </c>
      <c r="O561" s="39"/>
      <c r="P561" s="16">
        <v>11008.39</v>
      </c>
      <c r="S561" s="17"/>
    </row>
    <row r="562" spans="1:19" x14ac:dyDescent="0.4">
      <c r="A562">
        <v>3711802</v>
      </c>
      <c r="B562" s="15">
        <v>18</v>
      </c>
      <c r="C562" s="12" t="s">
        <v>122</v>
      </c>
      <c r="D562" s="12" t="s">
        <v>139</v>
      </c>
      <c r="E562" s="12" t="s">
        <v>150</v>
      </c>
      <c r="F562" s="12" t="s">
        <v>159</v>
      </c>
      <c r="G562" s="14">
        <f t="shared" ca="1" si="8"/>
        <v>65567.434969842623</v>
      </c>
      <c r="H562" s="12" t="s">
        <v>172</v>
      </c>
      <c r="I562">
        <v>0</v>
      </c>
      <c r="J562">
        <v>5</v>
      </c>
      <c r="K562" s="12" t="s">
        <v>176</v>
      </c>
      <c r="L562">
        <v>0</v>
      </c>
      <c r="M562">
        <v>0</v>
      </c>
      <c r="O562" s="39"/>
      <c r="P562" s="15">
        <v>33332.11</v>
      </c>
      <c r="S562" s="17"/>
    </row>
    <row r="563" spans="1:19" x14ac:dyDescent="0.4">
      <c r="A563">
        <v>3715441</v>
      </c>
      <c r="B563" s="16">
        <v>22</v>
      </c>
      <c r="C563" s="12" t="s">
        <v>122</v>
      </c>
      <c r="D563" s="12" t="s">
        <v>137</v>
      </c>
      <c r="E563" s="12" t="s">
        <v>150</v>
      </c>
      <c r="F563" s="12" t="s">
        <v>163</v>
      </c>
      <c r="G563" s="14">
        <f t="shared" ca="1" si="8"/>
        <v>158527.83070421731</v>
      </c>
      <c r="H563" s="12" t="s">
        <v>171</v>
      </c>
      <c r="I563">
        <v>0</v>
      </c>
      <c r="J563">
        <v>36</v>
      </c>
      <c r="K563" s="12" t="s">
        <v>176</v>
      </c>
      <c r="L563">
        <v>0</v>
      </c>
      <c r="M563">
        <v>0</v>
      </c>
      <c r="O563" s="39"/>
      <c r="P563" s="16">
        <v>106734.77</v>
      </c>
      <c r="S563" s="17"/>
    </row>
    <row r="564" spans="1:19" x14ac:dyDescent="0.4">
      <c r="A564">
        <v>3716445</v>
      </c>
      <c r="B564" s="15">
        <v>51</v>
      </c>
      <c r="C564" s="12" t="s">
        <v>122</v>
      </c>
      <c r="D564" s="12" t="s">
        <v>135</v>
      </c>
      <c r="E564" s="12" t="s">
        <v>149</v>
      </c>
      <c r="F564" s="12" t="s">
        <v>158</v>
      </c>
      <c r="G564" s="14">
        <f t="shared" ca="1" si="8"/>
        <v>267485.13916513423</v>
      </c>
      <c r="H564" s="12" t="s">
        <v>171</v>
      </c>
      <c r="I564">
        <v>0</v>
      </c>
      <c r="J564">
        <v>40</v>
      </c>
      <c r="K564" s="12" t="s">
        <v>176</v>
      </c>
      <c r="L564">
        <v>0</v>
      </c>
      <c r="M564">
        <v>0</v>
      </c>
      <c r="O564" s="39"/>
      <c r="P564" s="15">
        <v>162093.26</v>
      </c>
      <c r="S564" s="17"/>
    </row>
    <row r="565" spans="1:19" x14ac:dyDescent="0.4">
      <c r="A565">
        <v>3718723</v>
      </c>
      <c r="B565" s="16">
        <v>66</v>
      </c>
      <c r="C565" s="12" t="s">
        <v>122</v>
      </c>
      <c r="D565" s="12" t="s">
        <v>134</v>
      </c>
      <c r="E565" s="12" t="s">
        <v>153</v>
      </c>
      <c r="F565" s="12" t="s">
        <v>162</v>
      </c>
      <c r="G565" s="14">
        <f t="shared" ca="1" si="8"/>
        <v>136458.25137700522</v>
      </c>
      <c r="H565" s="12" t="s">
        <v>171</v>
      </c>
      <c r="I565">
        <v>0</v>
      </c>
      <c r="J565">
        <v>40</v>
      </c>
      <c r="K565" s="12" t="s">
        <v>176</v>
      </c>
      <c r="L565">
        <v>5072</v>
      </c>
      <c r="M565">
        <v>1</v>
      </c>
      <c r="O565" s="39"/>
      <c r="P565" s="16">
        <v>96057.04</v>
      </c>
      <c r="S565" s="17"/>
    </row>
    <row r="566" spans="1:19" x14ac:dyDescent="0.4">
      <c r="A566">
        <v>3728183</v>
      </c>
      <c r="B566" s="15">
        <v>49</v>
      </c>
      <c r="C566" s="12" t="s">
        <v>126</v>
      </c>
      <c r="D566" s="12" t="s">
        <v>138</v>
      </c>
      <c r="E566" s="12" t="s">
        <v>151</v>
      </c>
      <c r="F566" s="12" t="s">
        <v>144</v>
      </c>
      <c r="G566" s="14">
        <f t="shared" ca="1" si="8"/>
        <v>263010.35935592401</v>
      </c>
      <c r="H566" s="12" t="s">
        <v>171</v>
      </c>
      <c r="I566">
        <v>0</v>
      </c>
      <c r="J566">
        <v>40</v>
      </c>
      <c r="K566" s="12" t="s">
        <v>176</v>
      </c>
      <c r="L566">
        <v>7430</v>
      </c>
      <c r="M566">
        <v>1</v>
      </c>
      <c r="O566" s="39"/>
      <c r="P566" s="15">
        <v>217874.98</v>
      </c>
      <c r="S566" s="17"/>
    </row>
    <row r="567" spans="1:19" x14ac:dyDescent="0.4">
      <c r="A567">
        <v>3729397</v>
      </c>
      <c r="B567" s="16">
        <v>32</v>
      </c>
      <c r="C567" s="12" t="s">
        <v>122</v>
      </c>
      <c r="D567" s="12" t="s">
        <v>135</v>
      </c>
      <c r="E567" s="12" t="s">
        <v>150</v>
      </c>
      <c r="F567" s="12" t="s">
        <v>156</v>
      </c>
      <c r="G567" s="14">
        <f t="shared" ca="1" si="8"/>
        <v>99657.027508120605</v>
      </c>
      <c r="H567" s="12" t="s">
        <v>172</v>
      </c>
      <c r="I567">
        <v>0</v>
      </c>
      <c r="J567">
        <v>40</v>
      </c>
      <c r="K567" s="12" t="s">
        <v>183</v>
      </c>
      <c r="L567">
        <v>0</v>
      </c>
      <c r="M567">
        <v>0</v>
      </c>
      <c r="O567" s="39"/>
      <c r="P567" s="16">
        <v>66932.759999999995</v>
      </c>
      <c r="S567" s="17"/>
    </row>
    <row r="568" spans="1:19" x14ac:dyDescent="0.4">
      <c r="A568">
        <v>3732203</v>
      </c>
      <c r="B568" s="15">
        <v>34</v>
      </c>
      <c r="C568" s="12" t="s">
        <v>122</v>
      </c>
      <c r="D568" s="12" t="s">
        <v>132</v>
      </c>
      <c r="E568" s="12" t="s">
        <v>151</v>
      </c>
      <c r="F568" s="12" t="s">
        <v>158</v>
      </c>
      <c r="G568" s="14">
        <f t="shared" ca="1" si="8"/>
        <v>324280.1435402098</v>
      </c>
      <c r="H568" s="12" t="s">
        <v>171</v>
      </c>
      <c r="I568">
        <v>0</v>
      </c>
      <c r="J568">
        <v>30</v>
      </c>
      <c r="K568" s="12" t="s">
        <v>176</v>
      </c>
      <c r="L568">
        <v>0</v>
      </c>
      <c r="M568">
        <v>0</v>
      </c>
      <c r="O568" s="39"/>
      <c r="P568" s="15">
        <v>299877.32</v>
      </c>
      <c r="S568" s="17"/>
    </row>
    <row r="569" spans="1:19" x14ac:dyDescent="0.4">
      <c r="A569">
        <v>3732616</v>
      </c>
      <c r="B569" s="16">
        <v>33</v>
      </c>
      <c r="C569" s="12" t="s">
        <v>122</v>
      </c>
      <c r="D569" s="12" t="s">
        <v>140</v>
      </c>
      <c r="E569" s="12" t="s">
        <v>152</v>
      </c>
      <c r="F569" s="12" t="s">
        <v>165</v>
      </c>
      <c r="G569" s="14">
        <f t="shared" ca="1" si="8"/>
        <v>94692.959035968757</v>
      </c>
      <c r="H569" s="12" t="s">
        <v>172</v>
      </c>
      <c r="I569">
        <v>0</v>
      </c>
      <c r="J569">
        <v>40</v>
      </c>
      <c r="K569" s="12" t="s">
        <v>176</v>
      </c>
      <c r="L569">
        <v>0</v>
      </c>
      <c r="M569">
        <v>0</v>
      </c>
      <c r="O569" s="39"/>
      <c r="P569" s="16">
        <v>48288.7</v>
      </c>
      <c r="S569" s="17"/>
    </row>
    <row r="570" spans="1:19" x14ac:dyDescent="0.4">
      <c r="A570">
        <v>3737260</v>
      </c>
      <c r="B570" s="15">
        <v>73</v>
      </c>
      <c r="C570" s="12" t="s">
        <v>125</v>
      </c>
      <c r="D570" s="12" t="s">
        <v>143</v>
      </c>
      <c r="E570" s="12" t="s">
        <v>152</v>
      </c>
      <c r="F570" s="12" t="s">
        <v>166</v>
      </c>
      <c r="G570" s="14">
        <f t="shared" ca="1" si="8"/>
        <v>73456.126846408471</v>
      </c>
      <c r="H570" s="12" t="s">
        <v>172</v>
      </c>
      <c r="I570">
        <v>0</v>
      </c>
      <c r="J570">
        <v>20</v>
      </c>
      <c r="K570" s="12" t="s">
        <v>176</v>
      </c>
      <c r="L570">
        <v>0</v>
      </c>
      <c r="M570">
        <v>0</v>
      </c>
      <c r="O570" s="39"/>
      <c r="P570" s="15">
        <v>48618.95</v>
      </c>
      <c r="S570" s="17"/>
    </row>
    <row r="571" spans="1:19" x14ac:dyDescent="0.4">
      <c r="A571">
        <v>3737931</v>
      </c>
      <c r="B571" s="16">
        <v>34</v>
      </c>
      <c r="C571" s="12" t="s">
        <v>122</v>
      </c>
      <c r="D571" s="12" t="s">
        <v>135</v>
      </c>
      <c r="E571" s="12" t="s">
        <v>152</v>
      </c>
      <c r="F571" s="12" t="s">
        <v>160</v>
      </c>
      <c r="G571" s="14">
        <f t="shared" ca="1" si="8"/>
        <v>87048.227462857933</v>
      </c>
      <c r="H571" s="12" t="s">
        <v>172</v>
      </c>
      <c r="I571">
        <v>0</v>
      </c>
      <c r="J571">
        <v>40</v>
      </c>
      <c r="K571" s="12" t="s">
        <v>176</v>
      </c>
      <c r="L571">
        <v>8614</v>
      </c>
      <c r="M571">
        <v>1</v>
      </c>
      <c r="O571" s="39"/>
      <c r="P571" s="16">
        <v>45718.23</v>
      </c>
      <c r="S571" s="17"/>
    </row>
    <row r="572" spans="1:19" x14ac:dyDescent="0.4">
      <c r="A572">
        <v>3738306</v>
      </c>
      <c r="B572" s="15">
        <v>41</v>
      </c>
      <c r="C572" s="12" t="s">
        <v>122</v>
      </c>
      <c r="D572" s="12" t="s">
        <v>134</v>
      </c>
      <c r="E572" s="12" t="s">
        <v>152</v>
      </c>
      <c r="F572" s="12" t="s">
        <v>161</v>
      </c>
      <c r="G572" s="14">
        <f t="shared" ca="1" si="8"/>
        <v>61872.550655541832</v>
      </c>
      <c r="H572" s="12" t="s">
        <v>172</v>
      </c>
      <c r="I572">
        <v>0</v>
      </c>
      <c r="J572">
        <v>40</v>
      </c>
      <c r="K572" s="12" t="s">
        <v>176</v>
      </c>
      <c r="L572">
        <v>0</v>
      </c>
      <c r="M572">
        <v>0</v>
      </c>
      <c r="O572" s="39"/>
      <c r="P572" s="15">
        <v>49161.35</v>
      </c>
      <c r="S572" s="17"/>
    </row>
    <row r="573" spans="1:19" x14ac:dyDescent="0.4">
      <c r="A573">
        <v>3739921</v>
      </c>
      <c r="B573" s="16">
        <v>50</v>
      </c>
      <c r="C573" s="12" t="s">
        <v>125</v>
      </c>
      <c r="D573" s="12" t="s">
        <v>135</v>
      </c>
      <c r="E573" s="12" t="s">
        <v>152</v>
      </c>
      <c r="F573" s="12" t="s">
        <v>166</v>
      </c>
      <c r="G573" s="14">
        <f t="shared" ca="1" si="8"/>
        <v>80460.958324261985</v>
      </c>
      <c r="H573" s="12" t="s">
        <v>172</v>
      </c>
      <c r="I573">
        <v>0</v>
      </c>
      <c r="J573">
        <v>44</v>
      </c>
      <c r="K573" s="12" t="s">
        <v>176</v>
      </c>
      <c r="L573">
        <v>6286</v>
      </c>
      <c r="M573">
        <v>1</v>
      </c>
      <c r="O573" s="39"/>
      <c r="P573" s="16">
        <v>41471.410000000003</v>
      </c>
      <c r="S573" s="17"/>
    </row>
    <row r="574" spans="1:19" x14ac:dyDescent="0.4">
      <c r="A574">
        <v>3745285</v>
      </c>
      <c r="B574" s="15">
        <v>35</v>
      </c>
      <c r="C574" s="12" t="s">
        <v>122</v>
      </c>
      <c r="D574" s="12" t="s">
        <v>137</v>
      </c>
      <c r="E574" s="12" t="s">
        <v>150</v>
      </c>
      <c r="F574" s="12" t="s">
        <v>156</v>
      </c>
      <c r="G574" s="14">
        <f t="shared" ca="1" si="8"/>
        <v>30752.111006218151</v>
      </c>
      <c r="H574" s="12" t="s">
        <v>171</v>
      </c>
      <c r="I574">
        <v>0</v>
      </c>
      <c r="J574">
        <v>65</v>
      </c>
      <c r="K574" s="12" t="s">
        <v>176</v>
      </c>
      <c r="L574">
        <v>0</v>
      </c>
      <c r="M574">
        <v>0</v>
      </c>
      <c r="O574" s="39"/>
      <c r="P574" s="15">
        <v>27632.54</v>
      </c>
      <c r="S574" s="17"/>
    </row>
    <row r="575" spans="1:19" x14ac:dyDescent="0.4">
      <c r="A575">
        <v>3749148</v>
      </c>
      <c r="B575" s="16">
        <v>31</v>
      </c>
      <c r="C575" s="12" t="s">
        <v>122</v>
      </c>
      <c r="D575" s="12" t="s">
        <v>137</v>
      </c>
      <c r="E575" s="12" t="s">
        <v>150</v>
      </c>
      <c r="F575" s="12" t="s">
        <v>156</v>
      </c>
      <c r="G575" s="14">
        <f t="shared" ca="1" si="8"/>
        <v>103460.71258612827</v>
      </c>
      <c r="H575" s="12" t="s">
        <v>171</v>
      </c>
      <c r="I575">
        <v>0</v>
      </c>
      <c r="J575">
        <v>40</v>
      </c>
      <c r="K575" s="12" t="s">
        <v>176</v>
      </c>
      <c r="L575">
        <v>0</v>
      </c>
      <c r="M575">
        <v>0</v>
      </c>
      <c r="O575" s="39"/>
      <c r="P575" s="16">
        <v>81517.56</v>
      </c>
      <c r="S575" s="17"/>
    </row>
    <row r="576" spans="1:19" x14ac:dyDescent="0.4">
      <c r="A576">
        <v>3756876</v>
      </c>
      <c r="B576" s="15">
        <v>66</v>
      </c>
      <c r="C576" s="12" t="s">
        <v>129</v>
      </c>
      <c r="D576" s="12" t="s">
        <v>132</v>
      </c>
      <c r="E576" s="12" t="s">
        <v>152</v>
      </c>
      <c r="F576" s="12" t="s">
        <v>129</v>
      </c>
      <c r="G576" s="14">
        <f t="shared" ca="1" si="8"/>
        <v>72838.531645352254</v>
      </c>
      <c r="H576" s="12" t="s">
        <v>172</v>
      </c>
      <c r="I576">
        <v>0</v>
      </c>
      <c r="J576">
        <v>40</v>
      </c>
      <c r="K576" s="12" t="s">
        <v>176</v>
      </c>
      <c r="L576">
        <v>0</v>
      </c>
      <c r="M576">
        <v>0</v>
      </c>
      <c r="O576" s="39"/>
      <c r="P576" s="15">
        <v>58054.74</v>
      </c>
      <c r="S576" s="17"/>
    </row>
    <row r="577" spans="1:19" x14ac:dyDescent="0.4">
      <c r="A577">
        <v>3760426</v>
      </c>
      <c r="B577" s="16">
        <v>55</v>
      </c>
      <c r="C577" s="12" t="s">
        <v>122</v>
      </c>
      <c r="D577" s="12" t="s">
        <v>135</v>
      </c>
      <c r="E577" s="12" t="s">
        <v>152</v>
      </c>
      <c r="F577" s="12" t="s">
        <v>144</v>
      </c>
      <c r="G577" s="14">
        <f t="shared" ca="1" si="8"/>
        <v>90421.666185885639</v>
      </c>
      <c r="H577" s="12" t="s">
        <v>172</v>
      </c>
      <c r="I577">
        <v>0</v>
      </c>
      <c r="J577">
        <v>40</v>
      </c>
      <c r="K577" s="12" t="s">
        <v>176</v>
      </c>
      <c r="L577">
        <v>962</v>
      </c>
      <c r="M577">
        <v>1</v>
      </c>
      <c r="O577" s="39"/>
      <c r="P577" s="16">
        <v>53577.25</v>
      </c>
      <c r="S577" s="17"/>
    </row>
    <row r="578" spans="1:19" x14ac:dyDescent="0.4">
      <c r="A578">
        <v>3760730</v>
      </c>
      <c r="B578" s="15">
        <v>33</v>
      </c>
      <c r="C578" s="12" t="s">
        <v>122</v>
      </c>
      <c r="D578" s="12" t="s">
        <v>134</v>
      </c>
      <c r="E578" s="12" t="s">
        <v>151</v>
      </c>
      <c r="F578" s="12" t="s">
        <v>158</v>
      </c>
      <c r="G578" s="14">
        <f t="shared" ca="1" si="8"/>
        <v>119168.29402485416</v>
      </c>
      <c r="H578" s="12" t="s">
        <v>171</v>
      </c>
      <c r="I578">
        <v>0</v>
      </c>
      <c r="J578">
        <v>65</v>
      </c>
      <c r="K578" s="12" t="s">
        <v>176</v>
      </c>
      <c r="L578">
        <v>0</v>
      </c>
      <c r="M578">
        <v>0</v>
      </c>
      <c r="O578" s="39"/>
      <c r="P578" s="15">
        <v>61991.92</v>
      </c>
      <c r="S578" s="17"/>
    </row>
    <row r="579" spans="1:19" x14ac:dyDescent="0.4">
      <c r="A579">
        <v>3760876</v>
      </c>
      <c r="B579" s="16">
        <v>40</v>
      </c>
      <c r="C579" s="12" t="s">
        <v>127</v>
      </c>
      <c r="D579" s="12" t="s">
        <v>134</v>
      </c>
      <c r="E579" s="12" t="s">
        <v>152</v>
      </c>
      <c r="F579" s="12" t="s">
        <v>160</v>
      </c>
      <c r="G579" s="14">
        <f t="shared" ca="1" si="8"/>
        <v>38538.451967597917</v>
      </c>
      <c r="H579" s="12" t="s">
        <v>172</v>
      </c>
      <c r="I579">
        <v>0</v>
      </c>
      <c r="J579">
        <v>40</v>
      </c>
      <c r="K579" s="12" t="s">
        <v>176</v>
      </c>
      <c r="L579">
        <v>14491</v>
      </c>
      <c r="M579">
        <v>1</v>
      </c>
      <c r="O579" s="39"/>
      <c r="P579" s="16">
        <v>19944.349999999999</v>
      </c>
      <c r="S579" s="17"/>
    </row>
    <row r="580" spans="1:19" x14ac:dyDescent="0.4">
      <c r="A580">
        <v>3768487</v>
      </c>
      <c r="B580" s="15">
        <v>50</v>
      </c>
      <c r="C580" s="12" t="s">
        <v>124</v>
      </c>
      <c r="D580" s="12" t="s">
        <v>132</v>
      </c>
      <c r="E580" s="12" t="s">
        <v>152</v>
      </c>
      <c r="F580" s="12" t="s">
        <v>159</v>
      </c>
      <c r="G580" s="14">
        <f t="shared" ca="1" si="8"/>
        <v>48911.176067999135</v>
      </c>
      <c r="H580" s="12" t="s">
        <v>172</v>
      </c>
      <c r="I580">
        <v>0</v>
      </c>
      <c r="J580">
        <v>70</v>
      </c>
      <c r="K580" s="12" t="s">
        <v>176</v>
      </c>
      <c r="L580">
        <v>0</v>
      </c>
      <c r="M580">
        <v>0</v>
      </c>
      <c r="O580" s="39"/>
      <c r="P580" s="15">
        <v>38682.78</v>
      </c>
      <c r="S580" s="17"/>
    </row>
    <row r="581" spans="1:19" x14ac:dyDescent="0.4">
      <c r="A581">
        <v>3768899</v>
      </c>
      <c r="B581" s="16">
        <v>71</v>
      </c>
      <c r="C581" s="12" t="s">
        <v>122</v>
      </c>
      <c r="D581" s="12" t="s">
        <v>135</v>
      </c>
      <c r="E581" s="12" t="s">
        <v>150</v>
      </c>
      <c r="F581" s="12" t="s">
        <v>160</v>
      </c>
      <c r="G581" s="14">
        <f t="shared" ca="1" si="8"/>
        <v>130806.73513498512</v>
      </c>
      <c r="H581" s="12" t="s">
        <v>171</v>
      </c>
      <c r="I581">
        <v>0</v>
      </c>
      <c r="J581">
        <v>14</v>
      </c>
      <c r="K581" s="12" t="s">
        <v>176</v>
      </c>
      <c r="L581">
        <v>0</v>
      </c>
      <c r="M581">
        <v>0</v>
      </c>
      <c r="O581" s="39"/>
      <c r="P581" s="16">
        <v>96478.26</v>
      </c>
      <c r="S581" s="17"/>
    </row>
    <row r="582" spans="1:19" x14ac:dyDescent="0.4">
      <c r="A582">
        <v>3769829</v>
      </c>
      <c r="B582" s="15">
        <v>65</v>
      </c>
      <c r="C582" s="12" t="s">
        <v>123</v>
      </c>
      <c r="D582" s="12" t="s">
        <v>142</v>
      </c>
      <c r="E582" s="12" t="s">
        <v>152</v>
      </c>
      <c r="F582" s="12" t="s">
        <v>159</v>
      </c>
      <c r="G582" s="14">
        <f t="shared" ca="1" si="8"/>
        <v>54352.953924714464</v>
      </c>
      <c r="H582" s="12" t="s">
        <v>172</v>
      </c>
      <c r="I582">
        <v>0</v>
      </c>
      <c r="J582">
        <v>45</v>
      </c>
      <c r="K582" s="12" t="s">
        <v>176</v>
      </c>
      <c r="L582">
        <v>0</v>
      </c>
      <c r="M582">
        <v>0</v>
      </c>
      <c r="O582" s="39"/>
      <c r="P582" s="15">
        <v>47063.94</v>
      </c>
      <c r="S582" s="17"/>
    </row>
    <row r="583" spans="1:19" x14ac:dyDescent="0.4">
      <c r="A583">
        <v>3773994</v>
      </c>
      <c r="B583" s="16">
        <v>36</v>
      </c>
      <c r="C583" s="12" t="s">
        <v>123</v>
      </c>
      <c r="D583" s="12" t="s">
        <v>134</v>
      </c>
      <c r="E583" s="12" t="s">
        <v>149</v>
      </c>
      <c r="F583" s="12" t="s">
        <v>156</v>
      </c>
      <c r="G583" s="14">
        <f t="shared" ca="1" si="8"/>
        <v>175113.24643146383</v>
      </c>
      <c r="H583" s="12" t="s">
        <v>171</v>
      </c>
      <c r="I583">
        <v>0</v>
      </c>
      <c r="J583">
        <v>16</v>
      </c>
      <c r="K583" s="12" t="s">
        <v>176</v>
      </c>
      <c r="L583">
        <v>0</v>
      </c>
      <c r="M583">
        <v>0</v>
      </c>
      <c r="O583" s="39"/>
      <c r="P583" s="16">
        <v>96768.75</v>
      </c>
      <c r="S583" s="17"/>
    </row>
    <row r="584" spans="1:19" x14ac:dyDescent="0.4">
      <c r="A584">
        <v>3776226</v>
      </c>
      <c r="B584" s="15">
        <v>49</v>
      </c>
      <c r="C584" s="12" t="s">
        <v>122</v>
      </c>
      <c r="D584" s="12" t="s">
        <v>143</v>
      </c>
      <c r="E584" s="12" t="s">
        <v>152</v>
      </c>
      <c r="F584" s="12" t="s">
        <v>159</v>
      </c>
      <c r="G584" s="14">
        <f t="shared" ca="1" si="8"/>
        <v>56469.10366667121</v>
      </c>
      <c r="H584" s="12" t="s">
        <v>172</v>
      </c>
      <c r="I584">
        <v>0</v>
      </c>
      <c r="J584">
        <v>40</v>
      </c>
      <c r="K584" s="12" t="s">
        <v>176</v>
      </c>
      <c r="L584">
        <v>0</v>
      </c>
      <c r="M584">
        <v>0</v>
      </c>
      <c r="O584" s="39"/>
      <c r="P584" s="15">
        <v>49389.22</v>
      </c>
      <c r="S584" s="17"/>
    </row>
    <row r="585" spans="1:19" x14ac:dyDescent="0.4">
      <c r="A585">
        <v>3784512</v>
      </c>
      <c r="B585" s="16">
        <v>41</v>
      </c>
      <c r="C585" s="12" t="s">
        <v>122</v>
      </c>
      <c r="D585" s="12" t="s">
        <v>134</v>
      </c>
      <c r="E585" s="12" t="s">
        <v>152</v>
      </c>
      <c r="F585" s="12" t="s">
        <v>161</v>
      </c>
      <c r="G585" s="14">
        <f t="shared" ca="1" si="8"/>
        <v>56462.894631710893</v>
      </c>
      <c r="H585" s="12" t="s">
        <v>172</v>
      </c>
      <c r="I585">
        <v>0</v>
      </c>
      <c r="J585">
        <v>40</v>
      </c>
      <c r="K585" s="12" t="s">
        <v>176</v>
      </c>
      <c r="L585">
        <v>0</v>
      </c>
      <c r="M585">
        <v>0</v>
      </c>
      <c r="O585" s="39"/>
      <c r="P585" s="16">
        <v>35261.18</v>
      </c>
      <c r="S585" s="17"/>
    </row>
    <row r="586" spans="1:19" x14ac:dyDescent="0.4">
      <c r="A586">
        <v>3789693</v>
      </c>
      <c r="B586" s="15">
        <v>35</v>
      </c>
      <c r="C586" s="12" t="s">
        <v>122</v>
      </c>
      <c r="D586" s="12" t="s">
        <v>135</v>
      </c>
      <c r="E586" s="12" t="s">
        <v>152</v>
      </c>
      <c r="F586" s="12" t="s">
        <v>162</v>
      </c>
      <c r="G586" s="14">
        <f t="shared" ca="1" si="8"/>
        <v>58578.12163517256</v>
      </c>
      <c r="H586" s="12" t="s">
        <v>172</v>
      </c>
      <c r="I586">
        <v>0</v>
      </c>
      <c r="J586">
        <v>50</v>
      </c>
      <c r="K586" s="12" t="s">
        <v>176</v>
      </c>
      <c r="L586">
        <v>0</v>
      </c>
      <c r="M586">
        <v>0</v>
      </c>
      <c r="O586" s="39"/>
      <c r="P586" s="15">
        <v>30242.65</v>
      </c>
      <c r="S586" s="17"/>
    </row>
    <row r="587" spans="1:19" x14ac:dyDescent="0.4">
      <c r="A587">
        <v>3797544</v>
      </c>
      <c r="B587" s="16">
        <v>51</v>
      </c>
      <c r="C587" s="12" t="s">
        <v>122</v>
      </c>
      <c r="D587" s="12" t="s">
        <v>132</v>
      </c>
      <c r="E587" s="12" t="s">
        <v>152</v>
      </c>
      <c r="F587" s="12" t="s">
        <v>164</v>
      </c>
      <c r="G587" s="14">
        <f t="shared" ref="G587:G650" ca="1" si="9">P587*(1+RAND())</f>
        <v>78158.395774915974</v>
      </c>
      <c r="H587" s="12" t="s">
        <v>172</v>
      </c>
      <c r="I587">
        <v>0</v>
      </c>
      <c r="J587">
        <v>50</v>
      </c>
      <c r="K587" s="12" t="s">
        <v>176</v>
      </c>
      <c r="L587">
        <v>0</v>
      </c>
      <c r="M587">
        <v>0</v>
      </c>
      <c r="O587" s="39"/>
      <c r="P587" s="16">
        <v>65007.68</v>
      </c>
      <c r="S587" s="17"/>
    </row>
    <row r="588" spans="1:19" x14ac:dyDescent="0.4">
      <c r="A588">
        <v>3799735</v>
      </c>
      <c r="B588" s="15">
        <v>83</v>
      </c>
      <c r="C588" s="12" t="s">
        <v>122</v>
      </c>
      <c r="D588" s="12" t="s">
        <v>134</v>
      </c>
      <c r="E588" s="12" t="s">
        <v>153</v>
      </c>
      <c r="F588" s="12" t="s">
        <v>166</v>
      </c>
      <c r="G588" s="14">
        <f t="shared" ca="1" si="9"/>
        <v>68956.589385862389</v>
      </c>
      <c r="H588" s="12" t="s">
        <v>172</v>
      </c>
      <c r="I588">
        <v>0</v>
      </c>
      <c r="J588">
        <v>55</v>
      </c>
      <c r="K588" s="12" t="s">
        <v>176</v>
      </c>
      <c r="L588">
        <v>0</v>
      </c>
      <c r="M588">
        <v>0</v>
      </c>
      <c r="O588" s="39"/>
      <c r="P588" s="15">
        <v>65460.800000000003</v>
      </c>
      <c r="S588" s="17"/>
    </row>
    <row r="589" spans="1:19" x14ac:dyDescent="0.4">
      <c r="A589">
        <v>3813044</v>
      </c>
      <c r="B589" s="16">
        <v>74</v>
      </c>
      <c r="C589" s="12" t="s">
        <v>123</v>
      </c>
      <c r="D589" s="12" t="s">
        <v>132</v>
      </c>
      <c r="E589" s="12" t="s">
        <v>152</v>
      </c>
      <c r="F589" s="12" t="s">
        <v>144</v>
      </c>
      <c r="G589" s="14">
        <f t="shared" ca="1" si="9"/>
        <v>94042.006598869237</v>
      </c>
      <c r="H589" s="12" t="s">
        <v>172</v>
      </c>
      <c r="I589">
        <v>1098.6666666666699</v>
      </c>
      <c r="J589">
        <v>35</v>
      </c>
      <c r="K589" s="12" t="s">
        <v>176</v>
      </c>
      <c r="L589">
        <v>0</v>
      </c>
      <c r="M589">
        <v>0</v>
      </c>
      <c r="O589" s="39"/>
      <c r="P589" s="16">
        <v>49297.77</v>
      </c>
      <c r="S589" s="17"/>
    </row>
    <row r="590" spans="1:19" x14ac:dyDescent="0.4">
      <c r="A590">
        <v>3814145</v>
      </c>
      <c r="B590" s="15">
        <v>66</v>
      </c>
      <c r="C590" s="12" t="s">
        <v>122</v>
      </c>
      <c r="D590" s="12" t="s">
        <v>134</v>
      </c>
      <c r="E590" s="12" t="s">
        <v>153</v>
      </c>
      <c r="F590" s="12" t="s">
        <v>160</v>
      </c>
      <c r="G590" s="14">
        <f t="shared" ca="1" si="9"/>
        <v>84921.253661975454</v>
      </c>
      <c r="H590" s="12" t="s">
        <v>171</v>
      </c>
      <c r="I590">
        <v>0</v>
      </c>
      <c r="J590">
        <v>25</v>
      </c>
      <c r="K590" s="12" t="s">
        <v>176</v>
      </c>
      <c r="L590">
        <v>0</v>
      </c>
      <c r="M590">
        <v>0</v>
      </c>
      <c r="O590" s="39"/>
      <c r="P590" s="15">
        <v>60987.96</v>
      </c>
      <c r="S590" s="17"/>
    </row>
    <row r="591" spans="1:19" x14ac:dyDescent="0.4">
      <c r="A591">
        <v>3815398</v>
      </c>
      <c r="B591" s="16">
        <v>58</v>
      </c>
      <c r="C591" s="12" t="s">
        <v>124</v>
      </c>
      <c r="D591" s="12" t="s">
        <v>137</v>
      </c>
      <c r="E591" s="12" t="s">
        <v>151</v>
      </c>
      <c r="F591" s="12" t="s">
        <v>162</v>
      </c>
      <c r="G591" s="14">
        <f t="shared" ca="1" si="9"/>
        <v>103588.8074425041</v>
      </c>
      <c r="H591" s="12" t="s">
        <v>172</v>
      </c>
      <c r="I591">
        <v>0</v>
      </c>
      <c r="J591">
        <v>56</v>
      </c>
      <c r="K591" s="12" t="s">
        <v>176</v>
      </c>
      <c r="L591">
        <v>0</v>
      </c>
      <c r="M591">
        <v>0</v>
      </c>
      <c r="O591" s="39"/>
      <c r="P591" s="16">
        <v>62300.23</v>
      </c>
      <c r="S591" s="17"/>
    </row>
    <row r="592" spans="1:19" x14ac:dyDescent="0.4">
      <c r="A592">
        <v>3816126</v>
      </c>
      <c r="B592" s="15">
        <v>46</v>
      </c>
      <c r="C592" s="12" t="s">
        <v>125</v>
      </c>
      <c r="D592" s="12" t="s">
        <v>135</v>
      </c>
      <c r="E592" s="12" t="s">
        <v>152</v>
      </c>
      <c r="F592" s="12" t="s">
        <v>166</v>
      </c>
      <c r="G592" s="14">
        <f t="shared" ca="1" si="9"/>
        <v>71734.530664777427</v>
      </c>
      <c r="H592" s="12" t="s">
        <v>172</v>
      </c>
      <c r="I592">
        <v>0</v>
      </c>
      <c r="J592">
        <v>40</v>
      </c>
      <c r="K592" s="12" t="s">
        <v>176</v>
      </c>
      <c r="L592">
        <v>0</v>
      </c>
      <c r="M592">
        <v>1</v>
      </c>
      <c r="O592" s="39"/>
      <c r="P592" s="15">
        <v>68490.06</v>
      </c>
      <c r="S592" s="17"/>
    </row>
    <row r="593" spans="1:19" x14ac:dyDescent="0.4">
      <c r="A593">
        <v>3825160</v>
      </c>
      <c r="B593" s="16">
        <v>43</v>
      </c>
      <c r="C593" s="12" t="s">
        <v>122</v>
      </c>
      <c r="D593" s="12" t="s">
        <v>138</v>
      </c>
      <c r="E593" s="12" t="s">
        <v>152</v>
      </c>
      <c r="F593" s="12" t="s">
        <v>160</v>
      </c>
      <c r="G593" s="14">
        <f t="shared" ca="1" si="9"/>
        <v>57618.275939081177</v>
      </c>
      <c r="H593" s="12" t="s">
        <v>172</v>
      </c>
      <c r="I593">
        <v>0</v>
      </c>
      <c r="J593">
        <v>45</v>
      </c>
      <c r="K593" s="12" t="s">
        <v>176</v>
      </c>
      <c r="L593">
        <v>11296</v>
      </c>
      <c r="M593">
        <v>1</v>
      </c>
      <c r="O593" s="39"/>
      <c r="P593" s="16">
        <v>42120.31</v>
      </c>
      <c r="S593" s="17"/>
    </row>
    <row r="594" spans="1:19" x14ac:dyDescent="0.4">
      <c r="A594">
        <v>3828470</v>
      </c>
      <c r="B594" s="15">
        <v>41</v>
      </c>
      <c r="C594" s="12" t="s">
        <v>122</v>
      </c>
      <c r="D594" s="12" t="s">
        <v>134</v>
      </c>
      <c r="E594" s="12" t="s">
        <v>152</v>
      </c>
      <c r="F594" s="12" t="s">
        <v>160</v>
      </c>
      <c r="G594" s="14">
        <f t="shared" ca="1" si="9"/>
        <v>65527.424222152324</v>
      </c>
      <c r="H594" s="12" t="s">
        <v>172</v>
      </c>
      <c r="I594">
        <v>0</v>
      </c>
      <c r="J594">
        <v>40</v>
      </c>
      <c r="K594" s="12" t="s">
        <v>176</v>
      </c>
      <c r="L594">
        <v>10133</v>
      </c>
      <c r="M594">
        <v>1</v>
      </c>
      <c r="O594" s="39"/>
      <c r="P594" s="15">
        <v>32833.32</v>
      </c>
      <c r="S594" s="17"/>
    </row>
    <row r="595" spans="1:19" x14ac:dyDescent="0.4">
      <c r="A595">
        <v>3834978</v>
      </c>
      <c r="B595" s="16">
        <v>32</v>
      </c>
      <c r="C595" s="12" t="s">
        <v>122</v>
      </c>
      <c r="D595" s="12" t="s">
        <v>132</v>
      </c>
      <c r="E595" s="12" t="s">
        <v>152</v>
      </c>
      <c r="F595" s="12" t="s">
        <v>157</v>
      </c>
      <c r="G595" s="14">
        <f t="shared" ca="1" si="9"/>
        <v>17903.055197520727</v>
      </c>
      <c r="H595" s="12" t="s">
        <v>172</v>
      </c>
      <c r="I595">
        <v>0</v>
      </c>
      <c r="J595">
        <v>60</v>
      </c>
      <c r="K595" s="12" t="s">
        <v>176</v>
      </c>
      <c r="L595">
        <v>0</v>
      </c>
      <c r="M595">
        <v>0</v>
      </c>
      <c r="O595" s="39"/>
      <c r="P595" s="16">
        <v>16792.080000000002</v>
      </c>
      <c r="S595" s="17"/>
    </row>
    <row r="596" spans="1:19" x14ac:dyDescent="0.4">
      <c r="A596">
        <v>3835253</v>
      </c>
      <c r="B596" s="15">
        <v>28</v>
      </c>
      <c r="C596" s="12" t="s">
        <v>122</v>
      </c>
      <c r="D596" s="12" t="s">
        <v>135</v>
      </c>
      <c r="E596" s="12" t="s">
        <v>152</v>
      </c>
      <c r="F596" s="12" t="s">
        <v>160</v>
      </c>
      <c r="G596" s="14">
        <f t="shared" ca="1" si="9"/>
        <v>707346.01645576407</v>
      </c>
      <c r="H596" s="12" t="s">
        <v>171</v>
      </c>
      <c r="I596">
        <v>0</v>
      </c>
      <c r="J596">
        <v>40</v>
      </c>
      <c r="K596" s="12" t="s">
        <v>176</v>
      </c>
      <c r="L596">
        <v>6264</v>
      </c>
      <c r="M596">
        <v>1</v>
      </c>
      <c r="O596" s="39"/>
      <c r="P596" s="15">
        <v>481259.5</v>
      </c>
      <c r="S596" s="17"/>
    </row>
    <row r="597" spans="1:19" x14ac:dyDescent="0.4">
      <c r="A597">
        <v>3838839</v>
      </c>
      <c r="B597" s="16">
        <v>40</v>
      </c>
      <c r="C597" s="12" t="s">
        <v>122</v>
      </c>
      <c r="D597" s="12" t="s">
        <v>139</v>
      </c>
      <c r="E597" s="12" t="s">
        <v>149</v>
      </c>
      <c r="F597" s="12" t="s">
        <v>161</v>
      </c>
      <c r="G597" s="14">
        <f t="shared" ca="1" si="9"/>
        <v>247730.04673647854</v>
      </c>
      <c r="H597" s="12" t="s">
        <v>172</v>
      </c>
      <c r="I597">
        <v>0</v>
      </c>
      <c r="J597">
        <v>36</v>
      </c>
      <c r="K597" s="12" t="s">
        <v>176</v>
      </c>
      <c r="L597">
        <v>0</v>
      </c>
      <c r="M597">
        <v>0</v>
      </c>
      <c r="O597" s="39"/>
      <c r="P597" s="16">
        <v>146014.32</v>
      </c>
      <c r="S597" s="17"/>
    </row>
    <row r="598" spans="1:19" x14ac:dyDescent="0.4">
      <c r="A598">
        <v>3843522</v>
      </c>
      <c r="B598" s="15">
        <v>27</v>
      </c>
      <c r="C598" s="12" t="s">
        <v>122</v>
      </c>
      <c r="D598" s="12" t="s">
        <v>134</v>
      </c>
      <c r="E598" s="12" t="s">
        <v>150</v>
      </c>
      <c r="F598" s="12" t="s">
        <v>160</v>
      </c>
      <c r="G598" s="14">
        <f t="shared" ca="1" si="9"/>
        <v>72074.467900009826</v>
      </c>
      <c r="H598" s="12" t="s">
        <v>171</v>
      </c>
      <c r="I598">
        <v>0</v>
      </c>
      <c r="J598">
        <v>50</v>
      </c>
      <c r="K598" s="12" t="s">
        <v>176</v>
      </c>
      <c r="L598">
        <v>0</v>
      </c>
      <c r="M598">
        <v>0</v>
      </c>
      <c r="O598" s="39"/>
      <c r="P598" s="15">
        <v>46349.41</v>
      </c>
      <c r="S598" s="17"/>
    </row>
    <row r="599" spans="1:19" x14ac:dyDescent="0.4">
      <c r="A599">
        <v>3849256</v>
      </c>
      <c r="B599" s="16">
        <v>48</v>
      </c>
      <c r="C599" s="12" t="s">
        <v>127</v>
      </c>
      <c r="D599" s="12" t="s">
        <v>135</v>
      </c>
      <c r="E599" s="12" t="s">
        <v>151</v>
      </c>
      <c r="F599" s="12" t="s">
        <v>160</v>
      </c>
      <c r="G599" s="14">
        <f t="shared" ca="1" si="9"/>
        <v>100628.05734676024</v>
      </c>
      <c r="H599" s="12" t="s">
        <v>172</v>
      </c>
      <c r="I599">
        <v>0</v>
      </c>
      <c r="J599">
        <v>45</v>
      </c>
      <c r="K599" s="12" t="s">
        <v>176</v>
      </c>
      <c r="L599">
        <v>0</v>
      </c>
      <c r="M599">
        <v>0</v>
      </c>
      <c r="O599" s="39"/>
      <c r="P599" s="16">
        <v>51903.79</v>
      </c>
      <c r="S599" s="17"/>
    </row>
    <row r="600" spans="1:19" x14ac:dyDescent="0.4">
      <c r="A600">
        <v>3860630</v>
      </c>
      <c r="B600" s="15">
        <v>38</v>
      </c>
      <c r="C600" s="12" t="s">
        <v>125</v>
      </c>
      <c r="D600" s="12" t="s">
        <v>134</v>
      </c>
      <c r="E600" s="12" t="s">
        <v>152</v>
      </c>
      <c r="F600" s="12" t="s">
        <v>157</v>
      </c>
      <c r="G600" s="14">
        <f t="shared" ca="1" si="9"/>
        <v>42310.796270628016</v>
      </c>
      <c r="H600" s="12" t="s">
        <v>172</v>
      </c>
      <c r="I600">
        <v>0</v>
      </c>
      <c r="J600">
        <v>40</v>
      </c>
      <c r="K600" s="12" t="s">
        <v>176</v>
      </c>
      <c r="L600">
        <v>0</v>
      </c>
      <c r="M600">
        <v>0</v>
      </c>
      <c r="O600" s="39"/>
      <c r="P600" s="15">
        <v>25752.21</v>
      </c>
      <c r="S600" s="17"/>
    </row>
    <row r="601" spans="1:19" x14ac:dyDescent="0.4">
      <c r="A601">
        <v>3868402</v>
      </c>
      <c r="B601" s="16">
        <v>42</v>
      </c>
      <c r="C601" s="12" t="s">
        <v>125</v>
      </c>
      <c r="D601" s="12" t="s">
        <v>135</v>
      </c>
      <c r="E601" s="12" t="s">
        <v>150</v>
      </c>
      <c r="F601" s="12" t="s">
        <v>158</v>
      </c>
      <c r="G601" s="14">
        <f t="shared" ca="1" si="9"/>
        <v>33809.238406023556</v>
      </c>
      <c r="H601" s="12" t="s">
        <v>171</v>
      </c>
      <c r="I601">
        <v>0</v>
      </c>
      <c r="J601">
        <v>40</v>
      </c>
      <c r="K601" s="12" t="s">
        <v>176</v>
      </c>
      <c r="L601">
        <v>99999</v>
      </c>
      <c r="M601">
        <v>1</v>
      </c>
      <c r="O601" s="39"/>
      <c r="P601" s="16">
        <v>20216.990000000002</v>
      </c>
      <c r="S601" s="17"/>
    </row>
    <row r="602" spans="1:19" x14ac:dyDescent="0.4">
      <c r="A602">
        <v>3868667</v>
      </c>
      <c r="B602" s="15">
        <v>21</v>
      </c>
      <c r="C602" s="12" t="s">
        <v>122</v>
      </c>
      <c r="D602" s="12" t="s">
        <v>132</v>
      </c>
      <c r="E602" s="12" t="s">
        <v>150</v>
      </c>
      <c r="F602" s="12" t="s">
        <v>156</v>
      </c>
      <c r="G602" s="14">
        <f t="shared" ca="1" si="9"/>
        <v>121489.93118954141</v>
      </c>
      <c r="H602" s="12" t="s">
        <v>172</v>
      </c>
      <c r="I602">
        <v>0</v>
      </c>
      <c r="J602">
        <v>32</v>
      </c>
      <c r="K602" s="12" t="s">
        <v>176</v>
      </c>
      <c r="L602">
        <v>0</v>
      </c>
      <c r="M602">
        <v>0</v>
      </c>
      <c r="O602" s="39"/>
      <c r="P602" s="15">
        <v>106813.49</v>
      </c>
      <c r="S602" s="17"/>
    </row>
    <row r="603" spans="1:19" x14ac:dyDescent="0.4">
      <c r="A603">
        <v>3878358</v>
      </c>
      <c r="B603" s="16">
        <v>25</v>
      </c>
      <c r="C603" s="12" t="s">
        <v>122</v>
      </c>
      <c r="D603" s="12" t="s">
        <v>135</v>
      </c>
      <c r="E603" s="12" t="s">
        <v>150</v>
      </c>
      <c r="F603" s="12" t="s">
        <v>162</v>
      </c>
      <c r="G603" s="14">
        <f t="shared" ca="1" si="9"/>
        <v>178931.61310494554</v>
      </c>
      <c r="H603" s="12" t="s">
        <v>171</v>
      </c>
      <c r="I603">
        <v>0</v>
      </c>
      <c r="J603">
        <v>40</v>
      </c>
      <c r="K603" s="12" t="s">
        <v>176</v>
      </c>
      <c r="L603">
        <v>0</v>
      </c>
      <c r="M603">
        <v>0</v>
      </c>
      <c r="O603" s="39"/>
      <c r="P603" s="16">
        <v>169922</v>
      </c>
      <c r="S603" s="17"/>
    </row>
    <row r="604" spans="1:19" x14ac:dyDescent="0.4">
      <c r="A604">
        <v>3879389</v>
      </c>
      <c r="B604" s="15">
        <v>47</v>
      </c>
      <c r="C604" s="12" t="s">
        <v>122</v>
      </c>
      <c r="D604" s="12" t="s">
        <v>134</v>
      </c>
      <c r="E604" s="12" t="s">
        <v>151</v>
      </c>
      <c r="F604" s="12" t="s">
        <v>156</v>
      </c>
      <c r="G604" s="14">
        <f t="shared" ca="1" si="9"/>
        <v>361283.19447725179</v>
      </c>
      <c r="H604" s="12" t="s">
        <v>171</v>
      </c>
      <c r="I604">
        <v>0</v>
      </c>
      <c r="J604">
        <v>40</v>
      </c>
      <c r="K604" s="12" t="s">
        <v>176</v>
      </c>
      <c r="L604">
        <v>0</v>
      </c>
      <c r="M604">
        <v>0</v>
      </c>
      <c r="O604" s="39"/>
      <c r="P604" s="15">
        <v>196408.98</v>
      </c>
      <c r="S604" s="17"/>
    </row>
    <row r="605" spans="1:19" x14ac:dyDescent="0.4">
      <c r="A605">
        <v>3879597</v>
      </c>
      <c r="B605" s="16">
        <v>46</v>
      </c>
      <c r="C605" s="12" t="s">
        <v>122</v>
      </c>
      <c r="D605" s="12" t="s">
        <v>135</v>
      </c>
      <c r="E605" s="12" t="s">
        <v>152</v>
      </c>
      <c r="F605" s="12" t="s">
        <v>160</v>
      </c>
      <c r="G605" s="14">
        <f t="shared" ca="1" si="9"/>
        <v>62894.013205463445</v>
      </c>
      <c r="H605" s="12" t="s">
        <v>172</v>
      </c>
      <c r="I605">
        <v>0</v>
      </c>
      <c r="J605">
        <v>40</v>
      </c>
      <c r="K605" s="12" t="s">
        <v>176</v>
      </c>
      <c r="L605">
        <v>7277</v>
      </c>
      <c r="M605">
        <v>1</v>
      </c>
      <c r="O605" s="39"/>
      <c r="P605" s="16">
        <v>46716.6</v>
      </c>
      <c r="S605" s="17"/>
    </row>
    <row r="606" spans="1:19" x14ac:dyDescent="0.4">
      <c r="A606">
        <v>3880157</v>
      </c>
      <c r="B606" s="15">
        <v>35</v>
      </c>
      <c r="C606" s="12" t="s">
        <v>122</v>
      </c>
      <c r="D606" s="12" t="s">
        <v>134</v>
      </c>
      <c r="E606" s="12" t="s">
        <v>151</v>
      </c>
      <c r="F606" s="12" t="s">
        <v>156</v>
      </c>
      <c r="G606" s="14">
        <f t="shared" ca="1" si="9"/>
        <v>424987.16391557013</v>
      </c>
      <c r="H606" s="12" t="s">
        <v>171</v>
      </c>
      <c r="I606">
        <v>0</v>
      </c>
      <c r="J606">
        <v>40</v>
      </c>
      <c r="K606" s="12" t="s">
        <v>176</v>
      </c>
      <c r="L606">
        <v>0</v>
      </c>
      <c r="M606">
        <v>0</v>
      </c>
      <c r="O606" s="39"/>
      <c r="P606" s="15">
        <v>284810.56</v>
      </c>
      <c r="S606" s="17"/>
    </row>
    <row r="607" spans="1:19" x14ac:dyDescent="0.4">
      <c r="A607">
        <v>3883555</v>
      </c>
      <c r="B607" s="16">
        <v>46</v>
      </c>
      <c r="C607" s="12" t="s">
        <v>122</v>
      </c>
      <c r="D607" s="12" t="s">
        <v>135</v>
      </c>
      <c r="E607" s="12" t="s">
        <v>151</v>
      </c>
      <c r="F607" s="12" t="s">
        <v>161</v>
      </c>
      <c r="G607" s="14">
        <f t="shared" ca="1" si="9"/>
        <v>127787.88571547465</v>
      </c>
      <c r="H607" s="12" t="s">
        <v>172</v>
      </c>
      <c r="I607">
        <v>1060</v>
      </c>
      <c r="J607">
        <v>40</v>
      </c>
      <c r="K607" s="12" t="s">
        <v>129</v>
      </c>
      <c r="L607">
        <v>0</v>
      </c>
      <c r="M607">
        <v>0</v>
      </c>
      <c r="O607" s="39"/>
      <c r="P607" s="16">
        <v>121294.18</v>
      </c>
      <c r="S607" s="17"/>
    </row>
    <row r="608" spans="1:19" x14ac:dyDescent="0.4">
      <c r="A608">
        <v>3887128</v>
      </c>
      <c r="B608" s="15">
        <v>25</v>
      </c>
      <c r="C608" s="12" t="s">
        <v>122</v>
      </c>
      <c r="D608" s="12" t="s">
        <v>140</v>
      </c>
      <c r="E608" s="12" t="s">
        <v>150</v>
      </c>
      <c r="F608" s="12" t="s">
        <v>157</v>
      </c>
      <c r="G608" s="14">
        <f t="shared" ca="1" si="9"/>
        <v>91046.597899973262</v>
      </c>
      <c r="H608" s="12" t="s">
        <v>172</v>
      </c>
      <c r="I608">
        <v>0</v>
      </c>
      <c r="J608">
        <v>50</v>
      </c>
      <c r="K608" s="12" t="s">
        <v>176</v>
      </c>
      <c r="L608">
        <v>0</v>
      </c>
      <c r="M608">
        <v>0</v>
      </c>
      <c r="O608" s="39"/>
      <c r="P608" s="15">
        <v>69059.63</v>
      </c>
      <c r="S608" s="17"/>
    </row>
    <row r="609" spans="1:19" x14ac:dyDescent="0.4">
      <c r="A609">
        <v>3889233</v>
      </c>
      <c r="B609" s="16">
        <v>37</v>
      </c>
      <c r="C609" s="12" t="s">
        <v>127</v>
      </c>
      <c r="D609" s="12" t="s">
        <v>134</v>
      </c>
      <c r="E609" s="12" t="s">
        <v>152</v>
      </c>
      <c r="F609" s="12" t="s">
        <v>158</v>
      </c>
      <c r="G609" s="14">
        <f t="shared" ca="1" si="9"/>
        <v>30998.071178543225</v>
      </c>
      <c r="H609" s="12" t="s">
        <v>172</v>
      </c>
      <c r="I609">
        <v>0</v>
      </c>
      <c r="J609">
        <v>40</v>
      </c>
      <c r="K609" s="12" t="s">
        <v>176</v>
      </c>
      <c r="L609">
        <v>0</v>
      </c>
      <c r="M609">
        <v>0</v>
      </c>
      <c r="O609" s="39"/>
      <c r="P609" s="16">
        <v>25092.81</v>
      </c>
      <c r="S609" s="17"/>
    </row>
    <row r="610" spans="1:19" x14ac:dyDescent="0.4">
      <c r="A610">
        <v>3891021</v>
      </c>
      <c r="B610" s="15">
        <v>20</v>
      </c>
      <c r="C610" s="12" t="s">
        <v>122</v>
      </c>
      <c r="D610" s="12" t="s">
        <v>132</v>
      </c>
      <c r="E610" s="12" t="s">
        <v>150</v>
      </c>
      <c r="F610" s="12" t="s">
        <v>162</v>
      </c>
      <c r="G610" s="14">
        <f t="shared" ca="1" si="9"/>
        <v>164203.09166217255</v>
      </c>
      <c r="H610" s="12" t="s">
        <v>172</v>
      </c>
      <c r="I610">
        <v>0</v>
      </c>
      <c r="J610">
        <v>20</v>
      </c>
      <c r="K610" s="12" t="s">
        <v>176</v>
      </c>
      <c r="L610">
        <v>0</v>
      </c>
      <c r="M610">
        <v>0</v>
      </c>
      <c r="O610" s="39"/>
      <c r="P610" s="15">
        <v>128364.91</v>
      </c>
      <c r="S610" s="17"/>
    </row>
    <row r="611" spans="1:19" x14ac:dyDescent="0.4">
      <c r="A611">
        <v>3899456</v>
      </c>
      <c r="B611" s="16">
        <v>21</v>
      </c>
      <c r="C611" s="12" t="s">
        <v>122</v>
      </c>
      <c r="D611" s="12" t="s">
        <v>134</v>
      </c>
      <c r="E611" s="12" t="s">
        <v>150</v>
      </c>
      <c r="F611" s="12" t="s">
        <v>161</v>
      </c>
      <c r="G611" s="14">
        <f t="shared" ca="1" si="9"/>
        <v>17996.690126340629</v>
      </c>
      <c r="H611" s="12" t="s">
        <v>172</v>
      </c>
      <c r="I611">
        <v>0</v>
      </c>
      <c r="J611">
        <v>40</v>
      </c>
      <c r="K611" s="12" t="s">
        <v>176</v>
      </c>
      <c r="L611">
        <v>0</v>
      </c>
      <c r="M611">
        <v>0</v>
      </c>
      <c r="O611" s="39"/>
      <c r="P611" s="16">
        <v>11131.23</v>
      </c>
      <c r="S611" s="17"/>
    </row>
    <row r="612" spans="1:19" x14ac:dyDescent="0.4">
      <c r="A612">
        <v>3906193</v>
      </c>
      <c r="B612" s="15">
        <v>47</v>
      </c>
      <c r="C612" s="12" t="s">
        <v>122</v>
      </c>
      <c r="D612" s="12" t="s">
        <v>137</v>
      </c>
      <c r="E612" s="12" t="s">
        <v>150</v>
      </c>
      <c r="F612" s="12" t="s">
        <v>156</v>
      </c>
      <c r="G612" s="14">
        <f t="shared" ca="1" si="9"/>
        <v>119524.27344479662</v>
      </c>
      <c r="H612" s="12" t="s">
        <v>172</v>
      </c>
      <c r="I612">
        <v>0</v>
      </c>
      <c r="J612">
        <v>40</v>
      </c>
      <c r="K612" s="12" t="s">
        <v>176</v>
      </c>
      <c r="L612">
        <v>0</v>
      </c>
      <c r="M612">
        <v>0</v>
      </c>
      <c r="O612" s="39"/>
      <c r="P612" s="15">
        <v>80477.09</v>
      </c>
      <c r="S612" s="17"/>
    </row>
    <row r="613" spans="1:19" x14ac:dyDescent="0.4">
      <c r="A613">
        <v>3910335</v>
      </c>
      <c r="B613" s="16">
        <v>23</v>
      </c>
      <c r="C613" s="12" t="s">
        <v>122</v>
      </c>
      <c r="D613" s="12" t="s">
        <v>134</v>
      </c>
      <c r="E613" s="12" t="s">
        <v>152</v>
      </c>
      <c r="F613" s="12" t="s">
        <v>160</v>
      </c>
      <c r="G613" s="14">
        <f t="shared" ca="1" si="9"/>
        <v>6997.1809942825303</v>
      </c>
      <c r="H613" s="12" t="s">
        <v>172</v>
      </c>
      <c r="I613">
        <v>0</v>
      </c>
      <c r="J613">
        <v>54</v>
      </c>
      <c r="K613" s="12" t="s">
        <v>176</v>
      </c>
      <c r="L613">
        <v>0</v>
      </c>
      <c r="M613">
        <v>0</v>
      </c>
      <c r="O613" s="39"/>
      <c r="P613" s="16">
        <v>5950.03</v>
      </c>
      <c r="S613" s="17"/>
    </row>
    <row r="614" spans="1:19" x14ac:dyDescent="0.4">
      <c r="A614">
        <v>3916990</v>
      </c>
      <c r="B614" s="15">
        <v>23</v>
      </c>
      <c r="C614" s="12" t="s">
        <v>125</v>
      </c>
      <c r="D614" s="12" t="s">
        <v>139</v>
      </c>
      <c r="E614" s="12" t="s">
        <v>152</v>
      </c>
      <c r="F614" s="12" t="s">
        <v>164</v>
      </c>
      <c r="G614" s="14">
        <f t="shared" ca="1" si="9"/>
        <v>65976.385775677263</v>
      </c>
      <c r="H614" s="12" t="s">
        <v>172</v>
      </c>
      <c r="I614">
        <v>0</v>
      </c>
      <c r="J614">
        <v>40</v>
      </c>
      <c r="K614" s="12" t="s">
        <v>176</v>
      </c>
      <c r="L614">
        <v>0</v>
      </c>
      <c r="M614">
        <v>0</v>
      </c>
      <c r="O614" s="39"/>
      <c r="P614" s="15">
        <v>55206.8</v>
      </c>
      <c r="S614" s="17"/>
    </row>
    <row r="615" spans="1:19" x14ac:dyDescent="0.4">
      <c r="A615">
        <v>3925858</v>
      </c>
      <c r="B615" s="16">
        <v>66</v>
      </c>
      <c r="C615" s="12" t="s">
        <v>122</v>
      </c>
      <c r="D615" s="12" t="s">
        <v>134</v>
      </c>
      <c r="E615" s="12" t="s">
        <v>153</v>
      </c>
      <c r="F615" s="12" t="s">
        <v>162</v>
      </c>
      <c r="G615" s="14">
        <f t="shared" ca="1" si="9"/>
        <v>184281.04642445481</v>
      </c>
      <c r="H615" s="12" t="s">
        <v>171</v>
      </c>
      <c r="I615">
        <v>0</v>
      </c>
      <c r="J615">
        <v>35</v>
      </c>
      <c r="K615" s="12" t="s">
        <v>176</v>
      </c>
      <c r="L615">
        <v>0</v>
      </c>
      <c r="M615">
        <v>0</v>
      </c>
      <c r="O615" s="39"/>
      <c r="P615" s="16">
        <v>169192.1</v>
      </c>
      <c r="S615" s="17"/>
    </row>
    <row r="616" spans="1:19" x14ac:dyDescent="0.4">
      <c r="A616">
        <v>3928183</v>
      </c>
      <c r="B616" s="15">
        <v>42</v>
      </c>
      <c r="C616" s="12" t="s">
        <v>126</v>
      </c>
      <c r="D616" s="12" t="s">
        <v>138</v>
      </c>
      <c r="E616" s="12" t="s">
        <v>151</v>
      </c>
      <c r="F616" s="12" t="s">
        <v>160</v>
      </c>
      <c r="G616" s="14">
        <f t="shared" ca="1" si="9"/>
        <v>61915.728108691641</v>
      </c>
      <c r="H616" s="12" t="s">
        <v>172</v>
      </c>
      <c r="I616">
        <v>0</v>
      </c>
      <c r="J616">
        <v>45</v>
      </c>
      <c r="K616" s="12" t="s">
        <v>176</v>
      </c>
      <c r="L616">
        <v>0</v>
      </c>
      <c r="M616">
        <v>0</v>
      </c>
      <c r="O616" s="39"/>
      <c r="P616" s="15">
        <v>31457.77</v>
      </c>
      <c r="S616" s="17"/>
    </row>
    <row r="617" spans="1:19" x14ac:dyDescent="0.4">
      <c r="A617">
        <v>3933649</v>
      </c>
      <c r="B617" s="16">
        <v>24</v>
      </c>
      <c r="C617" s="12" t="s">
        <v>122</v>
      </c>
      <c r="D617" s="12" t="s">
        <v>135</v>
      </c>
      <c r="E617" s="12" t="s">
        <v>150</v>
      </c>
      <c r="F617" s="12" t="s">
        <v>162</v>
      </c>
      <c r="G617" s="14">
        <f t="shared" ca="1" si="9"/>
        <v>212327.96708730602</v>
      </c>
      <c r="H617" s="12" t="s">
        <v>172</v>
      </c>
      <c r="I617">
        <v>0</v>
      </c>
      <c r="J617">
        <v>40</v>
      </c>
      <c r="K617" s="12" t="s">
        <v>176</v>
      </c>
      <c r="L617">
        <v>0</v>
      </c>
      <c r="M617">
        <v>0</v>
      </c>
      <c r="O617" s="39"/>
      <c r="P617" s="16">
        <v>112617.59</v>
      </c>
      <c r="S617" s="17"/>
    </row>
    <row r="618" spans="1:19" x14ac:dyDescent="0.4">
      <c r="A618">
        <v>3939014</v>
      </c>
      <c r="B618" s="15">
        <v>46</v>
      </c>
      <c r="C618" s="12" t="s">
        <v>122</v>
      </c>
      <c r="D618" s="12" t="s">
        <v>137</v>
      </c>
      <c r="E618" s="12" t="s">
        <v>151</v>
      </c>
      <c r="F618" s="12" t="s">
        <v>163</v>
      </c>
      <c r="G618" s="14">
        <f t="shared" ca="1" si="9"/>
        <v>155466.2016311083</v>
      </c>
      <c r="H618" s="12" t="s">
        <v>171</v>
      </c>
      <c r="I618">
        <v>416.66666666666703</v>
      </c>
      <c r="J618">
        <v>40</v>
      </c>
      <c r="K618" s="12" t="s">
        <v>176</v>
      </c>
      <c r="L618">
        <v>0</v>
      </c>
      <c r="M618">
        <v>0</v>
      </c>
      <c r="O618" s="39"/>
      <c r="P618" s="15">
        <v>144181.15</v>
      </c>
      <c r="S618" s="17"/>
    </row>
    <row r="619" spans="1:19" x14ac:dyDescent="0.4">
      <c r="A619">
        <v>3940771</v>
      </c>
      <c r="B619" s="16">
        <v>67</v>
      </c>
      <c r="C619" s="12" t="s">
        <v>122</v>
      </c>
      <c r="D619" s="12" t="s">
        <v>134</v>
      </c>
      <c r="E619" s="12" t="s">
        <v>149</v>
      </c>
      <c r="F619" s="12" t="s">
        <v>161</v>
      </c>
      <c r="G619" s="14">
        <f t="shared" ca="1" si="9"/>
        <v>110504.57259045047</v>
      </c>
      <c r="H619" s="12" t="s">
        <v>171</v>
      </c>
      <c r="I619">
        <v>0</v>
      </c>
      <c r="J619">
        <v>40</v>
      </c>
      <c r="K619" s="12" t="s">
        <v>176</v>
      </c>
      <c r="L619">
        <v>0</v>
      </c>
      <c r="M619">
        <v>0</v>
      </c>
      <c r="O619" s="39"/>
      <c r="P619" s="16">
        <v>79554.22</v>
      </c>
      <c r="S619" s="17"/>
    </row>
    <row r="620" spans="1:19" x14ac:dyDescent="0.4">
      <c r="A620">
        <v>3943580</v>
      </c>
      <c r="B620" s="15">
        <v>28</v>
      </c>
      <c r="C620" s="12" t="s">
        <v>125</v>
      </c>
      <c r="D620" s="12" t="s">
        <v>132</v>
      </c>
      <c r="E620" s="12" t="s">
        <v>150</v>
      </c>
      <c r="F620" s="12" t="s">
        <v>158</v>
      </c>
      <c r="G620" s="14">
        <f t="shared" ca="1" si="9"/>
        <v>45492.591878826301</v>
      </c>
      <c r="H620" s="12" t="s">
        <v>171</v>
      </c>
      <c r="I620">
        <v>0</v>
      </c>
      <c r="J620">
        <v>16</v>
      </c>
      <c r="K620" s="12" t="s">
        <v>176</v>
      </c>
      <c r="L620">
        <v>0</v>
      </c>
      <c r="M620">
        <v>0</v>
      </c>
      <c r="O620" s="39"/>
      <c r="P620" s="15">
        <v>44411.01</v>
      </c>
      <c r="S620" s="17"/>
    </row>
    <row r="621" spans="1:19" x14ac:dyDescent="0.4">
      <c r="A621">
        <v>3947669</v>
      </c>
      <c r="B621" s="16">
        <v>48</v>
      </c>
      <c r="C621" s="12" t="s">
        <v>126</v>
      </c>
      <c r="D621" s="12" t="s">
        <v>138</v>
      </c>
      <c r="E621" s="12" t="s">
        <v>152</v>
      </c>
      <c r="F621" s="12" t="s">
        <v>144</v>
      </c>
      <c r="G621" s="14">
        <f t="shared" ca="1" si="9"/>
        <v>49533.811220103635</v>
      </c>
      <c r="H621" s="12" t="s">
        <v>172</v>
      </c>
      <c r="I621">
        <v>0</v>
      </c>
      <c r="J621">
        <v>40</v>
      </c>
      <c r="K621" s="12" t="s">
        <v>176</v>
      </c>
      <c r="L621">
        <v>15024</v>
      </c>
      <c r="M621">
        <v>1</v>
      </c>
      <c r="O621" s="39"/>
      <c r="P621" s="16">
        <v>27311.61</v>
      </c>
      <c r="S621" s="17"/>
    </row>
    <row r="622" spans="1:19" x14ac:dyDescent="0.4">
      <c r="A622">
        <v>3951796</v>
      </c>
      <c r="B622" s="15">
        <v>42</v>
      </c>
      <c r="C622" s="12" t="s">
        <v>124</v>
      </c>
      <c r="D622" s="12" t="s">
        <v>135</v>
      </c>
      <c r="E622" s="12" t="s">
        <v>152</v>
      </c>
      <c r="F622" s="12" t="s">
        <v>158</v>
      </c>
      <c r="G622" s="14">
        <f t="shared" ca="1" si="9"/>
        <v>240897.09452450022</v>
      </c>
      <c r="H622" s="12" t="s">
        <v>171</v>
      </c>
      <c r="I622">
        <v>0</v>
      </c>
      <c r="J622">
        <v>35</v>
      </c>
      <c r="K622" s="12" t="s">
        <v>129</v>
      </c>
      <c r="L622">
        <v>0</v>
      </c>
      <c r="M622">
        <v>0</v>
      </c>
      <c r="O622" s="39"/>
      <c r="P622" s="15">
        <v>216373</v>
      </c>
      <c r="S622" s="17"/>
    </row>
    <row r="623" spans="1:19" x14ac:dyDescent="0.4">
      <c r="A623">
        <v>3952457</v>
      </c>
      <c r="B623" s="16">
        <v>48</v>
      </c>
      <c r="C623" s="12" t="s">
        <v>122</v>
      </c>
      <c r="D623" s="12" t="s">
        <v>134</v>
      </c>
      <c r="E623" s="12" t="s">
        <v>152</v>
      </c>
      <c r="F623" s="12" t="s">
        <v>164</v>
      </c>
      <c r="G623" s="14">
        <f t="shared" ca="1" si="9"/>
        <v>249720.84903634034</v>
      </c>
      <c r="H623" s="12" t="s">
        <v>171</v>
      </c>
      <c r="I623">
        <v>0</v>
      </c>
      <c r="J623">
        <v>40</v>
      </c>
      <c r="K623" s="12" t="s">
        <v>176</v>
      </c>
      <c r="L623">
        <v>0</v>
      </c>
      <c r="M623">
        <v>0</v>
      </c>
      <c r="O623" s="39"/>
      <c r="P623" s="16">
        <v>235077.88</v>
      </c>
      <c r="S623" s="17"/>
    </row>
    <row r="624" spans="1:19" x14ac:dyDescent="0.4">
      <c r="A624">
        <v>3956755</v>
      </c>
      <c r="B624" s="15">
        <v>18</v>
      </c>
      <c r="C624" s="12" t="s">
        <v>122</v>
      </c>
      <c r="D624" s="12" t="s">
        <v>139</v>
      </c>
      <c r="E624" s="12" t="s">
        <v>150</v>
      </c>
      <c r="F624" s="12" t="s">
        <v>156</v>
      </c>
      <c r="G624" s="14">
        <f t="shared" ca="1" si="9"/>
        <v>56265.544689629445</v>
      </c>
      <c r="H624" s="12" t="s">
        <v>172</v>
      </c>
      <c r="I624">
        <v>0</v>
      </c>
      <c r="J624">
        <v>8</v>
      </c>
      <c r="K624" s="12" t="s">
        <v>176</v>
      </c>
      <c r="L624">
        <v>0</v>
      </c>
      <c r="M624">
        <v>0</v>
      </c>
      <c r="O624" s="39"/>
      <c r="P624" s="15">
        <v>55889.47</v>
      </c>
      <c r="S624" s="17"/>
    </row>
    <row r="625" spans="1:19" x14ac:dyDescent="0.4">
      <c r="A625">
        <v>3958097</v>
      </c>
      <c r="B625" s="16">
        <v>65</v>
      </c>
      <c r="C625" s="12" t="s">
        <v>122</v>
      </c>
      <c r="D625" s="12" t="s">
        <v>132</v>
      </c>
      <c r="E625" s="12" t="s">
        <v>153</v>
      </c>
      <c r="F625" s="12" t="s">
        <v>162</v>
      </c>
      <c r="G625" s="14">
        <f t="shared" ca="1" si="9"/>
        <v>234829.9135002658</v>
      </c>
      <c r="H625" s="12" t="s">
        <v>171</v>
      </c>
      <c r="I625">
        <v>0</v>
      </c>
      <c r="J625">
        <v>45</v>
      </c>
      <c r="K625" s="12" t="s">
        <v>176</v>
      </c>
      <c r="L625">
        <v>0</v>
      </c>
      <c r="M625">
        <v>0</v>
      </c>
      <c r="O625" s="39"/>
      <c r="P625" s="16">
        <v>134361.82</v>
      </c>
      <c r="S625" s="17"/>
    </row>
    <row r="626" spans="1:19" x14ac:dyDescent="0.4">
      <c r="A626">
        <v>3959980</v>
      </c>
      <c r="B626" s="15">
        <v>53</v>
      </c>
      <c r="C626" s="12" t="s">
        <v>122</v>
      </c>
      <c r="D626" s="12" t="s">
        <v>132</v>
      </c>
      <c r="E626" s="12" t="s">
        <v>152</v>
      </c>
      <c r="F626" s="12" t="s">
        <v>160</v>
      </c>
      <c r="G626" s="14">
        <f t="shared" ca="1" si="9"/>
        <v>60671.484422020803</v>
      </c>
      <c r="H626" s="12" t="s">
        <v>172</v>
      </c>
      <c r="I626">
        <v>0</v>
      </c>
      <c r="J626">
        <v>45</v>
      </c>
      <c r="K626" s="12" t="s">
        <v>176</v>
      </c>
      <c r="L626">
        <v>5319</v>
      </c>
      <c r="M626">
        <v>1</v>
      </c>
      <c r="O626" s="39"/>
      <c r="P626" s="15">
        <v>30441.040000000001</v>
      </c>
      <c r="S626" s="17"/>
    </row>
    <row r="627" spans="1:19" x14ac:dyDescent="0.4">
      <c r="A627">
        <v>3964056</v>
      </c>
      <c r="B627" s="16">
        <v>52</v>
      </c>
      <c r="C627" s="12" t="s">
        <v>122</v>
      </c>
      <c r="D627" s="12" t="s">
        <v>132</v>
      </c>
      <c r="E627" s="12" t="s">
        <v>152</v>
      </c>
      <c r="F627" s="12" t="s">
        <v>163</v>
      </c>
      <c r="G627" s="14">
        <f t="shared" ca="1" si="9"/>
        <v>58422.708215522944</v>
      </c>
      <c r="H627" s="12" t="s">
        <v>172</v>
      </c>
      <c r="I627">
        <v>0</v>
      </c>
      <c r="J627">
        <v>40</v>
      </c>
      <c r="K627" s="12" t="s">
        <v>176</v>
      </c>
      <c r="L627">
        <v>431</v>
      </c>
      <c r="M627">
        <v>1</v>
      </c>
      <c r="O627" s="39"/>
      <c r="P627" s="16">
        <v>36457.74</v>
      </c>
      <c r="S627" s="17"/>
    </row>
    <row r="628" spans="1:19" x14ac:dyDescent="0.4">
      <c r="A628">
        <v>3967161</v>
      </c>
      <c r="B628" s="15">
        <v>48</v>
      </c>
      <c r="C628" s="12" t="s">
        <v>122</v>
      </c>
      <c r="D628" s="12" t="s">
        <v>138</v>
      </c>
      <c r="E628" s="12" t="s">
        <v>150</v>
      </c>
      <c r="F628" s="12" t="s">
        <v>160</v>
      </c>
      <c r="G628" s="14">
        <f t="shared" ca="1" si="9"/>
        <v>22015.223155471154</v>
      </c>
      <c r="H628" s="12" t="s">
        <v>172</v>
      </c>
      <c r="I628">
        <v>0</v>
      </c>
      <c r="J628">
        <v>40</v>
      </c>
      <c r="K628" s="12" t="s">
        <v>176</v>
      </c>
      <c r="L628">
        <v>0</v>
      </c>
      <c r="M628">
        <v>0</v>
      </c>
      <c r="O628" s="39"/>
      <c r="P628" s="15">
        <v>15481.2</v>
      </c>
      <c r="S628" s="17"/>
    </row>
    <row r="629" spans="1:19" x14ac:dyDescent="0.4">
      <c r="A629">
        <v>3968001</v>
      </c>
      <c r="B629" s="16">
        <v>38</v>
      </c>
      <c r="C629" s="12" t="s">
        <v>122</v>
      </c>
      <c r="D629" s="12" t="s">
        <v>135</v>
      </c>
      <c r="E629" s="12" t="s">
        <v>152</v>
      </c>
      <c r="F629" s="12" t="s">
        <v>144</v>
      </c>
      <c r="G629" s="14">
        <f t="shared" ca="1" si="9"/>
        <v>69660.585034193529</v>
      </c>
      <c r="H629" s="12" t="s">
        <v>172</v>
      </c>
      <c r="I629">
        <v>0</v>
      </c>
      <c r="J629">
        <v>70</v>
      </c>
      <c r="K629" s="12" t="s">
        <v>176</v>
      </c>
      <c r="L629">
        <v>15024</v>
      </c>
      <c r="M629">
        <v>1</v>
      </c>
      <c r="O629" s="39"/>
      <c r="P629" s="16">
        <v>41845.120000000003</v>
      </c>
      <c r="S629" s="17"/>
    </row>
    <row r="630" spans="1:19" x14ac:dyDescent="0.4">
      <c r="A630">
        <v>3968461</v>
      </c>
      <c r="B630" s="15">
        <v>51</v>
      </c>
      <c r="C630" s="12" t="s">
        <v>129</v>
      </c>
      <c r="D630" s="12" t="s">
        <v>137</v>
      </c>
      <c r="E630" s="12" t="s">
        <v>152</v>
      </c>
      <c r="F630" s="12" t="s">
        <v>129</v>
      </c>
      <c r="G630" s="14">
        <f t="shared" ca="1" si="9"/>
        <v>69392.465789046357</v>
      </c>
      <c r="H630" s="12" t="s">
        <v>172</v>
      </c>
      <c r="I630">
        <v>0</v>
      </c>
      <c r="J630">
        <v>50</v>
      </c>
      <c r="K630" s="12" t="s">
        <v>176</v>
      </c>
      <c r="L630">
        <v>3997</v>
      </c>
      <c r="M630">
        <v>1</v>
      </c>
      <c r="O630" s="39"/>
      <c r="P630" s="15">
        <v>39195.94</v>
      </c>
      <c r="S630" s="17"/>
    </row>
    <row r="631" spans="1:19" x14ac:dyDescent="0.4">
      <c r="A631">
        <v>3973347</v>
      </c>
      <c r="B631" s="16">
        <v>20</v>
      </c>
      <c r="C631" s="12" t="s">
        <v>122</v>
      </c>
      <c r="D631" s="12" t="s">
        <v>134</v>
      </c>
      <c r="E631" s="12" t="s">
        <v>149</v>
      </c>
      <c r="F631" s="12" t="s">
        <v>161</v>
      </c>
      <c r="G631" s="14">
        <f t="shared" ca="1" si="9"/>
        <v>271180.80690405855</v>
      </c>
      <c r="H631" s="12" t="s">
        <v>172</v>
      </c>
      <c r="I631">
        <v>0</v>
      </c>
      <c r="J631">
        <v>40</v>
      </c>
      <c r="K631" s="12" t="s">
        <v>176</v>
      </c>
      <c r="L631">
        <v>0</v>
      </c>
      <c r="M631">
        <v>0</v>
      </c>
      <c r="O631" s="39"/>
      <c r="P631" s="16">
        <v>176485.25</v>
      </c>
      <c r="S631" s="17"/>
    </row>
    <row r="632" spans="1:19" x14ac:dyDescent="0.4">
      <c r="A632">
        <v>3974938</v>
      </c>
      <c r="B632" s="15">
        <v>57</v>
      </c>
      <c r="C632" s="12" t="s">
        <v>122</v>
      </c>
      <c r="D632" s="12" t="s">
        <v>134</v>
      </c>
      <c r="E632" s="12" t="s">
        <v>153</v>
      </c>
      <c r="F632" s="12" t="s">
        <v>157</v>
      </c>
      <c r="G632" s="14">
        <f t="shared" ca="1" si="9"/>
        <v>288417.64000792196</v>
      </c>
      <c r="H632" s="12" t="s">
        <v>172</v>
      </c>
      <c r="I632">
        <v>0</v>
      </c>
      <c r="J632">
        <v>50</v>
      </c>
      <c r="K632" s="12" t="s">
        <v>176</v>
      </c>
      <c r="L632">
        <v>0</v>
      </c>
      <c r="M632">
        <v>0</v>
      </c>
      <c r="O632" s="39"/>
      <c r="P632" s="15">
        <v>164663.6</v>
      </c>
      <c r="S632" s="17"/>
    </row>
    <row r="633" spans="1:19" x14ac:dyDescent="0.4">
      <c r="A633">
        <v>3977867</v>
      </c>
      <c r="B633" s="16">
        <v>26</v>
      </c>
      <c r="C633" s="12" t="s">
        <v>122</v>
      </c>
      <c r="D633" s="12" t="s">
        <v>132</v>
      </c>
      <c r="E633" s="12" t="s">
        <v>150</v>
      </c>
      <c r="F633" s="12" t="s">
        <v>158</v>
      </c>
      <c r="G633" s="14">
        <f t="shared" ca="1" si="9"/>
        <v>163078.88955459514</v>
      </c>
      <c r="H633" s="12" t="s">
        <v>171</v>
      </c>
      <c r="I633">
        <v>0</v>
      </c>
      <c r="J633">
        <v>45</v>
      </c>
      <c r="K633" s="12" t="s">
        <v>176</v>
      </c>
      <c r="L633">
        <v>0</v>
      </c>
      <c r="M633">
        <v>0</v>
      </c>
      <c r="O633" s="39"/>
      <c r="P633" s="16">
        <v>92535.679999999993</v>
      </c>
      <c r="S633" s="17"/>
    </row>
    <row r="634" spans="1:19" x14ac:dyDescent="0.4">
      <c r="A634">
        <v>3978887</v>
      </c>
      <c r="B634" s="15">
        <v>44</v>
      </c>
      <c r="C634" s="12" t="s">
        <v>122</v>
      </c>
      <c r="D634" s="12" t="s">
        <v>137</v>
      </c>
      <c r="E634" s="12" t="s">
        <v>152</v>
      </c>
      <c r="F634" s="12" t="s">
        <v>160</v>
      </c>
      <c r="G634" s="14">
        <f t="shared" ca="1" si="9"/>
        <v>10098.270395697748</v>
      </c>
      <c r="H634" s="12" t="s">
        <v>172</v>
      </c>
      <c r="I634">
        <v>0</v>
      </c>
      <c r="J634">
        <v>40</v>
      </c>
      <c r="K634" s="12" t="s">
        <v>176</v>
      </c>
      <c r="L634">
        <v>0</v>
      </c>
      <c r="M634">
        <v>0</v>
      </c>
      <c r="O634" s="39"/>
      <c r="P634" s="15">
        <v>6133.38</v>
      </c>
      <c r="S634" s="17"/>
    </row>
    <row r="635" spans="1:19" x14ac:dyDescent="0.4">
      <c r="A635">
        <v>3980226</v>
      </c>
      <c r="B635" s="16">
        <v>31</v>
      </c>
      <c r="C635" s="12" t="s">
        <v>122</v>
      </c>
      <c r="D635" s="12" t="s">
        <v>132</v>
      </c>
      <c r="E635" s="12" t="s">
        <v>149</v>
      </c>
      <c r="F635" s="12" t="s">
        <v>164</v>
      </c>
      <c r="G635" s="14">
        <f t="shared" ca="1" si="9"/>
        <v>154892.1535256069</v>
      </c>
      <c r="H635" s="12" t="s">
        <v>172</v>
      </c>
      <c r="I635">
        <v>0</v>
      </c>
      <c r="J635">
        <v>40</v>
      </c>
      <c r="K635" s="12" t="s">
        <v>176</v>
      </c>
      <c r="L635">
        <v>0</v>
      </c>
      <c r="M635">
        <v>0</v>
      </c>
      <c r="O635" s="39"/>
      <c r="P635" s="16">
        <v>88116.45</v>
      </c>
      <c r="S635" s="17"/>
    </row>
    <row r="636" spans="1:19" x14ac:dyDescent="0.4">
      <c r="A636">
        <v>3980453</v>
      </c>
      <c r="B636" s="15">
        <v>57</v>
      </c>
      <c r="C636" s="12" t="s">
        <v>122</v>
      </c>
      <c r="D636" s="12" t="s">
        <v>143</v>
      </c>
      <c r="E636" s="12" t="s">
        <v>152</v>
      </c>
      <c r="F636" s="12" t="s">
        <v>156</v>
      </c>
      <c r="G636" s="14">
        <f t="shared" ca="1" si="9"/>
        <v>80499.565457384568</v>
      </c>
      <c r="H636" s="12" t="s">
        <v>172</v>
      </c>
      <c r="I636">
        <v>0</v>
      </c>
      <c r="J636">
        <v>40</v>
      </c>
      <c r="K636" s="12" t="s">
        <v>196</v>
      </c>
      <c r="L636">
        <v>0</v>
      </c>
      <c r="M636">
        <v>0</v>
      </c>
      <c r="O636" s="39"/>
      <c r="P636" s="15">
        <v>42522.57</v>
      </c>
      <c r="S636" s="17"/>
    </row>
    <row r="637" spans="1:19" x14ac:dyDescent="0.4">
      <c r="A637">
        <v>3982518</v>
      </c>
      <c r="B637" s="16">
        <v>24</v>
      </c>
      <c r="C637" s="12" t="s">
        <v>127</v>
      </c>
      <c r="D637" s="12" t="s">
        <v>134</v>
      </c>
      <c r="E637" s="12" t="s">
        <v>150</v>
      </c>
      <c r="F637" s="12" t="s">
        <v>158</v>
      </c>
      <c r="G637" s="14">
        <f t="shared" ca="1" si="9"/>
        <v>119465.088599661</v>
      </c>
      <c r="H637" s="12" t="s">
        <v>171</v>
      </c>
      <c r="I637">
        <v>1316</v>
      </c>
      <c r="J637">
        <v>40</v>
      </c>
      <c r="K637" s="12" t="s">
        <v>176</v>
      </c>
      <c r="L637">
        <v>0</v>
      </c>
      <c r="M637">
        <v>0</v>
      </c>
      <c r="O637" s="39"/>
      <c r="P637" s="16">
        <v>106167.56</v>
      </c>
      <c r="S637" s="17"/>
    </row>
    <row r="638" spans="1:19" x14ac:dyDescent="0.4">
      <c r="A638">
        <v>3986603</v>
      </c>
      <c r="B638" s="15">
        <v>69</v>
      </c>
      <c r="C638" s="12" t="s">
        <v>122</v>
      </c>
      <c r="D638" s="12" t="s">
        <v>143</v>
      </c>
      <c r="E638" s="12" t="s">
        <v>152</v>
      </c>
      <c r="F638" s="12" t="s">
        <v>161</v>
      </c>
      <c r="G638" s="14">
        <f t="shared" ca="1" si="9"/>
        <v>75208.397199225539</v>
      </c>
      <c r="H638" s="12" t="s">
        <v>172</v>
      </c>
      <c r="I638">
        <v>1511.3333333333301</v>
      </c>
      <c r="J638">
        <v>40</v>
      </c>
      <c r="K638" s="12" t="s">
        <v>176</v>
      </c>
      <c r="L638">
        <v>0</v>
      </c>
      <c r="M638">
        <v>0</v>
      </c>
      <c r="O638" s="39"/>
      <c r="P638" s="15">
        <v>43192.7</v>
      </c>
      <c r="S638" s="17"/>
    </row>
    <row r="639" spans="1:19" x14ac:dyDescent="0.4">
      <c r="A639">
        <v>3986945</v>
      </c>
      <c r="B639" s="16">
        <v>51</v>
      </c>
      <c r="C639" s="12" t="s">
        <v>123</v>
      </c>
      <c r="D639" s="12" t="s">
        <v>134</v>
      </c>
      <c r="E639" s="12" t="s">
        <v>152</v>
      </c>
      <c r="F639" s="12" t="s">
        <v>165</v>
      </c>
      <c r="G639" s="14">
        <f t="shared" ca="1" si="9"/>
        <v>46723.66033893729</v>
      </c>
      <c r="H639" s="12" t="s">
        <v>172</v>
      </c>
      <c r="I639">
        <v>0</v>
      </c>
      <c r="J639">
        <v>55</v>
      </c>
      <c r="K639" s="12" t="s">
        <v>176</v>
      </c>
      <c r="L639">
        <v>0</v>
      </c>
      <c r="M639">
        <v>0</v>
      </c>
      <c r="O639" s="39"/>
      <c r="P639" s="16">
        <v>40491.550000000003</v>
      </c>
      <c r="S639" s="17"/>
    </row>
    <row r="640" spans="1:19" x14ac:dyDescent="0.4">
      <c r="A640">
        <v>3989269</v>
      </c>
      <c r="B640" s="15">
        <v>27</v>
      </c>
      <c r="C640" s="12" t="s">
        <v>122</v>
      </c>
      <c r="D640" s="12" t="s">
        <v>140</v>
      </c>
      <c r="E640" s="12" t="s">
        <v>152</v>
      </c>
      <c r="F640" s="12" t="s">
        <v>164</v>
      </c>
      <c r="G640" s="14">
        <f t="shared" ca="1" si="9"/>
        <v>64419.317202603699</v>
      </c>
      <c r="H640" s="12" t="s">
        <v>172</v>
      </c>
      <c r="I640">
        <v>0</v>
      </c>
      <c r="J640">
        <v>40</v>
      </c>
      <c r="K640" s="12" t="s">
        <v>176</v>
      </c>
      <c r="L640">
        <v>0</v>
      </c>
      <c r="M640">
        <v>0</v>
      </c>
      <c r="O640" s="39"/>
      <c r="P640" s="15">
        <v>43757.41</v>
      </c>
      <c r="S640" s="17"/>
    </row>
    <row r="641" spans="1:19" x14ac:dyDescent="0.4">
      <c r="A641">
        <v>3990972</v>
      </c>
      <c r="B641" s="16">
        <v>28</v>
      </c>
      <c r="C641" s="12" t="s">
        <v>122</v>
      </c>
      <c r="D641" s="12" t="s">
        <v>142</v>
      </c>
      <c r="E641" s="12" t="s">
        <v>152</v>
      </c>
      <c r="F641" s="12" t="s">
        <v>161</v>
      </c>
      <c r="G641" s="14">
        <f t="shared" ca="1" si="9"/>
        <v>313428.64342198073</v>
      </c>
      <c r="H641" s="12" t="s">
        <v>171</v>
      </c>
      <c r="I641">
        <v>0</v>
      </c>
      <c r="J641">
        <v>40</v>
      </c>
      <c r="K641" s="12" t="s">
        <v>176</v>
      </c>
      <c r="L641">
        <v>0</v>
      </c>
      <c r="M641">
        <v>0</v>
      </c>
      <c r="O641" s="39"/>
      <c r="P641" s="16">
        <v>239217.93</v>
      </c>
      <c r="S641" s="17"/>
    </row>
    <row r="642" spans="1:19" x14ac:dyDescent="0.4">
      <c r="A642">
        <v>3994144</v>
      </c>
      <c r="B642" s="15">
        <v>61</v>
      </c>
      <c r="C642" s="12" t="s">
        <v>122</v>
      </c>
      <c r="D642" s="12" t="s">
        <v>135</v>
      </c>
      <c r="E642" s="12" t="s">
        <v>152</v>
      </c>
      <c r="F642" s="12" t="s">
        <v>162</v>
      </c>
      <c r="G642" s="14">
        <f t="shared" ca="1" si="9"/>
        <v>95000.044788179381</v>
      </c>
      <c r="H642" s="12" t="s">
        <v>172</v>
      </c>
      <c r="I642">
        <v>0</v>
      </c>
      <c r="J642">
        <v>50</v>
      </c>
      <c r="K642" s="12" t="s">
        <v>176</v>
      </c>
      <c r="L642">
        <v>1689</v>
      </c>
      <c r="M642">
        <v>1</v>
      </c>
      <c r="O642" s="39"/>
      <c r="P642" s="15">
        <v>50401.279999999999</v>
      </c>
      <c r="S642" s="17"/>
    </row>
    <row r="643" spans="1:19" x14ac:dyDescent="0.4">
      <c r="A643">
        <v>4002338</v>
      </c>
      <c r="B643" s="16">
        <v>30</v>
      </c>
      <c r="C643" s="12" t="s">
        <v>122</v>
      </c>
      <c r="D643" s="12" t="s">
        <v>132</v>
      </c>
      <c r="E643" s="12" t="s">
        <v>152</v>
      </c>
      <c r="F643" s="12" t="s">
        <v>161</v>
      </c>
      <c r="G643" s="14">
        <f t="shared" ca="1" si="9"/>
        <v>24686.135083460522</v>
      </c>
      <c r="H643" s="12" t="s">
        <v>172</v>
      </c>
      <c r="I643">
        <v>0</v>
      </c>
      <c r="J643">
        <v>40</v>
      </c>
      <c r="K643" s="12" t="s">
        <v>176</v>
      </c>
      <c r="L643">
        <v>11395</v>
      </c>
      <c r="M643">
        <v>1</v>
      </c>
      <c r="O643" s="39"/>
      <c r="P643" s="16">
        <v>15097.86</v>
      </c>
      <c r="S643" s="17"/>
    </row>
    <row r="644" spans="1:19" x14ac:dyDescent="0.4">
      <c r="A644">
        <v>4007994</v>
      </c>
      <c r="B644" s="15">
        <v>25</v>
      </c>
      <c r="C644" s="12" t="s">
        <v>122</v>
      </c>
      <c r="D644" s="12" t="s">
        <v>135</v>
      </c>
      <c r="E644" s="12" t="s">
        <v>150</v>
      </c>
      <c r="F644" s="12" t="s">
        <v>163</v>
      </c>
      <c r="G644" s="14">
        <f t="shared" ca="1" si="9"/>
        <v>275151.95255821355</v>
      </c>
      <c r="H644" s="12" t="s">
        <v>172</v>
      </c>
      <c r="I644">
        <v>0</v>
      </c>
      <c r="J644">
        <v>40</v>
      </c>
      <c r="K644" s="12" t="s">
        <v>176</v>
      </c>
      <c r="L644">
        <v>0</v>
      </c>
      <c r="M644">
        <v>0</v>
      </c>
      <c r="O644" s="39"/>
      <c r="P644" s="15">
        <v>244248.76</v>
      </c>
      <c r="S644" s="17"/>
    </row>
    <row r="645" spans="1:19" x14ac:dyDescent="0.4">
      <c r="A645">
        <v>4022245</v>
      </c>
      <c r="B645" s="16">
        <v>59</v>
      </c>
      <c r="C645" s="12" t="s">
        <v>125</v>
      </c>
      <c r="D645" s="12" t="s">
        <v>137</v>
      </c>
      <c r="E645" s="12" t="s">
        <v>151</v>
      </c>
      <c r="F645" s="12" t="s">
        <v>158</v>
      </c>
      <c r="G645" s="14">
        <f t="shared" ca="1" si="9"/>
        <v>122494.13109377648</v>
      </c>
      <c r="H645" s="12" t="s">
        <v>171</v>
      </c>
      <c r="I645">
        <v>0</v>
      </c>
      <c r="J645">
        <v>40</v>
      </c>
      <c r="K645" s="12" t="s">
        <v>176</v>
      </c>
      <c r="L645">
        <v>0</v>
      </c>
      <c r="M645">
        <v>0</v>
      </c>
      <c r="O645" s="39"/>
      <c r="P645" s="16">
        <v>104006.41</v>
      </c>
      <c r="S645" s="17"/>
    </row>
    <row r="646" spans="1:19" x14ac:dyDescent="0.4">
      <c r="A646">
        <v>4024137</v>
      </c>
      <c r="B646" s="15">
        <v>37</v>
      </c>
      <c r="C646" s="12" t="s">
        <v>122</v>
      </c>
      <c r="D646" s="12" t="s">
        <v>143</v>
      </c>
      <c r="E646" s="12" t="s">
        <v>152</v>
      </c>
      <c r="F646" s="12" t="s">
        <v>156</v>
      </c>
      <c r="G646" s="14">
        <f t="shared" ca="1" si="9"/>
        <v>104517.15235417843</v>
      </c>
      <c r="H646" s="12" t="s">
        <v>172</v>
      </c>
      <c r="I646">
        <v>0</v>
      </c>
      <c r="J646">
        <v>40</v>
      </c>
      <c r="K646" s="12" t="s">
        <v>129</v>
      </c>
      <c r="L646">
        <v>0</v>
      </c>
      <c r="M646">
        <v>0</v>
      </c>
      <c r="O646" s="39"/>
      <c r="P646" s="15">
        <v>60542.61</v>
      </c>
      <c r="S646" s="17"/>
    </row>
    <row r="647" spans="1:19" x14ac:dyDescent="0.4">
      <c r="A647">
        <v>4026717</v>
      </c>
      <c r="B647" s="16">
        <v>26</v>
      </c>
      <c r="C647" s="12" t="s">
        <v>122</v>
      </c>
      <c r="D647" s="12" t="s">
        <v>134</v>
      </c>
      <c r="E647" s="12" t="s">
        <v>151</v>
      </c>
      <c r="F647" s="12" t="s">
        <v>158</v>
      </c>
      <c r="G647" s="14">
        <f t="shared" ca="1" si="9"/>
        <v>89295.518547702392</v>
      </c>
      <c r="H647" s="12" t="s">
        <v>171</v>
      </c>
      <c r="I647">
        <v>0</v>
      </c>
      <c r="J647">
        <v>40</v>
      </c>
      <c r="K647" s="12" t="s">
        <v>176</v>
      </c>
      <c r="L647">
        <v>0</v>
      </c>
      <c r="M647">
        <v>0</v>
      </c>
      <c r="O647" s="39"/>
      <c r="P647" s="16">
        <v>81147.27</v>
      </c>
      <c r="S647" s="17"/>
    </row>
    <row r="648" spans="1:19" x14ac:dyDescent="0.4">
      <c r="A648">
        <v>4030547</v>
      </c>
      <c r="B648" s="15">
        <v>41</v>
      </c>
      <c r="C648" s="12" t="s">
        <v>123</v>
      </c>
      <c r="D648" s="12" t="s">
        <v>132</v>
      </c>
      <c r="E648" s="12" t="s">
        <v>149</v>
      </c>
      <c r="F648" s="12" t="s">
        <v>159</v>
      </c>
      <c r="G648" s="14">
        <f t="shared" ca="1" si="9"/>
        <v>121996.76154140299</v>
      </c>
      <c r="H648" s="12" t="s">
        <v>172</v>
      </c>
      <c r="I648">
        <v>0</v>
      </c>
      <c r="J648">
        <v>40</v>
      </c>
      <c r="K648" s="12" t="s">
        <v>176</v>
      </c>
      <c r="L648">
        <v>0</v>
      </c>
      <c r="M648">
        <v>0</v>
      </c>
      <c r="O648" s="39"/>
      <c r="P648" s="15">
        <v>66294.52</v>
      </c>
      <c r="S648" s="17"/>
    </row>
    <row r="649" spans="1:19" x14ac:dyDescent="0.4">
      <c r="A649">
        <v>4031109</v>
      </c>
      <c r="B649" s="16">
        <v>51</v>
      </c>
      <c r="C649" s="12" t="s">
        <v>122</v>
      </c>
      <c r="D649" s="12" t="s">
        <v>135</v>
      </c>
      <c r="E649" s="12" t="s">
        <v>150</v>
      </c>
      <c r="F649" s="12" t="s">
        <v>162</v>
      </c>
      <c r="G649" s="14">
        <f t="shared" ca="1" si="9"/>
        <v>63602.719279529396</v>
      </c>
      <c r="H649" s="12" t="s">
        <v>171</v>
      </c>
      <c r="I649">
        <v>1564</v>
      </c>
      <c r="J649">
        <v>43</v>
      </c>
      <c r="K649" s="12" t="s">
        <v>176</v>
      </c>
      <c r="L649">
        <v>3162</v>
      </c>
      <c r="M649">
        <v>1</v>
      </c>
      <c r="O649" s="39"/>
      <c r="P649" s="16">
        <v>41358.629999999997</v>
      </c>
      <c r="S649" s="17"/>
    </row>
    <row r="650" spans="1:19" x14ac:dyDescent="0.4">
      <c r="A650">
        <v>4031521</v>
      </c>
      <c r="B650" s="15">
        <v>27</v>
      </c>
      <c r="C650" s="12" t="s">
        <v>122</v>
      </c>
      <c r="D650" s="12" t="s">
        <v>145</v>
      </c>
      <c r="E650" s="12" t="s">
        <v>151</v>
      </c>
      <c r="F650" s="12" t="s">
        <v>161</v>
      </c>
      <c r="G650" s="14">
        <f t="shared" ca="1" si="9"/>
        <v>334702.01413155056</v>
      </c>
      <c r="H650" s="12" t="s">
        <v>172</v>
      </c>
      <c r="I650">
        <v>649.33333333333303</v>
      </c>
      <c r="J650">
        <v>40</v>
      </c>
      <c r="K650" s="12" t="s">
        <v>176</v>
      </c>
      <c r="L650">
        <v>0</v>
      </c>
      <c r="M650">
        <v>0</v>
      </c>
      <c r="O650" s="39"/>
      <c r="P650" s="15">
        <v>172504.15</v>
      </c>
      <c r="S650" s="17"/>
    </row>
    <row r="651" spans="1:19" x14ac:dyDescent="0.4">
      <c r="A651">
        <v>4040042</v>
      </c>
      <c r="B651" s="16">
        <v>37</v>
      </c>
      <c r="C651" s="12" t="s">
        <v>122</v>
      </c>
      <c r="D651" s="12" t="s">
        <v>132</v>
      </c>
      <c r="E651" s="12" t="s">
        <v>152</v>
      </c>
      <c r="F651" s="12" t="s">
        <v>159</v>
      </c>
      <c r="G651" s="14">
        <f t="shared" ref="G651:G714" ca="1" si="10">P651*(1+RAND())</f>
        <v>31504.954851596569</v>
      </c>
      <c r="H651" s="12" t="s">
        <v>172</v>
      </c>
      <c r="I651">
        <v>0</v>
      </c>
      <c r="J651">
        <v>35</v>
      </c>
      <c r="K651" s="12" t="s">
        <v>176</v>
      </c>
      <c r="L651">
        <v>0</v>
      </c>
      <c r="M651">
        <v>0</v>
      </c>
      <c r="O651" s="39"/>
      <c r="P651" s="16">
        <v>22745.9</v>
      </c>
      <c r="S651" s="17"/>
    </row>
    <row r="652" spans="1:19" x14ac:dyDescent="0.4">
      <c r="A652">
        <v>4040192</v>
      </c>
      <c r="B652" s="15">
        <v>28</v>
      </c>
      <c r="C652" s="12" t="s">
        <v>122</v>
      </c>
      <c r="D652" s="12" t="s">
        <v>140</v>
      </c>
      <c r="E652" s="12" t="s">
        <v>154</v>
      </c>
      <c r="F652" s="12" t="s">
        <v>159</v>
      </c>
      <c r="G652" s="14">
        <f t="shared" ca="1" si="10"/>
        <v>366846.15411816025</v>
      </c>
      <c r="H652" s="12" t="s">
        <v>172</v>
      </c>
      <c r="I652">
        <v>0</v>
      </c>
      <c r="J652">
        <v>40</v>
      </c>
      <c r="K652" s="12" t="s">
        <v>179</v>
      </c>
      <c r="L652">
        <v>0</v>
      </c>
      <c r="M652">
        <v>0</v>
      </c>
      <c r="O652" s="39"/>
      <c r="P652" s="15">
        <v>218597.45</v>
      </c>
      <c r="S652" s="17"/>
    </row>
    <row r="653" spans="1:19" x14ac:dyDescent="0.4">
      <c r="A653">
        <v>4045606</v>
      </c>
      <c r="B653" s="16">
        <v>43</v>
      </c>
      <c r="C653" s="12" t="s">
        <v>122</v>
      </c>
      <c r="D653" s="12" t="s">
        <v>134</v>
      </c>
      <c r="E653" s="12" t="s">
        <v>150</v>
      </c>
      <c r="F653" s="12" t="s">
        <v>144</v>
      </c>
      <c r="G653" s="14">
        <f t="shared" ca="1" si="10"/>
        <v>194372.35191524457</v>
      </c>
      <c r="H653" s="12" t="s">
        <v>172</v>
      </c>
      <c r="I653">
        <v>0</v>
      </c>
      <c r="J653">
        <v>40</v>
      </c>
      <c r="K653" s="12" t="s">
        <v>176</v>
      </c>
      <c r="L653">
        <v>0</v>
      </c>
      <c r="M653">
        <v>0</v>
      </c>
      <c r="O653" s="39"/>
      <c r="P653" s="16">
        <v>117813.86</v>
      </c>
      <c r="S653" s="17"/>
    </row>
    <row r="654" spans="1:19" x14ac:dyDescent="0.4">
      <c r="A654">
        <v>4046918</v>
      </c>
      <c r="B654" s="15">
        <v>38</v>
      </c>
      <c r="C654" s="12" t="s">
        <v>122</v>
      </c>
      <c r="D654" s="12" t="s">
        <v>133</v>
      </c>
      <c r="E654" s="12" t="s">
        <v>151</v>
      </c>
      <c r="F654" s="12" t="s">
        <v>160</v>
      </c>
      <c r="G654" s="14">
        <f t="shared" ca="1" si="10"/>
        <v>67192.867186536867</v>
      </c>
      <c r="H654" s="12" t="s">
        <v>171</v>
      </c>
      <c r="I654">
        <v>0</v>
      </c>
      <c r="J654">
        <v>40</v>
      </c>
      <c r="K654" s="12" t="s">
        <v>176</v>
      </c>
      <c r="L654">
        <v>0</v>
      </c>
      <c r="M654">
        <v>0</v>
      </c>
      <c r="O654" s="39"/>
      <c r="P654" s="15">
        <v>66415.75</v>
      </c>
      <c r="S654" s="17"/>
    </row>
    <row r="655" spans="1:19" x14ac:dyDescent="0.4">
      <c r="A655">
        <v>4047327</v>
      </c>
      <c r="B655" s="16">
        <v>43</v>
      </c>
      <c r="C655" s="12" t="s">
        <v>124</v>
      </c>
      <c r="D655" s="12" t="s">
        <v>132</v>
      </c>
      <c r="E655" s="12" t="s">
        <v>152</v>
      </c>
      <c r="F655" s="12" t="s">
        <v>160</v>
      </c>
      <c r="G655" s="14">
        <f t="shared" ca="1" si="10"/>
        <v>57685.283481735976</v>
      </c>
      <c r="H655" s="12" t="s">
        <v>172</v>
      </c>
      <c r="I655">
        <v>0</v>
      </c>
      <c r="J655">
        <v>70</v>
      </c>
      <c r="K655" s="12" t="s">
        <v>176</v>
      </c>
      <c r="L655">
        <v>0</v>
      </c>
      <c r="M655">
        <v>1</v>
      </c>
      <c r="O655" s="39"/>
      <c r="P655" s="16">
        <v>34585.86</v>
      </c>
      <c r="S655" s="17"/>
    </row>
    <row r="656" spans="1:19" x14ac:dyDescent="0.4">
      <c r="A656">
        <v>4048711</v>
      </c>
      <c r="B656" s="15">
        <v>45</v>
      </c>
      <c r="C656" s="12" t="s">
        <v>122</v>
      </c>
      <c r="D656" s="12" t="s">
        <v>134</v>
      </c>
      <c r="E656" s="12" t="s">
        <v>150</v>
      </c>
      <c r="F656" s="12" t="s">
        <v>164</v>
      </c>
      <c r="G656" s="14">
        <f t="shared" ca="1" si="10"/>
        <v>107968.8972078761</v>
      </c>
      <c r="H656" s="12" t="s">
        <v>171</v>
      </c>
      <c r="I656">
        <v>0</v>
      </c>
      <c r="J656">
        <v>40</v>
      </c>
      <c r="K656" s="12" t="s">
        <v>176</v>
      </c>
      <c r="L656">
        <v>0</v>
      </c>
      <c r="M656">
        <v>0</v>
      </c>
      <c r="O656" s="39"/>
      <c r="P656" s="15">
        <v>54610.25</v>
      </c>
      <c r="S656" s="17"/>
    </row>
    <row r="657" spans="1:19" x14ac:dyDescent="0.4">
      <c r="A657">
        <v>4050489</v>
      </c>
      <c r="B657" s="16">
        <v>32</v>
      </c>
      <c r="C657" s="12" t="s">
        <v>122</v>
      </c>
      <c r="D657" s="12" t="s">
        <v>134</v>
      </c>
      <c r="E657" s="12" t="s">
        <v>150</v>
      </c>
      <c r="F657" s="12" t="s">
        <v>165</v>
      </c>
      <c r="G657" s="14">
        <f t="shared" ca="1" si="10"/>
        <v>140795.45857026792</v>
      </c>
      <c r="H657" s="12" t="s">
        <v>172</v>
      </c>
      <c r="I657">
        <v>0</v>
      </c>
      <c r="J657">
        <v>40</v>
      </c>
      <c r="K657" s="12" t="s">
        <v>176</v>
      </c>
      <c r="L657">
        <v>0</v>
      </c>
      <c r="M657">
        <v>0</v>
      </c>
      <c r="O657" s="39"/>
      <c r="P657" s="16">
        <v>132527.18</v>
      </c>
      <c r="S657" s="17"/>
    </row>
    <row r="658" spans="1:19" x14ac:dyDescent="0.4">
      <c r="A658">
        <v>4051301</v>
      </c>
      <c r="B658" s="15">
        <v>21</v>
      </c>
      <c r="C658" s="12" t="s">
        <v>122</v>
      </c>
      <c r="D658" s="12" t="s">
        <v>132</v>
      </c>
      <c r="E658" s="12" t="s">
        <v>150</v>
      </c>
      <c r="F658" s="12" t="s">
        <v>158</v>
      </c>
      <c r="G658" s="14">
        <f t="shared" ca="1" si="10"/>
        <v>70646.194857558803</v>
      </c>
      <c r="H658" s="12" t="s">
        <v>171</v>
      </c>
      <c r="I658">
        <v>0</v>
      </c>
      <c r="J658">
        <v>25</v>
      </c>
      <c r="K658" s="12" t="s">
        <v>176</v>
      </c>
      <c r="L658">
        <v>0</v>
      </c>
      <c r="M658">
        <v>0</v>
      </c>
      <c r="O658" s="39"/>
      <c r="P658" s="15">
        <v>47414.35</v>
      </c>
      <c r="S658" s="17"/>
    </row>
    <row r="659" spans="1:19" x14ac:dyDescent="0.4">
      <c r="A659">
        <v>4051568</v>
      </c>
      <c r="B659" s="16">
        <v>32</v>
      </c>
      <c r="C659" s="12" t="s">
        <v>129</v>
      </c>
      <c r="D659" s="12" t="s">
        <v>132</v>
      </c>
      <c r="E659" s="12" t="s">
        <v>152</v>
      </c>
      <c r="F659" s="12" t="s">
        <v>129</v>
      </c>
      <c r="G659" s="14">
        <f t="shared" ca="1" si="10"/>
        <v>61623.162666584583</v>
      </c>
      <c r="H659" s="12" t="s">
        <v>172</v>
      </c>
      <c r="I659">
        <v>0</v>
      </c>
      <c r="J659">
        <v>40</v>
      </c>
      <c r="K659" s="12" t="s">
        <v>176</v>
      </c>
      <c r="L659">
        <v>0</v>
      </c>
      <c r="M659">
        <v>0</v>
      </c>
      <c r="O659" s="39"/>
      <c r="P659" s="16">
        <v>40288.080000000002</v>
      </c>
      <c r="S659" s="17"/>
    </row>
    <row r="660" spans="1:19" x14ac:dyDescent="0.4">
      <c r="A660">
        <v>4061361</v>
      </c>
      <c r="B660" s="15">
        <v>31</v>
      </c>
      <c r="C660" s="12" t="s">
        <v>122</v>
      </c>
      <c r="D660" s="12" t="s">
        <v>132</v>
      </c>
      <c r="E660" s="12" t="s">
        <v>150</v>
      </c>
      <c r="F660" s="12" t="s">
        <v>162</v>
      </c>
      <c r="G660" s="14">
        <f t="shared" ca="1" si="10"/>
        <v>122096.52032673189</v>
      </c>
      <c r="H660" s="12" t="s">
        <v>172</v>
      </c>
      <c r="I660">
        <v>0</v>
      </c>
      <c r="J660">
        <v>45</v>
      </c>
      <c r="K660" s="12" t="s">
        <v>176</v>
      </c>
      <c r="L660">
        <v>0</v>
      </c>
      <c r="M660">
        <v>0</v>
      </c>
      <c r="O660" s="39"/>
      <c r="P660" s="15">
        <v>71579.7</v>
      </c>
      <c r="S660" s="17"/>
    </row>
    <row r="661" spans="1:19" x14ac:dyDescent="0.4">
      <c r="A661">
        <v>4083366</v>
      </c>
      <c r="B661" s="16">
        <v>30</v>
      </c>
      <c r="C661" s="12" t="s">
        <v>124</v>
      </c>
      <c r="D661" s="12" t="s">
        <v>134</v>
      </c>
      <c r="E661" s="12" t="s">
        <v>152</v>
      </c>
      <c r="F661" s="12" t="s">
        <v>164</v>
      </c>
      <c r="G661" s="14">
        <f t="shared" ca="1" si="10"/>
        <v>86709.492404506949</v>
      </c>
      <c r="H661" s="12" t="s">
        <v>172</v>
      </c>
      <c r="I661">
        <v>0</v>
      </c>
      <c r="J661">
        <v>60</v>
      </c>
      <c r="K661" s="12" t="s">
        <v>176</v>
      </c>
      <c r="L661">
        <v>0</v>
      </c>
      <c r="M661">
        <v>0</v>
      </c>
      <c r="O661" s="39"/>
      <c r="P661" s="16">
        <v>43547.15</v>
      </c>
      <c r="S661" s="17"/>
    </row>
    <row r="662" spans="1:19" x14ac:dyDescent="0.4">
      <c r="A662">
        <v>4094530</v>
      </c>
      <c r="B662" s="15">
        <v>44</v>
      </c>
      <c r="C662" s="12" t="s">
        <v>123</v>
      </c>
      <c r="D662" s="12" t="s">
        <v>138</v>
      </c>
      <c r="E662" s="12" t="s">
        <v>150</v>
      </c>
      <c r="F662" s="12" t="s">
        <v>165</v>
      </c>
      <c r="G662" s="14">
        <f t="shared" ca="1" si="10"/>
        <v>377244.41073263524</v>
      </c>
      <c r="H662" s="12" t="s">
        <v>172</v>
      </c>
      <c r="I662">
        <v>0</v>
      </c>
      <c r="J662">
        <v>99</v>
      </c>
      <c r="K662" s="12" t="s">
        <v>176</v>
      </c>
      <c r="L662">
        <v>0</v>
      </c>
      <c r="M662">
        <v>0</v>
      </c>
      <c r="O662" s="39"/>
      <c r="P662" s="15">
        <v>189456.13</v>
      </c>
      <c r="S662" s="17"/>
    </row>
    <row r="663" spans="1:19" x14ac:dyDescent="0.4">
      <c r="A663">
        <v>4096413</v>
      </c>
      <c r="B663" s="16">
        <v>18</v>
      </c>
      <c r="C663" s="12" t="s">
        <v>122</v>
      </c>
      <c r="D663" s="12" t="s">
        <v>145</v>
      </c>
      <c r="E663" s="12" t="s">
        <v>150</v>
      </c>
      <c r="F663" s="12" t="s">
        <v>162</v>
      </c>
      <c r="G663" s="14">
        <f t="shared" ca="1" si="10"/>
        <v>129384.6919505761</v>
      </c>
      <c r="H663" s="12" t="s">
        <v>172</v>
      </c>
      <c r="I663">
        <v>0</v>
      </c>
      <c r="J663">
        <v>30</v>
      </c>
      <c r="K663" s="12" t="s">
        <v>179</v>
      </c>
      <c r="L663">
        <v>0</v>
      </c>
      <c r="M663">
        <v>0</v>
      </c>
      <c r="O663" s="39"/>
      <c r="P663" s="16">
        <v>127464.3</v>
      </c>
      <c r="S663" s="17"/>
    </row>
    <row r="664" spans="1:19" x14ac:dyDescent="0.4">
      <c r="A664">
        <v>4099987</v>
      </c>
      <c r="B664" s="15">
        <v>60</v>
      </c>
      <c r="C664" s="12" t="s">
        <v>123</v>
      </c>
      <c r="D664" s="12" t="s">
        <v>138</v>
      </c>
      <c r="E664" s="12" t="s">
        <v>151</v>
      </c>
      <c r="F664" s="12" t="s">
        <v>144</v>
      </c>
      <c r="G664" s="14">
        <f t="shared" ca="1" si="10"/>
        <v>313170.80505019345</v>
      </c>
      <c r="H664" s="12" t="s">
        <v>171</v>
      </c>
      <c r="I664">
        <v>0</v>
      </c>
      <c r="J664">
        <v>10</v>
      </c>
      <c r="K664" s="12" t="s">
        <v>176</v>
      </c>
      <c r="L664">
        <v>0</v>
      </c>
      <c r="M664">
        <v>0</v>
      </c>
      <c r="O664" s="39"/>
      <c r="P664" s="15">
        <v>261687.89</v>
      </c>
      <c r="S664" s="17"/>
    </row>
    <row r="665" spans="1:19" x14ac:dyDescent="0.4">
      <c r="A665">
        <v>4107842</v>
      </c>
      <c r="B665" s="16">
        <v>49</v>
      </c>
      <c r="C665" s="12" t="s">
        <v>127</v>
      </c>
      <c r="D665" s="12" t="s">
        <v>132</v>
      </c>
      <c r="E665" s="12" t="s">
        <v>152</v>
      </c>
      <c r="F665" s="12" t="s">
        <v>159</v>
      </c>
      <c r="G665" s="14">
        <f t="shared" ca="1" si="10"/>
        <v>67165.798052921178</v>
      </c>
      <c r="H665" s="12" t="s">
        <v>172</v>
      </c>
      <c r="I665">
        <v>0</v>
      </c>
      <c r="J665">
        <v>40</v>
      </c>
      <c r="K665" s="12" t="s">
        <v>176</v>
      </c>
      <c r="L665">
        <v>0</v>
      </c>
      <c r="M665">
        <v>0</v>
      </c>
      <c r="O665" s="39"/>
      <c r="P665" s="16">
        <v>48438.96</v>
      </c>
      <c r="S665" s="17"/>
    </row>
    <row r="666" spans="1:19" x14ac:dyDescent="0.4">
      <c r="A666">
        <v>4108367</v>
      </c>
      <c r="B666" s="15">
        <v>22</v>
      </c>
      <c r="C666" s="12" t="s">
        <v>122</v>
      </c>
      <c r="D666" s="12" t="s">
        <v>134</v>
      </c>
      <c r="E666" s="12" t="s">
        <v>152</v>
      </c>
      <c r="F666" s="12" t="s">
        <v>159</v>
      </c>
      <c r="G666" s="14">
        <f t="shared" ca="1" si="10"/>
        <v>89752.287497789323</v>
      </c>
      <c r="H666" s="12" t="s">
        <v>172</v>
      </c>
      <c r="I666">
        <v>0</v>
      </c>
      <c r="J666">
        <v>35</v>
      </c>
      <c r="K666" s="12" t="s">
        <v>176</v>
      </c>
      <c r="L666">
        <v>0</v>
      </c>
      <c r="M666">
        <v>0</v>
      </c>
      <c r="O666" s="39"/>
      <c r="P666" s="15">
        <v>65813.539999999994</v>
      </c>
      <c r="S666" s="17"/>
    </row>
    <row r="667" spans="1:19" x14ac:dyDescent="0.4">
      <c r="A667">
        <v>4116733</v>
      </c>
      <c r="B667" s="16">
        <v>47</v>
      </c>
      <c r="C667" s="12" t="s">
        <v>122</v>
      </c>
      <c r="D667" s="12" t="s">
        <v>134</v>
      </c>
      <c r="E667" s="12" t="s">
        <v>152</v>
      </c>
      <c r="F667" s="12" t="s">
        <v>158</v>
      </c>
      <c r="G667" s="14">
        <f t="shared" ca="1" si="10"/>
        <v>298916.80266263871</v>
      </c>
      <c r="H667" s="12" t="s">
        <v>171</v>
      </c>
      <c r="I667">
        <v>0</v>
      </c>
      <c r="J667">
        <v>20</v>
      </c>
      <c r="K667" s="12" t="s">
        <v>176</v>
      </c>
      <c r="L667">
        <v>-1453</v>
      </c>
      <c r="M667">
        <v>1</v>
      </c>
      <c r="O667" s="39"/>
      <c r="P667" s="16">
        <v>201977.13</v>
      </c>
      <c r="S667" s="17"/>
    </row>
    <row r="668" spans="1:19" x14ac:dyDescent="0.4">
      <c r="A668">
        <v>4121006</v>
      </c>
      <c r="B668" s="15">
        <v>54</v>
      </c>
      <c r="C668" s="12" t="s">
        <v>122</v>
      </c>
      <c r="D668" s="12" t="s">
        <v>134</v>
      </c>
      <c r="E668" s="12" t="s">
        <v>150</v>
      </c>
      <c r="F668" s="12" t="s">
        <v>144</v>
      </c>
      <c r="G668" s="14">
        <f t="shared" ca="1" si="10"/>
        <v>86257.676078562494</v>
      </c>
      <c r="H668" s="12" t="s">
        <v>172</v>
      </c>
      <c r="I668">
        <v>0</v>
      </c>
      <c r="J668">
        <v>40</v>
      </c>
      <c r="K668" s="12" t="s">
        <v>176</v>
      </c>
      <c r="L668">
        <v>0</v>
      </c>
      <c r="M668">
        <v>0</v>
      </c>
      <c r="O668" s="39"/>
      <c r="P668" s="15">
        <v>82291.28</v>
      </c>
      <c r="S668" s="17"/>
    </row>
    <row r="669" spans="1:19" x14ac:dyDescent="0.4">
      <c r="A669">
        <v>4127963</v>
      </c>
      <c r="B669" s="16">
        <v>30</v>
      </c>
      <c r="C669" s="12" t="s">
        <v>122</v>
      </c>
      <c r="D669" s="12" t="s">
        <v>138</v>
      </c>
      <c r="E669" s="12" t="s">
        <v>150</v>
      </c>
      <c r="F669" s="12" t="s">
        <v>144</v>
      </c>
      <c r="G669" s="14">
        <f t="shared" ca="1" si="10"/>
        <v>186297.50142503736</v>
      </c>
      <c r="H669" s="12" t="s">
        <v>172</v>
      </c>
      <c r="I669">
        <v>0</v>
      </c>
      <c r="J669">
        <v>40</v>
      </c>
      <c r="K669" s="12" t="s">
        <v>186</v>
      </c>
      <c r="L669">
        <v>0</v>
      </c>
      <c r="M669">
        <v>0</v>
      </c>
      <c r="O669" s="39"/>
      <c r="P669" s="16">
        <v>95314.79</v>
      </c>
      <c r="S669" s="17"/>
    </row>
    <row r="670" spans="1:19" x14ac:dyDescent="0.4">
      <c r="A670">
        <v>4128362</v>
      </c>
      <c r="B670" s="15">
        <v>24</v>
      </c>
      <c r="C670" s="12" t="s">
        <v>123</v>
      </c>
      <c r="D670" s="12" t="s">
        <v>132</v>
      </c>
      <c r="E670" s="12" t="s">
        <v>149</v>
      </c>
      <c r="F670" s="12" t="s">
        <v>164</v>
      </c>
      <c r="G670" s="14">
        <f t="shared" ca="1" si="10"/>
        <v>76376.136311503258</v>
      </c>
      <c r="H670" s="12" t="s">
        <v>172</v>
      </c>
      <c r="I670">
        <v>0</v>
      </c>
      <c r="J670">
        <v>45</v>
      </c>
      <c r="K670" s="12" t="s">
        <v>176</v>
      </c>
      <c r="L670">
        <v>0</v>
      </c>
      <c r="M670">
        <v>0</v>
      </c>
      <c r="O670" s="39"/>
      <c r="P670" s="15">
        <v>70069.45</v>
      </c>
      <c r="S670" s="17"/>
    </row>
    <row r="671" spans="1:19" x14ac:dyDescent="0.4">
      <c r="A671">
        <v>4136703</v>
      </c>
      <c r="B671" s="16">
        <v>43</v>
      </c>
      <c r="C671" s="12" t="s">
        <v>122</v>
      </c>
      <c r="D671" s="12" t="s">
        <v>140</v>
      </c>
      <c r="E671" s="12" t="s">
        <v>152</v>
      </c>
      <c r="F671" s="12" t="s">
        <v>157</v>
      </c>
      <c r="G671" s="14">
        <f t="shared" ca="1" si="10"/>
        <v>36042.233391906964</v>
      </c>
      <c r="H671" s="12" t="s">
        <v>172</v>
      </c>
      <c r="I671">
        <v>0</v>
      </c>
      <c r="J671">
        <v>40</v>
      </c>
      <c r="K671" s="12" t="s">
        <v>197</v>
      </c>
      <c r="L671">
        <v>0</v>
      </c>
      <c r="M671">
        <v>0</v>
      </c>
      <c r="O671" s="39"/>
      <c r="P671" s="16">
        <v>32075.56</v>
      </c>
      <c r="S671" s="17"/>
    </row>
    <row r="672" spans="1:19" x14ac:dyDescent="0.4">
      <c r="A672">
        <v>4151098</v>
      </c>
      <c r="B672" s="15">
        <v>41</v>
      </c>
      <c r="C672" s="12" t="s">
        <v>122</v>
      </c>
      <c r="D672" s="12" t="s">
        <v>135</v>
      </c>
      <c r="E672" s="12" t="s">
        <v>151</v>
      </c>
      <c r="F672" s="12" t="s">
        <v>160</v>
      </c>
      <c r="G672" s="14">
        <f t="shared" ca="1" si="10"/>
        <v>104436.32858934338</v>
      </c>
      <c r="H672" s="12" t="s">
        <v>171</v>
      </c>
      <c r="I672">
        <v>0</v>
      </c>
      <c r="J672">
        <v>55</v>
      </c>
      <c r="K672" s="12" t="s">
        <v>176</v>
      </c>
      <c r="L672">
        <v>0</v>
      </c>
      <c r="M672">
        <v>0</v>
      </c>
      <c r="O672" s="39"/>
      <c r="P672" s="15">
        <v>68034.899999999994</v>
      </c>
      <c r="S672" s="17"/>
    </row>
    <row r="673" spans="1:19" x14ac:dyDescent="0.4">
      <c r="A673">
        <v>4153176</v>
      </c>
      <c r="B673" s="16">
        <v>57</v>
      </c>
      <c r="C673" s="12" t="s">
        <v>122</v>
      </c>
      <c r="D673" s="12" t="s">
        <v>138</v>
      </c>
      <c r="E673" s="12" t="s">
        <v>152</v>
      </c>
      <c r="F673" s="12" t="s">
        <v>160</v>
      </c>
      <c r="G673" s="14">
        <f t="shared" ca="1" si="10"/>
        <v>34536.448079646856</v>
      </c>
      <c r="H673" s="12" t="s">
        <v>172</v>
      </c>
      <c r="I673">
        <v>1977</v>
      </c>
      <c r="J673">
        <v>40</v>
      </c>
      <c r="K673" s="12" t="s">
        <v>176</v>
      </c>
      <c r="L673">
        <v>7330</v>
      </c>
      <c r="M673">
        <v>1</v>
      </c>
      <c r="O673" s="39"/>
      <c r="P673" s="16">
        <v>26521.5</v>
      </c>
      <c r="S673" s="17"/>
    </row>
    <row r="674" spans="1:19" x14ac:dyDescent="0.4">
      <c r="A674">
        <v>4160657</v>
      </c>
      <c r="B674" s="15">
        <v>24</v>
      </c>
      <c r="C674" s="12" t="s">
        <v>122</v>
      </c>
      <c r="D674" s="12" t="s">
        <v>132</v>
      </c>
      <c r="E674" s="12" t="s">
        <v>150</v>
      </c>
      <c r="F674" s="12" t="s">
        <v>164</v>
      </c>
      <c r="G674" s="14">
        <f t="shared" ca="1" si="10"/>
        <v>153516.01553970613</v>
      </c>
      <c r="H674" s="12" t="s">
        <v>172</v>
      </c>
      <c r="I674">
        <v>0</v>
      </c>
      <c r="J674">
        <v>24</v>
      </c>
      <c r="K674" s="12" t="s">
        <v>176</v>
      </c>
      <c r="L674">
        <v>0</v>
      </c>
      <c r="M674">
        <v>0</v>
      </c>
      <c r="O674" s="39"/>
      <c r="P674" s="15">
        <v>139763.94</v>
      </c>
      <c r="S674" s="17"/>
    </row>
    <row r="675" spans="1:19" x14ac:dyDescent="0.4">
      <c r="A675">
        <v>4168195</v>
      </c>
      <c r="B675" s="16">
        <v>24</v>
      </c>
      <c r="C675" s="12" t="s">
        <v>122</v>
      </c>
      <c r="D675" s="12" t="s">
        <v>134</v>
      </c>
      <c r="E675" s="12" t="s">
        <v>150</v>
      </c>
      <c r="F675" s="12" t="s">
        <v>156</v>
      </c>
      <c r="G675" s="14">
        <f t="shared" ca="1" si="10"/>
        <v>55863.51414181701</v>
      </c>
      <c r="H675" s="12" t="s">
        <v>172</v>
      </c>
      <c r="I675">
        <v>0</v>
      </c>
      <c r="J675">
        <v>40</v>
      </c>
      <c r="K675" s="12" t="s">
        <v>176</v>
      </c>
      <c r="L675">
        <v>0</v>
      </c>
      <c r="M675">
        <v>0</v>
      </c>
      <c r="O675" s="39"/>
      <c r="P675" s="16">
        <v>47686.85</v>
      </c>
      <c r="S675" s="17"/>
    </row>
    <row r="676" spans="1:19" x14ac:dyDescent="0.4">
      <c r="A676">
        <v>4172373</v>
      </c>
      <c r="B676" s="15">
        <v>36</v>
      </c>
      <c r="C676" s="12" t="s">
        <v>122</v>
      </c>
      <c r="D676" s="12" t="s">
        <v>134</v>
      </c>
      <c r="E676" s="12" t="s">
        <v>152</v>
      </c>
      <c r="F676" s="12" t="s">
        <v>157</v>
      </c>
      <c r="G676" s="14">
        <f t="shared" ca="1" si="10"/>
        <v>79032.237968961446</v>
      </c>
      <c r="H676" s="12" t="s">
        <v>172</v>
      </c>
      <c r="I676">
        <v>0</v>
      </c>
      <c r="J676">
        <v>50</v>
      </c>
      <c r="K676" s="12" t="s">
        <v>176</v>
      </c>
      <c r="L676">
        <v>0</v>
      </c>
      <c r="M676">
        <v>0</v>
      </c>
      <c r="O676" s="39"/>
      <c r="P676" s="15">
        <v>44957.03</v>
      </c>
      <c r="S676" s="17"/>
    </row>
    <row r="677" spans="1:19" x14ac:dyDescent="0.4">
      <c r="A677">
        <v>4181716</v>
      </c>
      <c r="B677" s="16">
        <v>25</v>
      </c>
      <c r="C677" s="12" t="s">
        <v>122</v>
      </c>
      <c r="D677" s="12" t="s">
        <v>134</v>
      </c>
      <c r="E677" s="12" t="s">
        <v>149</v>
      </c>
      <c r="F677" s="12" t="s">
        <v>166</v>
      </c>
      <c r="G677" s="14">
        <f t="shared" ca="1" si="10"/>
        <v>102467.6397913258</v>
      </c>
      <c r="H677" s="12" t="s">
        <v>172</v>
      </c>
      <c r="I677">
        <v>0</v>
      </c>
      <c r="J677">
        <v>40</v>
      </c>
      <c r="K677" s="12" t="s">
        <v>176</v>
      </c>
      <c r="L677">
        <v>0</v>
      </c>
      <c r="M677">
        <v>0</v>
      </c>
      <c r="O677" s="39"/>
      <c r="P677" s="16">
        <v>70116.88</v>
      </c>
      <c r="S677" s="17"/>
    </row>
    <row r="678" spans="1:19" x14ac:dyDescent="0.4">
      <c r="A678">
        <v>4188390</v>
      </c>
      <c r="B678" s="15">
        <v>40</v>
      </c>
      <c r="C678" s="12" t="s">
        <v>122</v>
      </c>
      <c r="D678" s="12" t="s">
        <v>134</v>
      </c>
      <c r="E678" s="12" t="s">
        <v>151</v>
      </c>
      <c r="F678" s="12" t="s">
        <v>156</v>
      </c>
      <c r="G678" s="14">
        <f t="shared" ca="1" si="10"/>
        <v>79023.715095378255</v>
      </c>
      <c r="H678" s="12" t="s">
        <v>172</v>
      </c>
      <c r="I678">
        <v>0</v>
      </c>
      <c r="J678">
        <v>40</v>
      </c>
      <c r="K678" s="12" t="s">
        <v>176</v>
      </c>
      <c r="L678">
        <v>0</v>
      </c>
      <c r="M678">
        <v>0</v>
      </c>
      <c r="O678" s="39"/>
      <c r="P678" s="15">
        <v>76714.87</v>
      </c>
      <c r="S678" s="17"/>
    </row>
    <row r="679" spans="1:19" x14ac:dyDescent="0.4">
      <c r="A679">
        <v>4188956</v>
      </c>
      <c r="B679" s="16">
        <v>27</v>
      </c>
      <c r="C679" s="12" t="s">
        <v>122</v>
      </c>
      <c r="D679" s="12" t="s">
        <v>134</v>
      </c>
      <c r="E679" s="12" t="s">
        <v>151</v>
      </c>
      <c r="F679" s="12" t="s">
        <v>158</v>
      </c>
      <c r="G679" s="14">
        <f t="shared" ca="1" si="10"/>
        <v>475337.15931808413</v>
      </c>
      <c r="H679" s="12" t="s">
        <v>171</v>
      </c>
      <c r="I679">
        <v>0</v>
      </c>
      <c r="J679">
        <v>40</v>
      </c>
      <c r="K679" s="12" t="s">
        <v>176</v>
      </c>
      <c r="L679">
        <v>0</v>
      </c>
      <c r="M679">
        <v>0</v>
      </c>
      <c r="O679" s="39"/>
      <c r="P679" s="16">
        <v>278897.99</v>
      </c>
      <c r="S679" s="17"/>
    </row>
    <row r="680" spans="1:19" x14ac:dyDescent="0.4">
      <c r="A680">
        <v>4202636</v>
      </c>
      <c r="B680" s="15">
        <v>30</v>
      </c>
      <c r="C680" s="12" t="s">
        <v>122</v>
      </c>
      <c r="D680" s="12" t="s">
        <v>134</v>
      </c>
      <c r="E680" s="12" t="s">
        <v>152</v>
      </c>
      <c r="F680" s="12" t="s">
        <v>160</v>
      </c>
      <c r="G680" s="14">
        <f t="shared" ca="1" si="10"/>
        <v>149281.99990181497</v>
      </c>
      <c r="H680" s="12" t="s">
        <v>171</v>
      </c>
      <c r="I680">
        <v>0</v>
      </c>
      <c r="J680">
        <v>40</v>
      </c>
      <c r="K680" s="12" t="s">
        <v>176</v>
      </c>
      <c r="L680">
        <v>0</v>
      </c>
      <c r="M680">
        <v>0</v>
      </c>
      <c r="O680" s="39"/>
      <c r="P680" s="15">
        <v>144481.35999999999</v>
      </c>
      <c r="S680" s="17"/>
    </row>
    <row r="681" spans="1:19" x14ac:dyDescent="0.4">
      <c r="A681">
        <v>4204164</v>
      </c>
      <c r="B681" s="16">
        <v>44</v>
      </c>
      <c r="C681" s="12" t="s">
        <v>122</v>
      </c>
      <c r="D681" s="12" t="s">
        <v>135</v>
      </c>
      <c r="E681" s="12" t="s">
        <v>152</v>
      </c>
      <c r="F681" s="12" t="s">
        <v>144</v>
      </c>
      <c r="G681" s="14">
        <f t="shared" ca="1" si="10"/>
        <v>63944.987975241376</v>
      </c>
      <c r="H681" s="12" t="s">
        <v>172</v>
      </c>
      <c r="I681">
        <v>1902</v>
      </c>
      <c r="J681">
        <v>50</v>
      </c>
      <c r="K681" s="12" t="s">
        <v>176</v>
      </c>
      <c r="L681">
        <v>4164</v>
      </c>
      <c r="M681">
        <v>1</v>
      </c>
      <c r="O681" s="39"/>
      <c r="P681" s="16">
        <v>60405.43</v>
      </c>
      <c r="S681" s="17"/>
    </row>
    <row r="682" spans="1:19" x14ac:dyDescent="0.4">
      <c r="A682">
        <v>4204648</v>
      </c>
      <c r="B682" s="15">
        <v>31</v>
      </c>
      <c r="C682" s="12" t="s">
        <v>122</v>
      </c>
      <c r="D682" s="12" t="s">
        <v>134</v>
      </c>
      <c r="E682" s="12" t="s">
        <v>151</v>
      </c>
      <c r="F682" s="12" t="s">
        <v>158</v>
      </c>
      <c r="G682" s="14">
        <f t="shared" ca="1" si="10"/>
        <v>422842.70402471337</v>
      </c>
      <c r="H682" s="12" t="s">
        <v>171</v>
      </c>
      <c r="I682">
        <v>0</v>
      </c>
      <c r="J682">
        <v>38</v>
      </c>
      <c r="K682" s="12" t="s">
        <v>176</v>
      </c>
      <c r="L682">
        <v>0</v>
      </c>
      <c r="M682">
        <v>0</v>
      </c>
      <c r="O682" s="39"/>
      <c r="P682" s="15">
        <v>225049.48</v>
      </c>
      <c r="S682" s="17"/>
    </row>
    <row r="683" spans="1:19" x14ac:dyDescent="0.4">
      <c r="A683">
        <v>4206069</v>
      </c>
      <c r="B683" s="16">
        <v>18</v>
      </c>
      <c r="C683" s="12" t="s">
        <v>122</v>
      </c>
      <c r="D683" s="12" t="s">
        <v>139</v>
      </c>
      <c r="E683" s="12" t="s">
        <v>150</v>
      </c>
      <c r="F683" s="12" t="s">
        <v>156</v>
      </c>
      <c r="G683" s="14">
        <f t="shared" ca="1" si="10"/>
        <v>85015.893919752736</v>
      </c>
      <c r="H683" s="12" t="s">
        <v>172</v>
      </c>
      <c r="I683">
        <v>0</v>
      </c>
      <c r="J683">
        <v>20</v>
      </c>
      <c r="K683" s="12" t="s">
        <v>176</v>
      </c>
      <c r="L683">
        <v>0</v>
      </c>
      <c r="M683">
        <v>0</v>
      </c>
      <c r="O683" s="39"/>
      <c r="P683" s="16">
        <v>65037.68</v>
      </c>
      <c r="S683" s="17"/>
    </row>
    <row r="684" spans="1:19" x14ac:dyDescent="0.4">
      <c r="A684">
        <v>4209493</v>
      </c>
      <c r="B684" s="15">
        <v>39</v>
      </c>
      <c r="C684" s="12" t="s">
        <v>122</v>
      </c>
      <c r="D684" s="12" t="s">
        <v>134</v>
      </c>
      <c r="E684" s="12" t="s">
        <v>150</v>
      </c>
      <c r="F684" s="12" t="s">
        <v>159</v>
      </c>
      <c r="G684" s="14">
        <f t="shared" ca="1" si="10"/>
        <v>55976.365184005677</v>
      </c>
      <c r="H684" s="12" t="s">
        <v>172</v>
      </c>
      <c r="I684">
        <v>1564</v>
      </c>
      <c r="J684">
        <v>50</v>
      </c>
      <c r="K684" s="12" t="s">
        <v>176</v>
      </c>
      <c r="L684">
        <v>6173</v>
      </c>
      <c r="M684">
        <v>1</v>
      </c>
      <c r="O684" s="39"/>
      <c r="P684" s="15">
        <v>45401.02</v>
      </c>
      <c r="S684" s="17"/>
    </row>
    <row r="685" spans="1:19" x14ac:dyDescent="0.4">
      <c r="A685">
        <v>4210604</v>
      </c>
      <c r="B685" s="16">
        <v>55</v>
      </c>
      <c r="C685" s="12" t="s">
        <v>122</v>
      </c>
      <c r="D685" s="12" t="s">
        <v>138</v>
      </c>
      <c r="E685" s="12" t="s">
        <v>152</v>
      </c>
      <c r="F685" s="12" t="s">
        <v>160</v>
      </c>
      <c r="G685" s="14">
        <f t="shared" ca="1" si="10"/>
        <v>49535.093597745588</v>
      </c>
      <c r="H685" s="12" t="s">
        <v>172</v>
      </c>
      <c r="I685">
        <v>1977</v>
      </c>
      <c r="J685">
        <v>60</v>
      </c>
      <c r="K685" s="12" t="s">
        <v>176</v>
      </c>
      <c r="L685">
        <v>8200</v>
      </c>
      <c r="M685">
        <v>1</v>
      </c>
      <c r="O685" s="39"/>
      <c r="P685" s="16">
        <v>32999.58</v>
      </c>
      <c r="S685" s="17"/>
    </row>
    <row r="686" spans="1:19" x14ac:dyDescent="0.4">
      <c r="A686">
        <v>4219509</v>
      </c>
      <c r="B686" s="15">
        <v>41</v>
      </c>
      <c r="C686" s="12" t="s">
        <v>129</v>
      </c>
      <c r="D686" s="12" t="s">
        <v>134</v>
      </c>
      <c r="E686" s="12" t="s">
        <v>150</v>
      </c>
      <c r="F686" s="12" t="s">
        <v>129</v>
      </c>
      <c r="G686" s="14">
        <f t="shared" ca="1" si="10"/>
        <v>149657.00710704629</v>
      </c>
      <c r="H686" s="12" t="s">
        <v>171</v>
      </c>
      <c r="I686">
        <v>0</v>
      </c>
      <c r="J686">
        <v>30</v>
      </c>
      <c r="K686" s="12" t="s">
        <v>176</v>
      </c>
      <c r="L686">
        <v>0</v>
      </c>
      <c r="M686">
        <v>0</v>
      </c>
      <c r="O686" s="39"/>
      <c r="P686" s="15">
        <v>82889.320000000007</v>
      </c>
      <c r="S686" s="17"/>
    </row>
    <row r="687" spans="1:19" x14ac:dyDescent="0.4">
      <c r="A687">
        <v>4228062</v>
      </c>
      <c r="B687" s="16">
        <v>24</v>
      </c>
      <c r="C687" s="12" t="s">
        <v>122</v>
      </c>
      <c r="D687" s="12" t="s">
        <v>134</v>
      </c>
      <c r="E687" s="12" t="s">
        <v>150</v>
      </c>
      <c r="F687" s="12" t="s">
        <v>162</v>
      </c>
      <c r="G687" s="14">
        <f t="shared" ca="1" si="10"/>
        <v>125485.11608617834</v>
      </c>
      <c r="H687" s="12" t="s">
        <v>171</v>
      </c>
      <c r="I687">
        <v>0</v>
      </c>
      <c r="J687">
        <v>48</v>
      </c>
      <c r="K687" s="12" t="s">
        <v>176</v>
      </c>
      <c r="L687">
        <v>0</v>
      </c>
      <c r="M687">
        <v>0</v>
      </c>
      <c r="O687" s="39"/>
      <c r="P687" s="16">
        <v>69457.59</v>
      </c>
      <c r="S687" s="17"/>
    </row>
    <row r="688" spans="1:19" x14ac:dyDescent="0.4">
      <c r="A688">
        <v>4228263</v>
      </c>
      <c r="B688" s="15">
        <v>46</v>
      </c>
      <c r="C688" s="12" t="s">
        <v>122</v>
      </c>
      <c r="D688" s="12" t="s">
        <v>134</v>
      </c>
      <c r="E688" s="12" t="s">
        <v>150</v>
      </c>
      <c r="F688" s="12" t="s">
        <v>159</v>
      </c>
      <c r="G688" s="14">
        <f t="shared" ca="1" si="10"/>
        <v>77950.90419882159</v>
      </c>
      <c r="H688" s="12" t="s">
        <v>171</v>
      </c>
      <c r="I688">
        <v>0</v>
      </c>
      <c r="J688">
        <v>48</v>
      </c>
      <c r="K688" s="12" t="s">
        <v>176</v>
      </c>
      <c r="L688">
        <v>0</v>
      </c>
      <c r="M688">
        <v>0</v>
      </c>
      <c r="O688" s="39"/>
      <c r="P688" s="15">
        <v>77205.17</v>
      </c>
      <c r="S688" s="17"/>
    </row>
    <row r="689" spans="1:19" x14ac:dyDescent="0.4">
      <c r="A689">
        <v>4232024</v>
      </c>
      <c r="B689" s="16">
        <v>45</v>
      </c>
      <c r="C689" s="12" t="s">
        <v>122</v>
      </c>
      <c r="D689" s="12" t="s">
        <v>138</v>
      </c>
      <c r="E689" s="12" t="s">
        <v>152</v>
      </c>
      <c r="F689" s="12" t="s">
        <v>160</v>
      </c>
      <c r="G689" s="14">
        <f t="shared" ca="1" si="10"/>
        <v>60399.771324580455</v>
      </c>
      <c r="H689" s="12" t="s">
        <v>172</v>
      </c>
      <c r="I689">
        <v>0</v>
      </c>
      <c r="J689">
        <v>40</v>
      </c>
      <c r="K689" s="12" t="s">
        <v>176</v>
      </c>
      <c r="L689">
        <v>17463</v>
      </c>
      <c r="M689">
        <v>1</v>
      </c>
      <c r="O689" s="39"/>
      <c r="P689" s="16">
        <v>34120.79</v>
      </c>
      <c r="S689" s="17"/>
    </row>
    <row r="690" spans="1:19" x14ac:dyDescent="0.4">
      <c r="A690">
        <v>4233732</v>
      </c>
      <c r="B690" s="15">
        <v>62</v>
      </c>
      <c r="C690" s="12" t="s">
        <v>126</v>
      </c>
      <c r="D690" s="12" t="s">
        <v>138</v>
      </c>
      <c r="E690" s="12" t="s">
        <v>152</v>
      </c>
      <c r="F690" s="12" t="s">
        <v>144</v>
      </c>
      <c r="G690" s="14">
        <f t="shared" ca="1" si="10"/>
        <v>46205.929703038695</v>
      </c>
      <c r="H690" s="12" t="s">
        <v>172</v>
      </c>
      <c r="I690">
        <v>0</v>
      </c>
      <c r="J690">
        <v>60</v>
      </c>
      <c r="K690" s="12" t="s">
        <v>176</v>
      </c>
      <c r="L690">
        <v>11827</v>
      </c>
      <c r="M690">
        <v>1</v>
      </c>
      <c r="O690" s="39"/>
      <c r="P690" s="15">
        <v>27452.47</v>
      </c>
      <c r="S690" s="17"/>
    </row>
    <row r="691" spans="1:19" x14ac:dyDescent="0.4">
      <c r="A691">
        <v>4236873</v>
      </c>
      <c r="B691" s="16">
        <v>36</v>
      </c>
      <c r="C691" s="12" t="s">
        <v>122</v>
      </c>
      <c r="D691" s="12" t="s">
        <v>140</v>
      </c>
      <c r="E691" s="12" t="s">
        <v>152</v>
      </c>
      <c r="F691" s="12" t="s">
        <v>159</v>
      </c>
      <c r="G691" s="14">
        <f t="shared" ca="1" si="10"/>
        <v>56704.655027039153</v>
      </c>
      <c r="H691" s="12" t="s">
        <v>172</v>
      </c>
      <c r="I691">
        <v>0</v>
      </c>
      <c r="J691">
        <v>40</v>
      </c>
      <c r="K691" s="12" t="s">
        <v>176</v>
      </c>
      <c r="L691">
        <v>0</v>
      </c>
      <c r="M691">
        <v>0</v>
      </c>
      <c r="O691" s="39"/>
      <c r="P691" s="16">
        <v>29073.78</v>
      </c>
      <c r="S691" s="17"/>
    </row>
    <row r="692" spans="1:19" x14ac:dyDescent="0.4">
      <c r="A692">
        <v>4238405</v>
      </c>
      <c r="B692" s="15">
        <v>25</v>
      </c>
      <c r="C692" s="12" t="s">
        <v>124</v>
      </c>
      <c r="D692" s="12" t="s">
        <v>133</v>
      </c>
      <c r="E692" s="12" t="s">
        <v>150</v>
      </c>
      <c r="F692" s="12" t="s">
        <v>162</v>
      </c>
      <c r="G692" s="14">
        <f t="shared" ca="1" si="10"/>
        <v>20390.527398505721</v>
      </c>
      <c r="H692" s="12" t="s">
        <v>172</v>
      </c>
      <c r="I692">
        <v>0</v>
      </c>
      <c r="J692">
        <v>60</v>
      </c>
      <c r="K692" s="12" t="s">
        <v>176</v>
      </c>
      <c r="L692">
        <v>0</v>
      </c>
      <c r="M692">
        <v>0</v>
      </c>
      <c r="O692" s="39"/>
      <c r="P692" s="15">
        <v>13254.73</v>
      </c>
      <c r="S692" s="17"/>
    </row>
    <row r="693" spans="1:19" x14ac:dyDescent="0.4">
      <c r="A693">
        <v>4254629</v>
      </c>
      <c r="B693" s="16">
        <v>42</v>
      </c>
      <c r="C693" s="12" t="s">
        <v>122</v>
      </c>
      <c r="D693" s="12" t="s">
        <v>134</v>
      </c>
      <c r="E693" s="12" t="s">
        <v>152</v>
      </c>
      <c r="F693" s="12" t="s">
        <v>161</v>
      </c>
      <c r="G693" s="14">
        <f t="shared" ca="1" si="10"/>
        <v>220753.40599231169</v>
      </c>
      <c r="H693" s="12" t="s">
        <v>171</v>
      </c>
      <c r="I693">
        <v>0</v>
      </c>
      <c r="J693">
        <v>40</v>
      </c>
      <c r="K693" s="12" t="s">
        <v>176</v>
      </c>
      <c r="L693">
        <v>0</v>
      </c>
      <c r="M693">
        <v>0</v>
      </c>
      <c r="O693" s="39"/>
      <c r="P693" s="16">
        <v>135665.63</v>
      </c>
      <c r="S693" s="17"/>
    </row>
    <row r="694" spans="1:19" x14ac:dyDescent="0.4">
      <c r="A694">
        <v>4270526</v>
      </c>
      <c r="B694" s="15">
        <v>19</v>
      </c>
      <c r="C694" s="12" t="s">
        <v>129</v>
      </c>
      <c r="D694" s="12" t="s">
        <v>134</v>
      </c>
      <c r="E694" s="12" t="s">
        <v>150</v>
      </c>
      <c r="F694" s="12" t="s">
        <v>129</v>
      </c>
      <c r="G694" s="14">
        <f t="shared" ca="1" si="10"/>
        <v>210176.4219028058</v>
      </c>
      <c r="H694" s="12" t="s">
        <v>172</v>
      </c>
      <c r="I694">
        <v>0</v>
      </c>
      <c r="J694">
        <v>40</v>
      </c>
      <c r="K694" s="12" t="s">
        <v>176</v>
      </c>
      <c r="L694">
        <v>0</v>
      </c>
      <c r="M694">
        <v>0</v>
      </c>
      <c r="O694" s="39"/>
      <c r="P694" s="15">
        <v>171533.02</v>
      </c>
      <c r="S694" s="17"/>
    </row>
    <row r="695" spans="1:19" x14ac:dyDescent="0.4">
      <c r="A695">
        <v>4287796</v>
      </c>
      <c r="B695" s="16">
        <v>38</v>
      </c>
      <c r="C695" s="12" t="s">
        <v>122</v>
      </c>
      <c r="D695" s="12" t="s">
        <v>132</v>
      </c>
      <c r="E695" s="12" t="s">
        <v>150</v>
      </c>
      <c r="F695" s="12" t="s">
        <v>162</v>
      </c>
      <c r="G695" s="14">
        <f t="shared" ca="1" si="10"/>
        <v>272233.06437906681</v>
      </c>
      <c r="H695" s="12" t="s">
        <v>171</v>
      </c>
      <c r="I695">
        <v>0</v>
      </c>
      <c r="J695">
        <v>50</v>
      </c>
      <c r="K695" s="12" t="s">
        <v>176</v>
      </c>
      <c r="L695">
        <v>0</v>
      </c>
      <c r="M695">
        <v>0</v>
      </c>
      <c r="O695" s="39"/>
      <c r="P695" s="16">
        <v>193681.15</v>
      </c>
      <c r="S695" s="17"/>
    </row>
    <row r="696" spans="1:19" x14ac:dyDescent="0.4">
      <c r="A696">
        <v>4292213</v>
      </c>
      <c r="B696" s="15">
        <v>26</v>
      </c>
      <c r="C696" s="12" t="s">
        <v>122</v>
      </c>
      <c r="D696" s="12" t="s">
        <v>132</v>
      </c>
      <c r="E696" s="12" t="s">
        <v>150</v>
      </c>
      <c r="F696" s="12" t="s">
        <v>158</v>
      </c>
      <c r="G696" s="14">
        <f t="shared" ca="1" si="10"/>
        <v>388481.80963482574</v>
      </c>
      <c r="H696" s="12" t="s">
        <v>172</v>
      </c>
      <c r="I696">
        <v>0</v>
      </c>
      <c r="J696">
        <v>20</v>
      </c>
      <c r="K696" s="12" t="s">
        <v>176</v>
      </c>
      <c r="L696">
        <v>0</v>
      </c>
      <c r="M696">
        <v>0</v>
      </c>
      <c r="O696" s="39"/>
      <c r="P696" s="15">
        <v>195976.31</v>
      </c>
      <c r="S696" s="17"/>
    </row>
    <row r="697" spans="1:19" x14ac:dyDescent="0.4">
      <c r="A697">
        <v>4312533</v>
      </c>
      <c r="B697" s="16">
        <v>22</v>
      </c>
      <c r="C697" s="12" t="s">
        <v>129</v>
      </c>
      <c r="D697" s="12" t="s">
        <v>132</v>
      </c>
      <c r="E697" s="12" t="s">
        <v>150</v>
      </c>
      <c r="F697" s="12" t="s">
        <v>129</v>
      </c>
      <c r="G697" s="14">
        <f t="shared" ca="1" si="10"/>
        <v>95017.664778976017</v>
      </c>
      <c r="H697" s="12" t="s">
        <v>171</v>
      </c>
      <c r="I697">
        <v>0</v>
      </c>
      <c r="J697">
        <v>12</v>
      </c>
      <c r="K697" s="12" t="s">
        <v>198</v>
      </c>
      <c r="L697">
        <v>0</v>
      </c>
      <c r="M697">
        <v>0</v>
      </c>
      <c r="O697" s="39"/>
      <c r="P697" s="16">
        <v>53409.99</v>
      </c>
      <c r="S697" s="17"/>
    </row>
    <row r="698" spans="1:19" x14ac:dyDescent="0.4">
      <c r="A698">
        <v>4315172</v>
      </c>
      <c r="B698" s="15">
        <v>27</v>
      </c>
      <c r="C698" s="12" t="s">
        <v>129</v>
      </c>
      <c r="D698" s="12" t="s">
        <v>135</v>
      </c>
      <c r="E698" s="12" t="s">
        <v>154</v>
      </c>
      <c r="F698" s="12" t="s">
        <v>129</v>
      </c>
      <c r="G698" s="14">
        <f t="shared" ca="1" si="10"/>
        <v>60902.169247662423</v>
      </c>
      <c r="H698" s="12" t="s">
        <v>172</v>
      </c>
      <c r="I698">
        <v>0</v>
      </c>
      <c r="J698">
        <v>50</v>
      </c>
      <c r="K698" s="12" t="s">
        <v>129</v>
      </c>
      <c r="L698">
        <v>0</v>
      </c>
      <c r="M698">
        <v>0</v>
      </c>
      <c r="O698" s="39"/>
      <c r="P698" s="15">
        <v>33897.08</v>
      </c>
      <c r="S698" s="17"/>
    </row>
    <row r="699" spans="1:19" x14ac:dyDescent="0.4">
      <c r="A699">
        <v>4330936</v>
      </c>
      <c r="B699" s="16">
        <v>28</v>
      </c>
      <c r="C699" s="12" t="s">
        <v>122</v>
      </c>
      <c r="D699" s="12" t="s">
        <v>145</v>
      </c>
      <c r="E699" s="12" t="s">
        <v>150</v>
      </c>
      <c r="F699" s="12" t="s">
        <v>158</v>
      </c>
      <c r="G699" s="14">
        <f t="shared" ca="1" si="10"/>
        <v>219042.59965130055</v>
      </c>
      <c r="H699" s="12" t="s">
        <v>172</v>
      </c>
      <c r="I699">
        <v>0</v>
      </c>
      <c r="J699">
        <v>40</v>
      </c>
      <c r="K699" s="12" t="s">
        <v>189</v>
      </c>
      <c r="L699">
        <v>0</v>
      </c>
      <c r="M699">
        <v>0</v>
      </c>
      <c r="O699" s="39"/>
      <c r="P699" s="16">
        <v>114956.87</v>
      </c>
      <c r="S699" s="17"/>
    </row>
    <row r="700" spans="1:19" x14ac:dyDescent="0.4">
      <c r="A700">
        <v>4336652</v>
      </c>
      <c r="B700" s="15">
        <v>37</v>
      </c>
      <c r="C700" s="12" t="s">
        <v>122</v>
      </c>
      <c r="D700" s="12" t="s">
        <v>134</v>
      </c>
      <c r="E700" s="12" t="s">
        <v>152</v>
      </c>
      <c r="F700" s="12" t="s">
        <v>157</v>
      </c>
      <c r="G700" s="14">
        <f t="shared" ca="1" si="10"/>
        <v>28043.919051048742</v>
      </c>
      <c r="H700" s="12" t="s">
        <v>172</v>
      </c>
      <c r="I700">
        <v>0</v>
      </c>
      <c r="J700">
        <v>40</v>
      </c>
      <c r="K700" s="12" t="s">
        <v>176</v>
      </c>
      <c r="L700">
        <v>0</v>
      </c>
      <c r="M700">
        <v>0</v>
      </c>
      <c r="O700" s="39"/>
      <c r="P700" s="15">
        <v>23972.13</v>
      </c>
      <c r="S700" s="17"/>
    </row>
    <row r="701" spans="1:19" x14ac:dyDescent="0.4">
      <c r="A701">
        <v>4339452</v>
      </c>
      <c r="B701" s="16">
        <v>21</v>
      </c>
      <c r="C701" s="12" t="s">
        <v>122</v>
      </c>
      <c r="D701" s="12" t="s">
        <v>132</v>
      </c>
      <c r="E701" s="12" t="s">
        <v>150</v>
      </c>
      <c r="F701" s="12" t="s">
        <v>162</v>
      </c>
      <c r="G701" s="14">
        <f t="shared" ca="1" si="10"/>
        <v>215355.27130318517</v>
      </c>
      <c r="H701" s="12" t="s">
        <v>172</v>
      </c>
      <c r="I701">
        <v>0</v>
      </c>
      <c r="J701">
        <v>43</v>
      </c>
      <c r="K701" s="12" t="s">
        <v>176</v>
      </c>
      <c r="L701">
        <v>0</v>
      </c>
      <c r="M701">
        <v>0</v>
      </c>
      <c r="O701" s="39"/>
      <c r="P701" s="16">
        <v>164461.64000000001</v>
      </c>
      <c r="S701" s="17"/>
    </row>
    <row r="702" spans="1:19" x14ac:dyDescent="0.4">
      <c r="A702">
        <v>4341192</v>
      </c>
      <c r="B702" s="15">
        <v>38</v>
      </c>
      <c r="C702" s="12" t="s">
        <v>122</v>
      </c>
      <c r="D702" s="12" t="s">
        <v>135</v>
      </c>
      <c r="E702" s="12" t="s">
        <v>152</v>
      </c>
      <c r="F702" s="12" t="s">
        <v>160</v>
      </c>
      <c r="G702" s="14">
        <f t="shared" ca="1" si="10"/>
        <v>60642.050144127541</v>
      </c>
      <c r="H702" s="12" t="s">
        <v>172</v>
      </c>
      <c r="I702">
        <v>0</v>
      </c>
      <c r="J702">
        <v>40</v>
      </c>
      <c r="K702" s="12" t="s">
        <v>176</v>
      </c>
      <c r="L702">
        <v>8872</v>
      </c>
      <c r="M702">
        <v>1</v>
      </c>
      <c r="O702" s="39"/>
      <c r="P702" s="15">
        <v>31609.41</v>
      </c>
      <c r="S702" s="17"/>
    </row>
    <row r="703" spans="1:19" x14ac:dyDescent="0.4">
      <c r="A703">
        <v>4345343</v>
      </c>
      <c r="B703" s="16">
        <v>74</v>
      </c>
      <c r="C703" s="12" t="s">
        <v>129</v>
      </c>
      <c r="D703" s="12" t="s">
        <v>132</v>
      </c>
      <c r="E703" s="12" t="s">
        <v>153</v>
      </c>
      <c r="F703" s="12" t="s">
        <v>129</v>
      </c>
      <c r="G703" s="14">
        <f t="shared" ca="1" si="10"/>
        <v>64390.677368475146</v>
      </c>
      <c r="H703" s="12" t="s">
        <v>171</v>
      </c>
      <c r="I703">
        <v>0</v>
      </c>
      <c r="J703">
        <v>3</v>
      </c>
      <c r="K703" s="12" t="s">
        <v>176</v>
      </c>
      <c r="L703">
        <v>0</v>
      </c>
      <c r="M703">
        <v>0</v>
      </c>
      <c r="O703" s="39"/>
      <c r="P703" s="16">
        <v>60529.25</v>
      </c>
      <c r="S703" s="17"/>
    </row>
    <row r="704" spans="1:19" x14ac:dyDescent="0.4">
      <c r="A704">
        <v>4345440</v>
      </c>
      <c r="B704" s="15">
        <v>59</v>
      </c>
      <c r="C704" s="12" t="s">
        <v>125</v>
      </c>
      <c r="D704" s="12" t="s">
        <v>134</v>
      </c>
      <c r="E704" s="12" t="s">
        <v>153</v>
      </c>
      <c r="F704" s="12" t="s">
        <v>165</v>
      </c>
      <c r="G704" s="14">
        <f t="shared" ca="1" si="10"/>
        <v>144026.03124507845</v>
      </c>
      <c r="H704" s="12" t="s">
        <v>172</v>
      </c>
      <c r="I704">
        <v>1559.3333333333301</v>
      </c>
      <c r="J704">
        <v>40</v>
      </c>
      <c r="K704" s="12" t="s">
        <v>176</v>
      </c>
      <c r="L704">
        <v>0</v>
      </c>
      <c r="M704">
        <v>0</v>
      </c>
      <c r="O704" s="39"/>
      <c r="P704" s="15">
        <v>110146.06</v>
      </c>
      <c r="S704" s="17"/>
    </row>
    <row r="705" spans="1:19" x14ac:dyDescent="0.4">
      <c r="A705">
        <v>4348527</v>
      </c>
      <c r="B705" s="16">
        <v>45</v>
      </c>
      <c r="C705" s="12" t="s">
        <v>122</v>
      </c>
      <c r="D705" s="12" t="s">
        <v>141</v>
      </c>
      <c r="E705" s="12" t="s">
        <v>152</v>
      </c>
      <c r="F705" s="12" t="s">
        <v>144</v>
      </c>
      <c r="G705" s="14">
        <f t="shared" ca="1" si="10"/>
        <v>49865.277138461795</v>
      </c>
      <c r="H705" s="12" t="s">
        <v>172</v>
      </c>
      <c r="I705">
        <v>0</v>
      </c>
      <c r="J705">
        <v>50</v>
      </c>
      <c r="K705" s="12" t="s">
        <v>176</v>
      </c>
      <c r="L705">
        <v>0</v>
      </c>
      <c r="M705">
        <v>1</v>
      </c>
      <c r="O705" s="39"/>
      <c r="P705" s="16">
        <v>25651.97</v>
      </c>
      <c r="S705" s="17"/>
    </row>
    <row r="706" spans="1:19" x14ac:dyDescent="0.4">
      <c r="A706">
        <v>4349170</v>
      </c>
      <c r="B706" s="15">
        <v>39</v>
      </c>
      <c r="C706" s="12" t="s">
        <v>122</v>
      </c>
      <c r="D706" s="12" t="s">
        <v>133</v>
      </c>
      <c r="E706" s="12" t="s">
        <v>153</v>
      </c>
      <c r="F706" s="12" t="s">
        <v>158</v>
      </c>
      <c r="G706" s="14">
        <f t="shared" ca="1" si="10"/>
        <v>8304.9108991883149</v>
      </c>
      <c r="H706" s="12" t="s">
        <v>171</v>
      </c>
      <c r="I706">
        <v>0</v>
      </c>
      <c r="J706">
        <v>45</v>
      </c>
      <c r="K706" s="12" t="s">
        <v>176</v>
      </c>
      <c r="L706">
        <v>0</v>
      </c>
      <c r="M706">
        <v>0</v>
      </c>
      <c r="O706" s="39"/>
      <c r="P706" s="15">
        <v>5226.03</v>
      </c>
      <c r="S706" s="17"/>
    </row>
    <row r="707" spans="1:19" x14ac:dyDescent="0.4">
      <c r="A707">
        <v>4350090</v>
      </c>
      <c r="B707" s="16">
        <v>23</v>
      </c>
      <c r="C707" s="12" t="s">
        <v>122</v>
      </c>
      <c r="D707" s="12" t="s">
        <v>135</v>
      </c>
      <c r="E707" s="12" t="s">
        <v>150</v>
      </c>
      <c r="F707" s="12" t="s">
        <v>164</v>
      </c>
      <c r="G707" s="14">
        <f t="shared" ca="1" si="10"/>
        <v>195331.61924060737</v>
      </c>
      <c r="H707" s="12" t="s">
        <v>172</v>
      </c>
      <c r="I707">
        <v>0</v>
      </c>
      <c r="J707">
        <v>40</v>
      </c>
      <c r="K707" s="12" t="s">
        <v>176</v>
      </c>
      <c r="L707">
        <v>0</v>
      </c>
      <c r="M707">
        <v>0</v>
      </c>
      <c r="O707" s="39"/>
      <c r="P707" s="16">
        <v>120980.4</v>
      </c>
      <c r="S707" s="17"/>
    </row>
    <row r="708" spans="1:19" x14ac:dyDescent="0.4">
      <c r="A708">
        <v>4355587</v>
      </c>
      <c r="B708" s="15">
        <v>29</v>
      </c>
      <c r="C708" s="12" t="s">
        <v>122</v>
      </c>
      <c r="D708" s="12" t="s">
        <v>134</v>
      </c>
      <c r="E708" s="12" t="s">
        <v>152</v>
      </c>
      <c r="F708" s="12" t="s">
        <v>165</v>
      </c>
      <c r="G708" s="14">
        <f t="shared" ca="1" si="10"/>
        <v>80828.093504886623</v>
      </c>
      <c r="H708" s="12" t="s">
        <v>172</v>
      </c>
      <c r="I708">
        <v>0</v>
      </c>
      <c r="J708">
        <v>60</v>
      </c>
      <c r="K708" s="12" t="s">
        <v>176</v>
      </c>
      <c r="L708">
        <v>0</v>
      </c>
      <c r="M708">
        <v>0</v>
      </c>
      <c r="O708" s="39"/>
      <c r="P708" s="15">
        <v>48301.94</v>
      </c>
      <c r="S708" s="17"/>
    </row>
    <row r="709" spans="1:19" x14ac:dyDescent="0.4">
      <c r="A709">
        <v>4356425</v>
      </c>
      <c r="B709" s="16">
        <v>44</v>
      </c>
      <c r="C709" s="12" t="s">
        <v>122</v>
      </c>
      <c r="D709" s="12" t="s">
        <v>137</v>
      </c>
      <c r="E709" s="12" t="s">
        <v>152</v>
      </c>
      <c r="F709" s="12" t="s">
        <v>160</v>
      </c>
      <c r="G709" s="14">
        <f t="shared" ca="1" si="10"/>
        <v>10801.64978385555</v>
      </c>
      <c r="H709" s="12" t="s">
        <v>172</v>
      </c>
      <c r="I709">
        <v>0</v>
      </c>
      <c r="J709">
        <v>40</v>
      </c>
      <c r="K709" s="12" t="s">
        <v>176</v>
      </c>
      <c r="L709">
        <v>0</v>
      </c>
      <c r="M709">
        <v>0</v>
      </c>
      <c r="O709" s="39"/>
      <c r="P709" s="16">
        <v>9528.2199999999993</v>
      </c>
      <c r="S709" s="17"/>
    </row>
    <row r="710" spans="1:19" x14ac:dyDescent="0.4">
      <c r="A710">
        <v>4373718</v>
      </c>
      <c r="B710" s="15">
        <v>38</v>
      </c>
      <c r="C710" s="12" t="s">
        <v>123</v>
      </c>
      <c r="D710" s="12" t="s">
        <v>132</v>
      </c>
      <c r="E710" s="12" t="s">
        <v>150</v>
      </c>
      <c r="F710" s="12" t="s">
        <v>156</v>
      </c>
      <c r="G710" s="14">
        <f t="shared" ca="1" si="10"/>
        <v>42959.469963090312</v>
      </c>
      <c r="H710" s="12" t="s">
        <v>171</v>
      </c>
      <c r="I710">
        <v>0</v>
      </c>
      <c r="J710">
        <v>20</v>
      </c>
      <c r="K710" s="12" t="s">
        <v>176</v>
      </c>
      <c r="L710">
        <v>0</v>
      </c>
      <c r="M710">
        <v>0</v>
      </c>
      <c r="O710" s="39"/>
      <c r="P710" s="15">
        <v>23291.16</v>
      </c>
      <c r="S710" s="17"/>
    </row>
    <row r="711" spans="1:19" x14ac:dyDescent="0.4">
      <c r="A711">
        <v>4380645</v>
      </c>
      <c r="B711" s="16">
        <v>29</v>
      </c>
      <c r="C711" s="12" t="s">
        <v>122</v>
      </c>
      <c r="D711" s="12" t="s">
        <v>132</v>
      </c>
      <c r="E711" s="12" t="s">
        <v>149</v>
      </c>
      <c r="F711" s="12" t="s">
        <v>167</v>
      </c>
      <c r="G711" s="14">
        <f t="shared" ca="1" si="10"/>
        <v>175201.84560797419</v>
      </c>
      <c r="H711" s="12" t="s">
        <v>171</v>
      </c>
      <c r="I711">
        <v>0</v>
      </c>
      <c r="J711">
        <v>30</v>
      </c>
      <c r="K711" s="12" t="s">
        <v>190</v>
      </c>
      <c r="L711">
        <v>0</v>
      </c>
      <c r="M711">
        <v>0</v>
      </c>
      <c r="O711" s="39"/>
      <c r="P711" s="16">
        <v>97217.72</v>
      </c>
      <c r="S711" s="17"/>
    </row>
    <row r="712" spans="1:19" x14ac:dyDescent="0.4">
      <c r="A712">
        <v>4384924</v>
      </c>
      <c r="B712" s="15">
        <v>21</v>
      </c>
      <c r="C712" s="12" t="s">
        <v>122</v>
      </c>
      <c r="D712" s="12" t="s">
        <v>139</v>
      </c>
      <c r="E712" s="12" t="s">
        <v>150</v>
      </c>
      <c r="F712" s="12" t="s">
        <v>144</v>
      </c>
      <c r="G712" s="14">
        <f t="shared" ca="1" si="10"/>
        <v>118931.0561059919</v>
      </c>
      <c r="H712" s="12" t="s">
        <v>171</v>
      </c>
      <c r="I712">
        <v>0</v>
      </c>
      <c r="J712">
        <v>24</v>
      </c>
      <c r="K712" s="12" t="s">
        <v>176</v>
      </c>
      <c r="L712">
        <v>0</v>
      </c>
      <c r="M712">
        <v>0</v>
      </c>
      <c r="O712" s="39"/>
      <c r="P712" s="15">
        <v>70125.289999999994</v>
      </c>
      <c r="S712" s="17"/>
    </row>
    <row r="713" spans="1:19" x14ac:dyDescent="0.4">
      <c r="A713">
        <v>4385915</v>
      </c>
      <c r="B713" s="16">
        <v>24</v>
      </c>
      <c r="C713" s="12" t="s">
        <v>122</v>
      </c>
      <c r="D713" s="12" t="s">
        <v>134</v>
      </c>
      <c r="E713" s="12" t="s">
        <v>152</v>
      </c>
      <c r="F713" s="12" t="s">
        <v>162</v>
      </c>
      <c r="G713" s="14">
        <f t="shared" ca="1" si="10"/>
        <v>20334.838162980395</v>
      </c>
      <c r="H713" s="12" t="s">
        <v>172</v>
      </c>
      <c r="I713">
        <v>0</v>
      </c>
      <c r="J713">
        <v>50</v>
      </c>
      <c r="K713" s="12" t="s">
        <v>176</v>
      </c>
      <c r="L713">
        <v>0</v>
      </c>
      <c r="M713">
        <v>0</v>
      </c>
      <c r="O713" s="39"/>
      <c r="P713" s="16">
        <v>11616.92</v>
      </c>
      <c r="S713" s="17"/>
    </row>
    <row r="714" spans="1:19" x14ac:dyDescent="0.4">
      <c r="A714">
        <v>4387401</v>
      </c>
      <c r="B714" s="15">
        <v>40</v>
      </c>
      <c r="C714" s="12" t="s">
        <v>124</v>
      </c>
      <c r="D714" s="12" t="s">
        <v>138</v>
      </c>
      <c r="E714" s="12" t="s">
        <v>152</v>
      </c>
      <c r="F714" s="12" t="s">
        <v>162</v>
      </c>
      <c r="G714" s="14">
        <f t="shared" ca="1" si="10"/>
        <v>49634.171054462946</v>
      </c>
      <c r="H714" s="12" t="s">
        <v>172</v>
      </c>
      <c r="I714">
        <v>0</v>
      </c>
      <c r="J714">
        <v>70</v>
      </c>
      <c r="K714" s="12" t="s">
        <v>176</v>
      </c>
      <c r="L714">
        <v>4385</v>
      </c>
      <c r="M714">
        <v>1</v>
      </c>
      <c r="O714" s="39"/>
      <c r="P714" s="15">
        <v>48443.01</v>
      </c>
      <c r="S714" s="17"/>
    </row>
    <row r="715" spans="1:19" x14ac:dyDescent="0.4">
      <c r="A715">
        <v>4390758</v>
      </c>
      <c r="B715" s="16">
        <v>38</v>
      </c>
      <c r="C715" s="12" t="s">
        <v>122</v>
      </c>
      <c r="D715" s="12" t="s">
        <v>134</v>
      </c>
      <c r="E715" s="12" t="s">
        <v>151</v>
      </c>
      <c r="F715" s="12" t="s">
        <v>159</v>
      </c>
      <c r="G715" s="14">
        <f t="shared" ref="G715:G778" ca="1" si="11">P715*(1+RAND())</f>
        <v>285070.79992639128</v>
      </c>
      <c r="H715" s="12" t="s">
        <v>172</v>
      </c>
      <c r="I715">
        <v>0</v>
      </c>
      <c r="J715">
        <v>40</v>
      </c>
      <c r="K715" s="12" t="s">
        <v>176</v>
      </c>
      <c r="L715">
        <v>0</v>
      </c>
      <c r="M715">
        <v>0</v>
      </c>
      <c r="O715" s="39"/>
      <c r="P715" s="16">
        <v>148170.22</v>
      </c>
      <c r="S715" s="17"/>
    </row>
    <row r="716" spans="1:19" x14ac:dyDescent="0.4">
      <c r="A716">
        <v>4391305</v>
      </c>
      <c r="B716" s="15">
        <v>38</v>
      </c>
      <c r="C716" s="12" t="s">
        <v>125</v>
      </c>
      <c r="D716" s="12" t="s">
        <v>134</v>
      </c>
      <c r="E716" s="12" t="s">
        <v>150</v>
      </c>
      <c r="F716" s="12" t="s">
        <v>157</v>
      </c>
      <c r="G716" s="14">
        <f t="shared" ca="1" si="11"/>
        <v>73507.901224198198</v>
      </c>
      <c r="H716" s="12" t="s">
        <v>172</v>
      </c>
      <c r="I716">
        <v>0</v>
      </c>
      <c r="J716">
        <v>40</v>
      </c>
      <c r="K716" s="12" t="s">
        <v>176</v>
      </c>
      <c r="L716">
        <v>0</v>
      </c>
      <c r="M716">
        <v>0</v>
      </c>
      <c r="O716" s="39"/>
      <c r="P716" s="15">
        <v>38001.699999999997</v>
      </c>
      <c r="S716" s="17"/>
    </row>
    <row r="717" spans="1:19" x14ac:dyDescent="0.4">
      <c r="A717">
        <v>4396587</v>
      </c>
      <c r="B717" s="16">
        <v>24</v>
      </c>
      <c r="C717" s="12" t="s">
        <v>122</v>
      </c>
      <c r="D717" s="12" t="s">
        <v>134</v>
      </c>
      <c r="E717" s="12" t="s">
        <v>150</v>
      </c>
      <c r="F717" s="12" t="s">
        <v>162</v>
      </c>
      <c r="G717" s="14">
        <f t="shared" ca="1" si="11"/>
        <v>3952.4747791507389</v>
      </c>
      <c r="H717" s="12" t="s">
        <v>172</v>
      </c>
      <c r="I717">
        <v>0</v>
      </c>
      <c r="J717">
        <v>38</v>
      </c>
      <c r="K717" s="12" t="s">
        <v>176</v>
      </c>
      <c r="L717">
        <v>0</v>
      </c>
      <c r="M717">
        <v>0</v>
      </c>
      <c r="O717" s="39"/>
      <c r="P717" s="16">
        <v>2378.63</v>
      </c>
      <c r="S717" s="17"/>
    </row>
    <row r="718" spans="1:19" x14ac:dyDescent="0.4">
      <c r="A718">
        <v>4398573</v>
      </c>
      <c r="B718" s="15">
        <v>46</v>
      </c>
      <c r="C718" s="12" t="s">
        <v>124</v>
      </c>
      <c r="D718" s="12" t="s">
        <v>132</v>
      </c>
      <c r="E718" s="12" t="s">
        <v>152</v>
      </c>
      <c r="F718" s="12" t="s">
        <v>162</v>
      </c>
      <c r="G718" s="14">
        <f t="shared" ca="1" si="11"/>
        <v>88402.732652689214</v>
      </c>
      <c r="H718" s="12" t="s">
        <v>172</v>
      </c>
      <c r="I718">
        <v>0</v>
      </c>
      <c r="J718">
        <v>60</v>
      </c>
      <c r="K718" s="12" t="s">
        <v>176</v>
      </c>
      <c r="L718">
        <v>10503</v>
      </c>
      <c r="M718">
        <v>1</v>
      </c>
      <c r="O718" s="39"/>
      <c r="P718" s="15">
        <v>50055.68</v>
      </c>
      <c r="S718" s="17"/>
    </row>
    <row r="719" spans="1:19" x14ac:dyDescent="0.4">
      <c r="A719">
        <v>4399029</v>
      </c>
      <c r="B719" s="16">
        <v>23</v>
      </c>
      <c r="C719" s="12" t="s">
        <v>122</v>
      </c>
      <c r="D719" s="12" t="s">
        <v>134</v>
      </c>
      <c r="E719" s="12" t="s">
        <v>150</v>
      </c>
      <c r="F719" s="12" t="s">
        <v>157</v>
      </c>
      <c r="G719" s="14">
        <f t="shared" ca="1" si="11"/>
        <v>173007.49962457592</v>
      </c>
      <c r="H719" s="12" t="s">
        <v>172</v>
      </c>
      <c r="I719">
        <v>0</v>
      </c>
      <c r="J719">
        <v>40</v>
      </c>
      <c r="K719" s="12" t="s">
        <v>176</v>
      </c>
      <c r="L719">
        <v>0</v>
      </c>
      <c r="M719">
        <v>0</v>
      </c>
      <c r="O719" s="39"/>
      <c r="P719" s="16">
        <v>153876.57</v>
      </c>
      <c r="S719" s="17"/>
    </row>
    <row r="720" spans="1:19" x14ac:dyDescent="0.4">
      <c r="A720">
        <v>4399044</v>
      </c>
      <c r="B720" s="15">
        <v>58</v>
      </c>
      <c r="C720" s="12" t="s">
        <v>122</v>
      </c>
      <c r="D720" s="12" t="s">
        <v>147</v>
      </c>
      <c r="E720" s="12" t="s">
        <v>152</v>
      </c>
      <c r="F720" s="12" t="s">
        <v>165</v>
      </c>
      <c r="G720" s="14">
        <f t="shared" ca="1" si="11"/>
        <v>3704.4146866222586</v>
      </c>
      <c r="H720" s="12" t="s">
        <v>172</v>
      </c>
      <c r="I720">
        <v>0</v>
      </c>
      <c r="J720">
        <v>40</v>
      </c>
      <c r="K720" s="12" t="s">
        <v>176</v>
      </c>
      <c r="L720">
        <v>0</v>
      </c>
      <c r="M720">
        <v>0</v>
      </c>
      <c r="O720" s="39"/>
      <c r="P720" s="15">
        <v>3150</v>
      </c>
      <c r="S720" s="17"/>
    </row>
    <row r="721" spans="1:19" x14ac:dyDescent="0.4">
      <c r="A721">
        <v>4404017</v>
      </c>
      <c r="B721" s="16">
        <v>34</v>
      </c>
      <c r="C721" s="12" t="s">
        <v>122</v>
      </c>
      <c r="D721" s="12" t="s">
        <v>132</v>
      </c>
      <c r="E721" s="12" t="s">
        <v>152</v>
      </c>
      <c r="F721" s="12" t="s">
        <v>156</v>
      </c>
      <c r="G721" s="14">
        <f t="shared" ca="1" si="11"/>
        <v>52891.512650872566</v>
      </c>
      <c r="H721" s="12" t="s">
        <v>172</v>
      </c>
      <c r="I721">
        <v>0</v>
      </c>
      <c r="J721">
        <v>62</v>
      </c>
      <c r="K721" s="12" t="s">
        <v>179</v>
      </c>
      <c r="L721">
        <v>0</v>
      </c>
      <c r="M721">
        <v>0</v>
      </c>
      <c r="O721" s="39"/>
      <c r="P721" s="16">
        <v>36792.25</v>
      </c>
      <c r="S721" s="17"/>
    </row>
    <row r="722" spans="1:19" x14ac:dyDescent="0.4">
      <c r="A722">
        <v>4406299</v>
      </c>
      <c r="B722" s="15">
        <v>51</v>
      </c>
      <c r="C722" s="12" t="s">
        <v>122</v>
      </c>
      <c r="D722" s="12" t="s">
        <v>138</v>
      </c>
      <c r="E722" s="12" t="s">
        <v>150</v>
      </c>
      <c r="F722" s="12" t="s">
        <v>144</v>
      </c>
      <c r="G722" s="14">
        <f t="shared" ca="1" si="11"/>
        <v>101186.18354109477</v>
      </c>
      <c r="H722" s="12" t="s">
        <v>172</v>
      </c>
      <c r="I722">
        <v>0</v>
      </c>
      <c r="J722">
        <v>40</v>
      </c>
      <c r="K722" s="12" t="s">
        <v>176</v>
      </c>
      <c r="L722">
        <v>27828</v>
      </c>
      <c r="M722">
        <v>1</v>
      </c>
      <c r="O722" s="39"/>
      <c r="P722" s="15">
        <v>90090.03</v>
      </c>
      <c r="S722" s="17"/>
    </row>
    <row r="723" spans="1:19" x14ac:dyDescent="0.4">
      <c r="A723">
        <v>4411529</v>
      </c>
      <c r="B723" s="16">
        <v>40</v>
      </c>
      <c r="C723" s="12" t="s">
        <v>122</v>
      </c>
      <c r="D723" s="12" t="s">
        <v>142</v>
      </c>
      <c r="E723" s="12" t="s">
        <v>150</v>
      </c>
      <c r="F723" s="12" t="s">
        <v>159</v>
      </c>
      <c r="G723" s="14">
        <f t="shared" ca="1" si="11"/>
        <v>158992.84228558542</v>
      </c>
      <c r="H723" s="12" t="s">
        <v>172</v>
      </c>
      <c r="I723">
        <v>0</v>
      </c>
      <c r="J723">
        <v>49</v>
      </c>
      <c r="K723" s="12" t="s">
        <v>176</v>
      </c>
      <c r="L723">
        <v>0</v>
      </c>
      <c r="M723">
        <v>0</v>
      </c>
      <c r="O723" s="39"/>
      <c r="P723" s="16">
        <v>90825.33</v>
      </c>
      <c r="S723" s="17"/>
    </row>
    <row r="724" spans="1:19" x14ac:dyDescent="0.4">
      <c r="A724">
        <v>4412566</v>
      </c>
      <c r="B724" s="15">
        <v>19</v>
      </c>
      <c r="C724" s="12" t="s">
        <v>122</v>
      </c>
      <c r="D724" s="12" t="s">
        <v>140</v>
      </c>
      <c r="E724" s="12" t="s">
        <v>150</v>
      </c>
      <c r="F724" s="12" t="s">
        <v>156</v>
      </c>
      <c r="G724" s="14">
        <f t="shared" ca="1" si="11"/>
        <v>76678.127704155704</v>
      </c>
      <c r="H724" s="12" t="s">
        <v>171</v>
      </c>
      <c r="I724">
        <v>0</v>
      </c>
      <c r="J724">
        <v>20</v>
      </c>
      <c r="K724" s="12" t="s">
        <v>176</v>
      </c>
      <c r="L724">
        <v>0</v>
      </c>
      <c r="M724">
        <v>0</v>
      </c>
      <c r="O724" s="39"/>
      <c r="P724" s="15">
        <v>56946.06</v>
      </c>
      <c r="S724" s="17"/>
    </row>
    <row r="725" spans="1:19" x14ac:dyDescent="0.4">
      <c r="A725">
        <v>4413601</v>
      </c>
      <c r="B725" s="16">
        <v>38</v>
      </c>
      <c r="C725" s="12" t="s">
        <v>122</v>
      </c>
      <c r="D725" s="12" t="s">
        <v>134</v>
      </c>
      <c r="E725" s="12" t="s">
        <v>152</v>
      </c>
      <c r="F725" s="12" t="s">
        <v>160</v>
      </c>
      <c r="G725" s="14">
        <f t="shared" ca="1" si="11"/>
        <v>41213.943094887174</v>
      </c>
      <c r="H725" s="12" t="s">
        <v>172</v>
      </c>
      <c r="I725">
        <v>0</v>
      </c>
      <c r="J725">
        <v>40</v>
      </c>
      <c r="K725" s="12" t="s">
        <v>176</v>
      </c>
      <c r="L725">
        <v>4327</v>
      </c>
      <c r="M725">
        <v>1</v>
      </c>
      <c r="O725" s="39"/>
      <c r="P725" s="16">
        <v>30927.17</v>
      </c>
      <c r="S725" s="17"/>
    </row>
    <row r="726" spans="1:19" x14ac:dyDescent="0.4">
      <c r="A726">
        <v>4417625</v>
      </c>
      <c r="B726" s="15">
        <v>35</v>
      </c>
      <c r="C726" s="12" t="s">
        <v>122</v>
      </c>
      <c r="D726" s="12" t="s">
        <v>135</v>
      </c>
      <c r="E726" s="12" t="s">
        <v>152</v>
      </c>
      <c r="F726" s="12" t="s">
        <v>156</v>
      </c>
      <c r="G726" s="14">
        <f t="shared" ca="1" si="11"/>
        <v>51443.495844282785</v>
      </c>
      <c r="H726" s="12" t="s">
        <v>172</v>
      </c>
      <c r="I726">
        <v>0</v>
      </c>
      <c r="J726">
        <v>20</v>
      </c>
      <c r="K726" s="12" t="s">
        <v>176</v>
      </c>
      <c r="L726">
        <v>7688</v>
      </c>
      <c r="M726">
        <v>1</v>
      </c>
      <c r="O726" s="39"/>
      <c r="P726" s="15">
        <v>26682.44</v>
      </c>
      <c r="S726" s="17"/>
    </row>
    <row r="727" spans="1:19" x14ac:dyDescent="0.4">
      <c r="A727">
        <v>4423809</v>
      </c>
      <c r="B727" s="16">
        <v>41</v>
      </c>
      <c r="C727" s="12" t="s">
        <v>122</v>
      </c>
      <c r="D727" s="12" t="s">
        <v>133</v>
      </c>
      <c r="E727" s="12" t="s">
        <v>152</v>
      </c>
      <c r="F727" s="12" t="s">
        <v>159</v>
      </c>
      <c r="G727" s="14">
        <f t="shared" ca="1" si="11"/>
        <v>55248.946997715037</v>
      </c>
      <c r="H727" s="12" t="s">
        <v>172</v>
      </c>
      <c r="I727">
        <v>0</v>
      </c>
      <c r="J727">
        <v>60</v>
      </c>
      <c r="K727" s="12" t="s">
        <v>176</v>
      </c>
      <c r="L727">
        <v>4090</v>
      </c>
      <c r="M727">
        <v>1</v>
      </c>
      <c r="O727" s="39"/>
      <c r="P727" s="16">
        <v>35224.300000000003</v>
      </c>
      <c r="S727" s="17"/>
    </row>
    <row r="728" spans="1:19" x14ac:dyDescent="0.4">
      <c r="A728">
        <v>4425483</v>
      </c>
      <c r="B728" s="15">
        <v>23</v>
      </c>
      <c r="C728" s="12" t="s">
        <v>122</v>
      </c>
      <c r="D728" s="12" t="s">
        <v>139</v>
      </c>
      <c r="E728" s="12" t="s">
        <v>152</v>
      </c>
      <c r="F728" s="12" t="s">
        <v>164</v>
      </c>
      <c r="G728" s="14">
        <f t="shared" ca="1" si="11"/>
        <v>26636.014733744549</v>
      </c>
      <c r="H728" s="12" t="s">
        <v>172</v>
      </c>
      <c r="I728">
        <v>0</v>
      </c>
      <c r="J728">
        <v>40</v>
      </c>
      <c r="K728" s="12" t="s">
        <v>179</v>
      </c>
      <c r="L728">
        <v>0</v>
      </c>
      <c r="M728">
        <v>0</v>
      </c>
      <c r="O728" s="39"/>
      <c r="P728" s="15">
        <v>20261.099999999999</v>
      </c>
      <c r="S728" s="17"/>
    </row>
    <row r="729" spans="1:19" x14ac:dyDescent="0.4">
      <c r="A729">
        <v>4425639</v>
      </c>
      <c r="B729" s="16">
        <v>49</v>
      </c>
      <c r="C729" s="12" t="s">
        <v>122</v>
      </c>
      <c r="D729" s="12" t="s">
        <v>145</v>
      </c>
      <c r="E729" s="12" t="s">
        <v>152</v>
      </c>
      <c r="F729" s="12" t="s">
        <v>161</v>
      </c>
      <c r="G729" s="14">
        <f t="shared" ca="1" si="11"/>
        <v>25088.641469871003</v>
      </c>
      <c r="H729" s="12" t="s">
        <v>172</v>
      </c>
      <c r="I729">
        <v>0</v>
      </c>
      <c r="J729">
        <v>48</v>
      </c>
      <c r="K729" s="12" t="s">
        <v>176</v>
      </c>
      <c r="L729">
        <v>0</v>
      </c>
      <c r="M729">
        <v>0</v>
      </c>
      <c r="O729" s="39"/>
      <c r="P729" s="16">
        <v>24076.66</v>
      </c>
      <c r="S729" s="17"/>
    </row>
    <row r="730" spans="1:19" x14ac:dyDescent="0.4">
      <c r="A730">
        <v>4429760</v>
      </c>
      <c r="B730" s="15">
        <v>36</v>
      </c>
      <c r="C730" s="12" t="s">
        <v>122</v>
      </c>
      <c r="D730" s="12" t="s">
        <v>134</v>
      </c>
      <c r="E730" s="12" t="s">
        <v>153</v>
      </c>
      <c r="F730" s="12" t="s">
        <v>164</v>
      </c>
      <c r="G730" s="14">
        <f t="shared" ca="1" si="11"/>
        <v>345815.50649171224</v>
      </c>
      <c r="H730" s="12" t="s">
        <v>171</v>
      </c>
      <c r="I730">
        <v>0</v>
      </c>
      <c r="J730">
        <v>30</v>
      </c>
      <c r="K730" s="12" t="s">
        <v>176</v>
      </c>
      <c r="L730">
        <v>0</v>
      </c>
      <c r="M730">
        <v>0</v>
      </c>
      <c r="O730" s="39"/>
      <c r="P730" s="15">
        <v>178082.65</v>
      </c>
      <c r="S730" s="17"/>
    </row>
    <row r="731" spans="1:19" x14ac:dyDescent="0.4">
      <c r="A731">
        <v>4449415</v>
      </c>
      <c r="B731" s="16">
        <v>20</v>
      </c>
      <c r="C731" s="12" t="s">
        <v>122</v>
      </c>
      <c r="D731" s="12" t="s">
        <v>132</v>
      </c>
      <c r="E731" s="12" t="s">
        <v>150</v>
      </c>
      <c r="F731" s="12" t="s">
        <v>156</v>
      </c>
      <c r="G731" s="14">
        <f t="shared" ca="1" si="11"/>
        <v>185642.78565156844</v>
      </c>
      <c r="H731" s="12" t="s">
        <v>172</v>
      </c>
      <c r="I731">
        <v>0</v>
      </c>
      <c r="J731">
        <v>40</v>
      </c>
      <c r="K731" s="12" t="s">
        <v>176</v>
      </c>
      <c r="L731">
        <v>0</v>
      </c>
      <c r="M731">
        <v>0</v>
      </c>
      <c r="O731" s="39"/>
      <c r="P731" s="16">
        <v>117717.61</v>
      </c>
      <c r="S731" s="17"/>
    </row>
    <row r="732" spans="1:19" x14ac:dyDescent="0.4">
      <c r="A732">
        <v>4449560</v>
      </c>
      <c r="B732" s="15">
        <v>35</v>
      </c>
      <c r="C732" s="12" t="s">
        <v>124</v>
      </c>
      <c r="D732" s="12" t="s">
        <v>132</v>
      </c>
      <c r="E732" s="12" t="s">
        <v>152</v>
      </c>
      <c r="F732" s="12" t="s">
        <v>162</v>
      </c>
      <c r="G732" s="14">
        <f t="shared" ca="1" si="11"/>
        <v>18913.037096338794</v>
      </c>
      <c r="H732" s="12" t="s">
        <v>172</v>
      </c>
      <c r="I732">
        <v>0</v>
      </c>
      <c r="J732">
        <v>60</v>
      </c>
      <c r="K732" s="12" t="s">
        <v>176</v>
      </c>
      <c r="L732">
        <v>8568</v>
      </c>
      <c r="M732">
        <v>1</v>
      </c>
      <c r="O732" s="39"/>
      <c r="P732" s="15">
        <v>11328.85</v>
      </c>
      <c r="S732" s="17"/>
    </row>
    <row r="733" spans="1:19" x14ac:dyDescent="0.4">
      <c r="A733">
        <v>4451001</v>
      </c>
      <c r="B733" s="16">
        <v>37</v>
      </c>
      <c r="C733" s="12" t="s">
        <v>126</v>
      </c>
      <c r="D733" s="12" t="s">
        <v>135</v>
      </c>
      <c r="E733" s="12" t="s">
        <v>150</v>
      </c>
      <c r="F733" s="12" t="s">
        <v>158</v>
      </c>
      <c r="G733" s="14">
        <f t="shared" ca="1" si="11"/>
        <v>117304.32126981555</v>
      </c>
      <c r="H733" s="12" t="s">
        <v>172</v>
      </c>
      <c r="I733">
        <v>0</v>
      </c>
      <c r="J733">
        <v>38</v>
      </c>
      <c r="K733" s="12" t="s">
        <v>176</v>
      </c>
      <c r="L733">
        <v>0</v>
      </c>
      <c r="M733">
        <v>0</v>
      </c>
      <c r="O733" s="39"/>
      <c r="P733" s="16">
        <v>67520.289999999994</v>
      </c>
      <c r="S733" s="17"/>
    </row>
    <row r="734" spans="1:19" x14ac:dyDescent="0.4">
      <c r="A734">
        <v>4460483</v>
      </c>
      <c r="B734" s="15">
        <v>29</v>
      </c>
      <c r="C734" s="12" t="s">
        <v>125</v>
      </c>
      <c r="D734" s="12" t="s">
        <v>138</v>
      </c>
      <c r="E734" s="12" t="s">
        <v>150</v>
      </c>
      <c r="F734" s="12" t="s">
        <v>144</v>
      </c>
      <c r="G734" s="14">
        <f t="shared" ca="1" si="11"/>
        <v>126801.86483121685</v>
      </c>
      <c r="H734" s="12" t="s">
        <v>172</v>
      </c>
      <c r="I734">
        <v>0</v>
      </c>
      <c r="J734">
        <v>40</v>
      </c>
      <c r="K734" s="12" t="s">
        <v>199</v>
      </c>
      <c r="L734">
        <v>0</v>
      </c>
      <c r="M734">
        <v>0</v>
      </c>
      <c r="O734" s="39"/>
      <c r="P734" s="15">
        <v>117495.98</v>
      </c>
      <c r="S734" s="17"/>
    </row>
    <row r="735" spans="1:19" x14ac:dyDescent="0.4">
      <c r="A735">
        <v>4467852</v>
      </c>
      <c r="B735" s="16">
        <v>26</v>
      </c>
      <c r="C735" s="12" t="s">
        <v>122</v>
      </c>
      <c r="D735" s="12" t="s">
        <v>132</v>
      </c>
      <c r="E735" s="12" t="s">
        <v>150</v>
      </c>
      <c r="F735" s="12" t="s">
        <v>160</v>
      </c>
      <c r="G735" s="14">
        <f t="shared" ca="1" si="11"/>
        <v>102251.12922011773</v>
      </c>
      <c r="H735" s="12" t="s">
        <v>171</v>
      </c>
      <c r="I735">
        <v>0</v>
      </c>
      <c r="J735">
        <v>40</v>
      </c>
      <c r="K735" s="12" t="s">
        <v>176</v>
      </c>
      <c r="L735">
        <v>0</v>
      </c>
      <c r="M735">
        <v>0</v>
      </c>
      <c r="O735" s="39"/>
      <c r="P735" s="16">
        <v>83863.350000000006</v>
      </c>
      <c r="S735" s="17"/>
    </row>
    <row r="736" spans="1:19" x14ac:dyDescent="0.4">
      <c r="A736">
        <v>4475711</v>
      </c>
      <c r="B736" s="15">
        <v>38</v>
      </c>
      <c r="C736" s="12" t="s">
        <v>123</v>
      </c>
      <c r="D736" s="12" t="s">
        <v>134</v>
      </c>
      <c r="E736" s="12" t="s">
        <v>152</v>
      </c>
      <c r="F736" s="12" t="s">
        <v>162</v>
      </c>
      <c r="G736" s="14">
        <f t="shared" ca="1" si="11"/>
        <v>62542.307374884629</v>
      </c>
      <c r="H736" s="12" t="s">
        <v>172</v>
      </c>
      <c r="I736">
        <v>0</v>
      </c>
      <c r="J736">
        <v>64</v>
      </c>
      <c r="K736" s="12" t="s">
        <v>176</v>
      </c>
      <c r="L736">
        <v>0</v>
      </c>
      <c r="M736">
        <v>0</v>
      </c>
      <c r="O736" s="39"/>
      <c r="P736" s="15">
        <v>35520.730000000003</v>
      </c>
      <c r="S736" s="17"/>
    </row>
    <row r="737" spans="1:19" x14ac:dyDescent="0.4">
      <c r="A737">
        <v>4477040</v>
      </c>
      <c r="B737" s="16">
        <v>27</v>
      </c>
      <c r="C737" s="12" t="s">
        <v>122</v>
      </c>
      <c r="D737" s="12" t="s">
        <v>144</v>
      </c>
      <c r="E737" s="12" t="s">
        <v>152</v>
      </c>
      <c r="F737" s="12" t="s">
        <v>144</v>
      </c>
      <c r="G737" s="14">
        <f t="shared" ca="1" si="11"/>
        <v>745843.95933140593</v>
      </c>
      <c r="H737" s="12" t="s">
        <v>171</v>
      </c>
      <c r="I737">
        <v>0</v>
      </c>
      <c r="J737">
        <v>50</v>
      </c>
      <c r="K737" s="12" t="s">
        <v>176</v>
      </c>
      <c r="L737">
        <v>791</v>
      </c>
      <c r="M737">
        <v>1</v>
      </c>
      <c r="O737" s="39"/>
      <c r="P737" s="16">
        <v>393393.42</v>
      </c>
      <c r="S737" s="17"/>
    </row>
    <row r="738" spans="1:19" x14ac:dyDescent="0.4">
      <c r="A738">
        <v>4480150</v>
      </c>
      <c r="B738" s="15">
        <v>36</v>
      </c>
      <c r="C738" s="12" t="s">
        <v>122</v>
      </c>
      <c r="D738" s="12" t="s">
        <v>134</v>
      </c>
      <c r="E738" s="12" t="s">
        <v>152</v>
      </c>
      <c r="F738" s="12" t="s">
        <v>160</v>
      </c>
      <c r="G738" s="14">
        <f t="shared" ca="1" si="11"/>
        <v>102702.40336393591</v>
      </c>
      <c r="H738" s="12" t="s">
        <v>172</v>
      </c>
      <c r="I738">
        <v>0</v>
      </c>
      <c r="J738">
        <v>40</v>
      </c>
      <c r="K738" s="12" t="s">
        <v>176</v>
      </c>
      <c r="L738">
        <v>0</v>
      </c>
      <c r="M738">
        <v>0</v>
      </c>
      <c r="O738" s="39"/>
      <c r="P738" s="15">
        <v>52940.73</v>
      </c>
      <c r="S738" s="17"/>
    </row>
    <row r="739" spans="1:19" x14ac:dyDescent="0.4">
      <c r="A739">
        <v>4482559</v>
      </c>
      <c r="B739" s="16">
        <v>40</v>
      </c>
      <c r="C739" s="12" t="s">
        <v>127</v>
      </c>
      <c r="D739" s="12" t="s">
        <v>138</v>
      </c>
      <c r="E739" s="12" t="s">
        <v>150</v>
      </c>
      <c r="F739" s="12" t="s">
        <v>144</v>
      </c>
      <c r="G739" s="14">
        <f t="shared" ca="1" si="11"/>
        <v>96074.511884738706</v>
      </c>
      <c r="H739" s="12" t="s">
        <v>172</v>
      </c>
      <c r="I739">
        <v>0</v>
      </c>
      <c r="J739">
        <v>40</v>
      </c>
      <c r="K739" s="12" t="s">
        <v>176</v>
      </c>
      <c r="L739">
        <v>0</v>
      </c>
      <c r="M739">
        <v>0</v>
      </c>
      <c r="O739" s="39"/>
      <c r="P739" s="16">
        <v>89901.16</v>
      </c>
      <c r="S739" s="17"/>
    </row>
    <row r="740" spans="1:19" x14ac:dyDescent="0.4">
      <c r="A740">
        <v>4493227</v>
      </c>
      <c r="B740" s="15">
        <v>36</v>
      </c>
      <c r="C740" s="12" t="s">
        <v>127</v>
      </c>
      <c r="D740" s="12" t="s">
        <v>137</v>
      </c>
      <c r="E740" s="12" t="s">
        <v>152</v>
      </c>
      <c r="F740" s="12" t="s">
        <v>163</v>
      </c>
      <c r="G740" s="14">
        <f t="shared" ca="1" si="11"/>
        <v>74754.618717923659</v>
      </c>
      <c r="H740" s="12" t="s">
        <v>172</v>
      </c>
      <c r="I740">
        <v>0</v>
      </c>
      <c r="J740">
        <v>40</v>
      </c>
      <c r="K740" s="12" t="s">
        <v>176</v>
      </c>
      <c r="L740">
        <v>0</v>
      </c>
      <c r="M740">
        <v>0</v>
      </c>
      <c r="O740" s="39"/>
      <c r="P740" s="15">
        <v>51114.65</v>
      </c>
      <c r="S740" s="17"/>
    </row>
    <row r="741" spans="1:19" x14ac:dyDescent="0.4">
      <c r="A741">
        <v>4493295</v>
      </c>
      <c r="B741" s="16">
        <v>32</v>
      </c>
      <c r="C741" s="12" t="s">
        <v>122</v>
      </c>
      <c r="D741" s="12" t="s">
        <v>135</v>
      </c>
      <c r="E741" s="12" t="s">
        <v>150</v>
      </c>
      <c r="F741" s="12" t="s">
        <v>144</v>
      </c>
      <c r="G741" s="14">
        <f t="shared" ca="1" si="11"/>
        <v>98246.608945425585</v>
      </c>
      <c r="H741" s="12" t="s">
        <v>172</v>
      </c>
      <c r="I741">
        <v>0</v>
      </c>
      <c r="J741">
        <v>40</v>
      </c>
      <c r="K741" s="12" t="s">
        <v>176</v>
      </c>
      <c r="L741">
        <v>5576</v>
      </c>
      <c r="M741">
        <v>1</v>
      </c>
      <c r="O741" s="39"/>
      <c r="P741" s="16">
        <v>74199.12</v>
      </c>
      <c r="S741" s="17"/>
    </row>
    <row r="742" spans="1:19" x14ac:dyDescent="0.4">
      <c r="A742">
        <v>4502102</v>
      </c>
      <c r="B742" s="15">
        <v>50</v>
      </c>
      <c r="C742" s="12" t="s">
        <v>123</v>
      </c>
      <c r="D742" s="12" t="s">
        <v>134</v>
      </c>
      <c r="E742" s="12" t="s">
        <v>151</v>
      </c>
      <c r="F742" s="12" t="s">
        <v>144</v>
      </c>
      <c r="G742" s="14">
        <f t="shared" ca="1" si="11"/>
        <v>65656.214614507058</v>
      </c>
      <c r="H742" s="12" t="s">
        <v>171</v>
      </c>
      <c r="I742">
        <v>0</v>
      </c>
      <c r="J742">
        <v>60</v>
      </c>
      <c r="K742" s="12" t="s">
        <v>183</v>
      </c>
      <c r="L742">
        <v>0</v>
      </c>
      <c r="M742">
        <v>0</v>
      </c>
      <c r="O742" s="39"/>
      <c r="P742" s="15">
        <v>43445.15</v>
      </c>
      <c r="S742" s="17"/>
    </row>
    <row r="743" spans="1:19" x14ac:dyDescent="0.4">
      <c r="A743">
        <v>4502195</v>
      </c>
      <c r="B743" s="16">
        <v>47</v>
      </c>
      <c r="C743" s="12" t="s">
        <v>125</v>
      </c>
      <c r="D743" s="12" t="s">
        <v>132</v>
      </c>
      <c r="E743" s="12" t="s">
        <v>151</v>
      </c>
      <c r="F743" s="12" t="s">
        <v>160</v>
      </c>
      <c r="G743" s="14">
        <f t="shared" ca="1" si="11"/>
        <v>81326.643164210007</v>
      </c>
      <c r="H743" s="12" t="s">
        <v>172</v>
      </c>
      <c r="I743">
        <v>0</v>
      </c>
      <c r="J743">
        <v>56</v>
      </c>
      <c r="K743" s="12" t="s">
        <v>176</v>
      </c>
      <c r="L743">
        <v>344</v>
      </c>
      <c r="M743">
        <v>1</v>
      </c>
      <c r="O743" s="39"/>
      <c r="P743" s="16">
        <v>56729.66</v>
      </c>
      <c r="S743" s="17"/>
    </row>
    <row r="744" spans="1:19" x14ac:dyDescent="0.4">
      <c r="A744">
        <v>4505407</v>
      </c>
      <c r="B744" s="15">
        <v>61</v>
      </c>
      <c r="C744" s="12" t="s">
        <v>129</v>
      </c>
      <c r="D744" s="12" t="s">
        <v>135</v>
      </c>
      <c r="E744" s="12" t="s">
        <v>150</v>
      </c>
      <c r="F744" s="12" t="s">
        <v>129</v>
      </c>
      <c r="G744" s="14">
        <f t="shared" ca="1" si="11"/>
        <v>91736.09801005738</v>
      </c>
      <c r="H744" s="12" t="s">
        <v>172</v>
      </c>
      <c r="I744">
        <v>0</v>
      </c>
      <c r="J744">
        <v>7</v>
      </c>
      <c r="K744" s="12" t="s">
        <v>176</v>
      </c>
      <c r="L744">
        <v>0</v>
      </c>
      <c r="M744">
        <v>1</v>
      </c>
      <c r="O744" s="39"/>
      <c r="P744" s="15">
        <v>52767.29</v>
      </c>
      <c r="S744" s="17"/>
    </row>
    <row r="745" spans="1:19" x14ac:dyDescent="0.4">
      <c r="A745">
        <v>4508455</v>
      </c>
      <c r="B745" s="16">
        <v>54</v>
      </c>
      <c r="C745" s="12" t="s">
        <v>122</v>
      </c>
      <c r="D745" s="12" t="s">
        <v>134</v>
      </c>
      <c r="E745" s="12" t="s">
        <v>152</v>
      </c>
      <c r="F745" s="12" t="s">
        <v>159</v>
      </c>
      <c r="G745" s="14">
        <f t="shared" ca="1" si="11"/>
        <v>7610.4821138014986</v>
      </c>
      <c r="H745" s="12" t="s">
        <v>172</v>
      </c>
      <c r="I745">
        <v>0</v>
      </c>
      <c r="J745">
        <v>44</v>
      </c>
      <c r="K745" s="12" t="s">
        <v>176</v>
      </c>
      <c r="L745">
        <v>0</v>
      </c>
      <c r="M745">
        <v>0</v>
      </c>
      <c r="O745" s="39"/>
      <c r="P745" s="16">
        <v>5360.35</v>
      </c>
      <c r="S745" s="17"/>
    </row>
    <row r="746" spans="1:19" x14ac:dyDescent="0.4">
      <c r="A746">
        <v>4516220</v>
      </c>
      <c r="B746" s="15">
        <v>48</v>
      </c>
      <c r="C746" s="12" t="s">
        <v>122</v>
      </c>
      <c r="D746" s="12" t="s">
        <v>135</v>
      </c>
      <c r="E746" s="12" t="s">
        <v>152</v>
      </c>
      <c r="F746" s="12" t="s">
        <v>163</v>
      </c>
      <c r="G746" s="14">
        <f t="shared" ca="1" si="11"/>
        <v>124297.75565743826</v>
      </c>
      <c r="H746" s="12" t="s">
        <v>171</v>
      </c>
      <c r="I746">
        <v>0</v>
      </c>
      <c r="J746">
        <v>40</v>
      </c>
      <c r="K746" s="12" t="s">
        <v>176</v>
      </c>
      <c r="L746">
        <v>99999</v>
      </c>
      <c r="M746">
        <v>1</v>
      </c>
      <c r="O746" s="39"/>
      <c r="P746" s="15">
        <v>113867.76</v>
      </c>
      <c r="S746" s="17"/>
    </row>
    <row r="747" spans="1:19" x14ac:dyDescent="0.4">
      <c r="A747">
        <v>4516940</v>
      </c>
      <c r="B747" s="16">
        <v>37</v>
      </c>
      <c r="C747" s="12" t="s">
        <v>122</v>
      </c>
      <c r="D747" s="12" t="s">
        <v>135</v>
      </c>
      <c r="E747" s="12" t="s">
        <v>152</v>
      </c>
      <c r="F747" s="12" t="s">
        <v>144</v>
      </c>
      <c r="G747" s="14">
        <f t="shared" ca="1" si="11"/>
        <v>77058.280023700121</v>
      </c>
      <c r="H747" s="12" t="s">
        <v>172</v>
      </c>
      <c r="I747">
        <v>0</v>
      </c>
      <c r="J747">
        <v>45</v>
      </c>
      <c r="K747" s="12" t="s">
        <v>176</v>
      </c>
      <c r="L747">
        <v>14389</v>
      </c>
      <c r="M747">
        <v>1</v>
      </c>
      <c r="O747" s="39"/>
      <c r="P747" s="16">
        <v>39289.480000000003</v>
      </c>
      <c r="S747" s="17"/>
    </row>
    <row r="748" spans="1:19" x14ac:dyDescent="0.4">
      <c r="A748">
        <v>4517660</v>
      </c>
      <c r="B748" s="15">
        <v>44</v>
      </c>
      <c r="C748" s="12" t="s">
        <v>122</v>
      </c>
      <c r="D748" s="12" t="s">
        <v>134</v>
      </c>
      <c r="E748" s="12" t="s">
        <v>152</v>
      </c>
      <c r="F748" s="12" t="s">
        <v>157</v>
      </c>
      <c r="G748" s="14">
        <f t="shared" ca="1" si="11"/>
        <v>61103.932358333383</v>
      </c>
      <c r="H748" s="12" t="s">
        <v>172</v>
      </c>
      <c r="I748">
        <v>0</v>
      </c>
      <c r="J748">
        <v>40</v>
      </c>
      <c r="K748" s="12" t="s">
        <v>176</v>
      </c>
      <c r="L748">
        <v>0</v>
      </c>
      <c r="M748">
        <v>1</v>
      </c>
      <c r="O748" s="39"/>
      <c r="P748" s="15">
        <v>49981.25</v>
      </c>
      <c r="S748" s="17"/>
    </row>
    <row r="749" spans="1:19" x14ac:dyDescent="0.4">
      <c r="A749">
        <v>4520829</v>
      </c>
      <c r="B749" s="16">
        <v>40</v>
      </c>
      <c r="C749" s="12" t="s">
        <v>122</v>
      </c>
      <c r="D749" s="12" t="s">
        <v>132</v>
      </c>
      <c r="E749" s="12" t="s">
        <v>152</v>
      </c>
      <c r="F749" s="12" t="s">
        <v>159</v>
      </c>
      <c r="G749" s="14">
        <f t="shared" ca="1" si="11"/>
        <v>61026.684131011934</v>
      </c>
      <c r="H749" s="12" t="s">
        <v>172</v>
      </c>
      <c r="I749">
        <v>0</v>
      </c>
      <c r="J749">
        <v>40</v>
      </c>
      <c r="K749" s="12" t="s">
        <v>176</v>
      </c>
      <c r="L749">
        <v>0</v>
      </c>
      <c r="M749">
        <v>0</v>
      </c>
      <c r="O749" s="39"/>
      <c r="P749" s="16">
        <v>35791.19</v>
      </c>
      <c r="S749" s="17"/>
    </row>
    <row r="750" spans="1:19" x14ac:dyDescent="0.4">
      <c r="A750">
        <v>4524960</v>
      </c>
      <c r="B750" s="15">
        <v>27</v>
      </c>
      <c r="C750" s="12" t="s">
        <v>122</v>
      </c>
      <c r="D750" s="12" t="s">
        <v>132</v>
      </c>
      <c r="E750" s="12" t="s">
        <v>150</v>
      </c>
      <c r="F750" s="12" t="s">
        <v>165</v>
      </c>
      <c r="G750" s="14">
        <f t="shared" ca="1" si="11"/>
        <v>115084.44793371976</v>
      </c>
      <c r="H750" s="12" t="s">
        <v>172</v>
      </c>
      <c r="I750">
        <v>0</v>
      </c>
      <c r="J750">
        <v>45</v>
      </c>
      <c r="K750" s="12" t="s">
        <v>176</v>
      </c>
      <c r="L750">
        <v>0</v>
      </c>
      <c r="M750">
        <v>0</v>
      </c>
      <c r="O750" s="39"/>
      <c r="P750" s="15">
        <v>108664.63</v>
      </c>
      <c r="S750" s="17"/>
    </row>
    <row r="751" spans="1:19" x14ac:dyDescent="0.4">
      <c r="A751">
        <v>4527269</v>
      </c>
      <c r="B751" s="16">
        <v>36</v>
      </c>
      <c r="C751" s="12" t="s">
        <v>122</v>
      </c>
      <c r="D751" s="12" t="s">
        <v>135</v>
      </c>
      <c r="E751" s="12" t="s">
        <v>152</v>
      </c>
      <c r="F751" s="12" t="s">
        <v>163</v>
      </c>
      <c r="G751" s="14">
        <f t="shared" ca="1" si="11"/>
        <v>61645.967229816124</v>
      </c>
      <c r="H751" s="12" t="s">
        <v>172</v>
      </c>
      <c r="I751">
        <v>0</v>
      </c>
      <c r="J751">
        <v>40</v>
      </c>
      <c r="K751" s="12" t="s">
        <v>176</v>
      </c>
      <c r="L751">
        <v>0</v>
      </c>
      <c r="M751">
        <v>0</v>
      </c>
      <c r="O751" s="39"/>
      <c r="P751" s="16">
        <v>34606.74</v>
      </c>
      <c r="S751" s="17"/>
    </row>
    <row r="752" spans="1:19" x14ac:dyDescent="0.4">
      <c r="A752">
        <v>4530435</v>
      </c>
      <c r="B752" s="15">
        <v>45</v>
      </c>
      <c r="C752" s="12" t="s">
        <v>122</v>
      </c>
      <c r="D752" s="12" t="s">
        <v>132</v>
      </c>
      <c r="E752" s="12" t="s">
        <v>152</v>
      </c>
      <c r="F752" s="12" t="s">
        <v>158</v>
      </c>
      <c r="G752" s="14">
        <f t="shared" ca="1" si="11"/>
        <v>327218.51725445007</v>
      </c>
      <c r="H752" s="12" t="s">
        <v>171</v>
      </c>
      <c r="I752">
        <v>1902</v>
      </c>
      <c r="J752">
        <v>35</v>
      </c>
      <c r="K752" s="12" t="s">
        <v>176</v>
      </c>
      <c r="L752">
        <v>3812</v>
      </c>
      <c r="M752">
        <v>1</v>
      </c>
      <c r="O752" s="39"/>
      <c r="P752" s="15">
        <v>198316.61</v>
      </c>
      <c r="S752" s="17"/>
    </row>
    <row r="753" spans="1:19" x14ac:dyDescent="0.4">
      <c r="A753">
        <v>4533489</v>
      </c>
      <c r="B753" s="16">
        <v>32</v>
      </c>
      <c r="C753" s="12" t="s">
        <v>126</v>
      </c>
      <c r="D753" s="12" t="s">
        <v>135</v>
      </c>
      <c r="E753" s="12" t="s">
        <v>152</v>
      </c>
      <c r="F753" s="12" t="s">
        <v>160</v>
      </c>
      <c r="G753" s="14">
        <f t="shared" ca="1" si="11"/>
        <v>173395.81717481176</v>
      </c>
      <c r="H753" s="12" t="s">
        <v>171</v>
      </c>
      <c r="I753">
        <v>0</v>
      </c>
      <c r="J753">
        <v>55</v>
      </c>
      <c r="K753" s="12" t="s">
        <v>176</v>
      </c>
      <c r="L753">
        <v>0</v>
      </c>
      <c r="M753">
        <v>1</v>
      </c>
      <c r="O753" s="39"/>
      <c r="P753" s="16">
        <v>134250.87</v>
      </c>
      <c r="S753" s="17"/>
    </row>
    <row r="754" spans="1:19" x14ac:dyDescent="0.4">
      <c r="A754">
        <v>4537353</v>
      </c>
      <c r="B754" s="15">
        <v>19</v>
      </c>
      <c r="C754" s="12" t="s">
        <v>122</v>
      </c>
      <c r="D754" s="12" t="s">
        <v>132</v>
      </c>
      <c r="E754" s="12" t="s">
        <v>150</v>
      </c>
      <c r="F754" s="12" t="s">
        <v>158</v>
      </c>
      <c r="G754" s="14">
        <f t="shared" ca="1" si="11"/>
        <v>410864.17577405798</v>
      </c>
      <c r="H754" s="12" t="s">
        <v>171</v>
      </c>
      <c r="I754">
        <v>0</v>
      </c>
      <c r="J754">
        <v>20</v>
      </c>
      <c r="K754" s="12" t="s">
        <v>176</v>
      </c>
      <c r="L754">
        <v>0</v>
      </c>
      <c r="M754">
        <v>0</v>
      </c>
      <c r="O754" s="39"/>
      <c r="P754" s="15">
        <v>260015.72</v>
      </c>
      <c r="S754" s="17"/>
    </row>
    <row r="755" spans="1:19" x14ac:dyDescent="0.4">
      <c r="A755">
        <v>4538700</v>
      </c>
      <c r="B755" s="16">
        <v>22</v>
      </c>
      <c r="C755" s="12" t="s">
        <v>122</v>
      </c>
      <c r="D755" s="12" t="s">
        <v>134</v>
      </c>
      <c r="E755" s="12" t="s">
        <v>150</v>
      </c>
      <c r="F755" s="12" t="s">
        <v>156</v>
      </c>
      <c r="G755" s="14">
        <f t="shared" ca="1" si="11"/>
        <v>105888.69402533268</v>
      </c>
      <c r="H755" s="12" t="s">
        <v>171</v>
      </c>
      <c r="I755">
        <v>0</v>
      </c>
      <c r="J755">
        <v>40</v>
      </c>
      <c r="K755" s="12" t="s">
        <v>176</v>
      </c>
      <c r="L755">
        <v>0</v>
      </c>
      <c r="M755">
        <v>0</v>
      </c>
      <c r="O755" s="39"/>
      <c r="P755" s="16">
        <v>85976.68</v>
      </c>
      <c r="S755" s="17"/>
    </row>
    <row r="756" spans="1:19" x14ac:dyDescent="0.4">
      <c r="A756">
        <v>4540171</v>
      </c>
      <c r="B756" s="15">
        <v>40</v>
      </c>
      <c r="C756" s="12" t="s">
        <v>122</v>
      </c>
      <c r="D756" s="12" t="s">
        <v>134</v>
      </c>
      <c r="E756" s="12" t="s">
        <v>150</v>
      </c>
      <c r="F756" s="12" t="s">
        <v>161</v>
      </c>
      <c r="G756" s="14">
        <f t="shared" ca="1" si="11"/>
        <v>141332.98135452636</v>
      </c>
      <c r="H756" s="12" t="s">
        <v>171</v>
      </c>
      <c r="I756">
        <v>0</v>
      </c>
      <c r="J756">
        <v>40</v>
      </c>
      <c r="K756" s="12" t="s">
        <v>176</v>
      </c>
      <c r="L756">
        <v>0</v>
      </c>
      <c r="M756">
        <v>0</v>
      </c>
      <c r="O756" s="39"/>
      <c r="P756" s="15">
        <v>111604.03</v>
      </c>
      <c r="S756" s="17"/>
    </row>
    <row r="757" spans="1:19" x14ac:dyDescent="0.4">
      <c r="A757">
        <v>4542027</v>
      </c>
      <c r="B757" s="16">
        <v>45</v>
      </c>
      <c r="C757" s="12" t="s">
        <v>126</v>
      </c>
      <c r="D757" s="12" t="s">
        <v>134</v>
      </c>
      <c r="E757" s="12" t="s">
        <v>151</v>
      </c>
      <c r="F757" s="12" t="s">
        <v>163</v>
      </c>
      <c r="G757" s="14">
        <f t="shared" ca="1" si="11"/>
        <v>187340.71036520001</v>
      </c>
      <c r="H757" s="12" t="s">
        <v>171</v>
      </c>
      <c r="I757">
        <v>0</v>
      </c>
      <c r="J757">
        <v>40</v>
      </c>
      <c r="K757" s="12" t="s">
        <v>176</v>
      </c>
      <c r="L757">
        <v>0</v>
      </c>
      <c r="M757">
        <v>0</v>
      </c>
      <c r="O757" s="39"/>
      <c r="P757" s="16">
        <v>93983.38</v>
      </c>
      <c r="S757" s="17"/>
    </row>
    <row r="758" spans="1:19" x14ac:dyDescent="0.4">
      <c r="A758">
        <v>4546438</v>
      </c>
      <c r="B758" s="15">
        <v>45</v>
      </c>
      <c r="C758" s="12" t="s">
        <v>126</v>
      </c>
      <c r="D758" s="12" t="s">
        <v>144</v>
      </c>
      <c r="E758" s="12" t="s">
        <v>151</v>
      </c>
      <c r="F758" s="12" t="s">
        <v>144</v>
      </c>
      <c r="G758" s="14">
        <f t="shared" ca="1" si="11"/>
        <v>185706.97932531463</v>
      </c>
      <c r="H758" s="12" t="s">
        <v>171</v>
      </c>
      <c r="I758">
        <v>0</v>
      </c>
      <c r="J758">
        <v>43</v>
      </c>
      <c r="K758" s="12" t="s">
        <v>176</v>
      </c>
      <c r="L758">
        <v>0</v>
      </c>
      <c r="M758">
        <v>0</v>
      </c>
      <c r="O758" s="39"/>
      <c r="P758" s="15">
        <v>105763.11</v>
      </c>
      <c r="S758" s="17"/>
    </row>
    <row r="759" spans="1:19" x14ac:dyDescent="0.4">
      <c r="A759">
        <v>4558251</v>
      </c>
      <c r="B759" s="16">
        <v>42</v>
      </c>
      <c r="C759" s="12" t="s">
        <v>122</v>
      </c>
      <c r="D759" s="12" t="s">
        <v>137</v>
      </c>
      <c r="E759" s="12" t="s">
        <v>150</v>
      </c>
      <c r="F759" s="12" t="s">
        <v>158</v>
      </c>
      <c r="G759" s="14">
        <f t="shared" ca="1" si="11"/>
        <v>180533.28225419519</v>
      </c>
      <c r="H759" s="12" t="s">
        <v>171</v>
      </c>
      <c r="I759">
        <v>0</v>
      </c>
      <c r="J759">
        <v>60</v>
      </c>
      <c r="K759" s="12" t="s">
        <v>176</v>
      </c>
      <c r="L759">
        <v>0</v>
      </c>
      <c r="M759">
        <v>0</v>
      </c>
      <c r="O759" s="39"/>
      <c r="P759" s="16">
        <v>97380.27</v>
      </c>
      <c r="S759" s="17"/>
    </row>
    <row r="760" spans="1:19" x14ac:dyDescent="0.4">
      <c r="A760">
        <v>4558485</v>
      </c>
      <c r="B760" s="15">
        <v>42</v>
      </c>
      <c r="C760" s="12" t="s">
        <v>122</v>
      </c>
      <c r="D760" s="12" t="s">
        <v>145</v>
      </c>
      <c r="E760" s="12" t="s">
        <v>152</v>
      </c>
      <c r="F760" s="12" t="s">
        <v>164</v>
      </c>
      <c r="G760" s="14">
        <f t="shared" ca="1" si="11"/>
        <v>95139.567768784123</v>
      </c>
      <c r="H760" s="12" t="s">
        <v>172</v>
      </c>
      <c r="I760">
        <v>0</v>
      </c>
      <c r="J760">
        <v>30</v>
      </c>
      <c r="K760" s="12" t="s">
        <v>179</v>
      </c>
      <c r="L760">
        <v>0</v>
      </c>
      <c r="M760">
        <v>0</v>
      </c>
      <c r="O760" s="39"/>
      <c r="P760" s="15">
        <v>51245.9</v>
      </c>
      <c r="S760" s="17"/>
    </row>
    <row r="761" spans="1:19" x14ac:dyDescent="0.4">
      <c r="A761">
        <v>4559741</v>
      </c>
      <c r="B761" s="16">
        <v>60</v>
      </c>
      <c r="C761" s="12" t="s">
        <v>129</v>
      </c>
      <c r="D761" s="12" t="s">
        <v>134</v>
      </c>
      <c r="E761" s="12" t="s">
        <v>152</v>
      </c>
      <c r="F761" s="12" t="s">
        <v>129</v>
      </c>
      <c r="G761" s="14">
        <f t="shared" ca="1" si="11"/>
        <v>25512.521692949391</v>
      </c>
      <c r="H761" s="12" t="s">
        <v>172</v>
      </c>
      <c r="I761">
        <v>1848</v>
      </c>
      <c r="J761">
        <v>40</v>
      </c>
      <c r="K761" s="12" t="s">
        <v>176</v>
      </c>
      <c r="L761">
        <v>11588</v>
      </c>
      <c r="M761">
        <v>1</v>
      </c>
      <c r="O761" s="39"/>
      <c r="P761" s="16">
        <v>13061.1</v>
      </c>
      <c r="S761" s="17"/>
    </row>
    <row r="762" spans="1:19" x14ac:dyDescent="0.4">
      <c r="A762">
        <v>4562337</v>
      </c>
      <c r="B762" s="15">
        <v>53</v>
      </c>
      <c r="C762" s="12" t="s">
        <v>122</v>
      </c>
      <c r="D762" s="12" t="s">
        <v>134</v>
      </c>
      <c r="E762" s="12" t="s">
        <v>151</v>
      </c>
      <c r="F762" s="12" t="s">
        <v>161</v>
      </c>
      <c r="G762" s="14">
        <f t="shared" ca="1" si="11"/>
        <v>116099.50133801336</v>
      </c>
      <c r="H762" s="12" t="s">
        <v>172</v>
      </c>
      <c r="I762">
        <v>0</v>
      </c>
      <c r="J762">
        <v>40</v>
      </c>
      <c r="K762" s="12" t="s">
        <v>176</v>
      </c>
      <c r="L762">
        <v>0</v>
      </c>
      <c r="M762">
        <v>0</v>
      </c>
      <c r="O762" s="39"/>
      <c r="P762" s="15">
        <v>102342.44</v>
      </c>
      <c r="S762" s="17"/>
    </row>
    <row r="763" spans="1:19" x14ac:dyDescent="0.4">
      <c r="A763">
        <v>4572048</v>
      </c>
      <c r="B763" s="16">
        <v>45</v>
      </c>
      <c r="C763" s="12" t="s">
        <v>122</v>
      </c>
      <c r="D763" s="12" t="s">
        <v>134</v>
      </c>
      <c r="E763" s="12" t="s">
        <v>151</v>
      </c>
      <c r="F763" s="12" t="s">
        <v>158</v>
      </c>
      <c r="G763" s="14">
        <f t="shared" ca="1" si="11"/>
        <v>209148.14540805903</v>
      </c>
      <c r="H763" s="12" t="s">
        <v>171</v>
      </c>
      <c r="I763">
        <v>0</v>
      </c>
      <c r="J763">
        <v>38</v>
      </c>
      <c r="K763" s="12" t="s">
        <v>176</v>
      </c>
      <c r="L763">
        <v>0</v>
      </c>
      <c r="M763">
        <v>0</v>
      </c>
      <c r="O763" s="39"/>
      <c r="P763" s="16">
        <v>130502.82</v>
      </c>
      <c r="S763" s="17"/>
    </row>
    <row r="764" spans="1:19" x14ac:dyDescent="0.4">
      <c r="A764">
        <v>4577329</v>
      </c>
      <c r="B764" s="15">
        <v>57</v>
      </c>
      <c r="C764" s="12" t="s">
        <v>122</v>
      </c>
      <c r="D764" s="12" t="s">
        <v>134</v>
      </c>
      <c r="E764" s="12" t="s">
        <v>152</v>
      </c>
      <c r="F764" s="12" t="s">
        <v>160</v>
      </c>
      <c r="G764" s="14">
        <f t="shared" ca="1" si="11"/>
        <v>57152.753398930559</v>
      </c>
      <c r="H764" s="12" t="s">
        <v>172</v>
      </c>
      <c r="I764">
        <v>0</v>
      </c>
      <c r="J764">
        <v>50</v>
      </c>
      <c r="K764" s="12" t="s">
        <v>176</v>
      </c>
      <c r="L764">
        <v>0</v>
      </c>
      <c r="M764">
        <v>0</v>
      </c>
      <c r="O764" s="39"/>
      <c r="P764" s="15">
        <v>37598.92</v>
      </c>
      <c r="S764" s="17"/>
    </row>
    <row r="765" spans="1:19" x14ac:dyDescent="0.4">
      <c r="A765">
        <v>4579400</v>
      </c>
      <c r="B765" s="16">
        <v>61</v>
      </c>
      <c r="C765" s="12" t="s">
        <v>123</v>
      </c>
      <c r="D765" s="12" t="s">
        <v>134</v>
      </c>
      <c r="E765" s="12" t="s">
        <v>152</v>
      </c>
      <c r="F765" s="12" t="s">
        <v>165</v>
      </c>
      <c r="G765" s="14">
        <f t="shared" ca="1" si="11"/>
        <v>54467.407984813988</v>
      </c>
      <c r="H765" s="12" t="s">
        <v>172</v>
      </c>
      <c r="I765">
        <v>1568</v>
      </c>
      <c r="J765">
        <v>50</v>
      </c>
      <c r="K765" s="12" t="s">
        <v>176</v>
      </c>
      <c r="L765">
        <v>0</v>
      </c>
      <c r="M765">
        <v>0</v>
      </c>
      <c r="O765" s="39"/>
      <c r="P765" s="16">
        <v>29392.560000000001</v>
      </c>
      <c r="S765" s="17"/>
    </row>
    <row r="766" spans="1:19" x14ac:dyDescent="0.4">
      <c r="A766">
        <v>4580432</v>
      </c>
      <c r="B766" s="15">
        <v>20</v>
      </c>
      <c r="C766" s="12" t="s">
        <v>122</v>
      </c>
      <c r="D766" s="12" t="s">
        <v>137</v>
      </c>
      <c r="E766" s="12" t="s">
        <v>150</v>
      </c>
      <c r="F766" s="12" t="s">
        <v>156</v>
      </c>
      <c r="G766" s="14">
        <f t="shared" ca="1" si="11"/>
        <v>327033.24278255925</v>
      </c>
      <c r="H766" s="12" t="s">
        <v>171</v>
      </c>
      <c r="I766">
        <v>0</v>
      </c>
      <c r="J766">
        <v>20</v>
      </c>
      <c r="K766" s="12" t="s">
        <v>176</v>
      </c>
      <c r="L766">
        <v>0</v>
      </c>
      <c r="M766">
        <v>0</v>
      </c>
      <c r="O766" s="39"/>
      <c r="P766" s="15">
        <v>180841.47</v>
      </c>
      <c r="S766" s="17"/>
    </row>
    <row r="767" spans="1:19" x14ac:dyDescent="0.4">
      <c r="A767">
        <v>4584715</v>
      </c>
      <c r="B767" s="16">
        <v>43</v>
      </c>
      <c r="C767" s="12" t="s">
        <v>129</v>
      </c>
      <c r="D767" s="12" t="s">
        <v>134</v>
      </c>
      <c r="E767" s="12" t="s">
        <v>152</v>
      </c>
      <c r="F767" s="12" t="s">
        <v>129</v>
      </c>
      <c r="G767" s="14">
        <f t="shared" ca="1" si="11"/>
        <v>87580.901017416836</v>
      </c>
      <c r="H767" s="12" t="s">
        <v>172</v>
      </c>
      <c r="I767">
        <v>0</v>
      </c>
      <c r="J767">
        <v>40</v>
      </c>
      <c r="K767" s="12" t="s">
        <v>176</v>
      </c>
      <c r="L767">
        <v>0</v>
      </c>
      <c r="M767">
        <v>0</v>
      </c>
      <c r="O767" s="39"/>
      <c r="P767" s="16">
        <v>47064.34</v>
      </c>
      <c r="S767" s="17"/>
    </row>
    <row r="768" spans="1:19" x14ac:dyDescent="0.4">
      <c r="A768">
        <v>4587838</v>
      </c>
      <c r="B768" s="15">
        <v>31</v>
      </c>
      <c r="C768" s="12" t="s">
        <v>122</v>
      </c>
      <c r="D768" s="12" t="s">
        <v>135</v>
      </c>
      <c r="E768" s="12" t="s">
        <v>152</v>
      </c>
      <c r="F768" s="12" t="s">
        <v>144</v>
      </c>
      <c r="G768" s="14">
        <f t="shared" ca="1" si="11"/>
        <v>58628.51974518544</v>
      </c>
      <c r="H768" s="12" t="s">
        <v>172</v>
      </c>
      <c r="I768">
        <v>0</v>
      </c>
      <c r="J768">
        <v>48</v>
      </c>
      <c r="K768" s="12" t="s">
        <v>178</v>
      </c>
      <c r="L768">
        <v>15024</v>
      </c>
      <c r="M768">
        <v>1</v>
      </c>
      <c r="O768" s="39"/>
      <c r="P768" s="15">
        <v>36692.699999999997</v>
      </c>
      <c r="S768" s="17"/>
    </row>
    <row r="769" spans="1:19" x14ac:dyDescent="0.4">
      <c r="A769">
        <v>4600372</v>
      </c>
      <c r="B769" s="16">
        <v>29</v>
      </c>
      <c r="C769" s="12" t="s">
        <v>122</v>
      </c>
      <c r="D769" s="12" t="s">
        <v>140</v>
      </c>
      <c r="E769" s="12" t="s">
        <v>150</v>
      </c>
      <c r="F769" s="12" t="s">
        <v>144</v>
      </c>
      <c r="G769" s="14">
        <f t="shared" ca="1" si="11"/>
        <v>130619.5360162624</v>
      </c>
      <c r="H769" s="12" t="s">
        <v>172</v>
      </c>
      <c r="I769">
        <v>0</v>
      </c>
      <c r="J769">
        <v>40</v>
      </c>
      <c r="K769" s="12" t="s">
        <v>176</v>
      </c>
      <c r="L769">
        <v>0</v>
      </c>
      <c r="M769">
        <v>0</v>
      </c>
      <c r="O769" s="39"/>
      <c r="P769" s="16">
        <v>78257.05</v>
      </c>
      <c r="S769" s="17"/>
    </row>
    <row r="770" spans="1:19" x14ac:dyDescent="0.4">
      <c r="A770">
        <v>4608348</v>
      </c>
      <c r="B770" s="15">
        <v>29</v>
      </c>
      <c r="C770" s="12" t="s">
        <v>122</v>
      </c>
      <c r="D770" s="12" t="s">
        <v>141</v>
      </c>
      <c r="E770" s="12" t="s">
        <v>150</v>
      </c>
      <c r="F770" s="12" t="s">
        <v>144</v>
      </c>
      <c r="G770" s="14">
        <f t="shared" ca="1" si="11"/>
        <v>175752.78427586588</v>
      </c>
      <c r="H770" s="12" t="s">
        <v>172</v>
      </c>
      <c r="I770">
        <v>0</v>
      </c>
      <c r="J770">
        <v>40</v>
      </c>
      <c r="K770" s="12" t="s">
        <v>176</v>
      </c>
      <c r="L770">
        <v>0</v>
      </c>
      <c r="M770">
        <v>0</v>
      </c>
      <c r="O770" s="39"/>
      <c r="P770" s="15">
        <v>128737.61</v>
      </c>
      <c r="S770" s="17"/>
    </row>
    <row r="771" spans="1:19" x14ac:dyDescent="0.4">
      <c r="A771">
        <v>4611333</v>
      </c>
      <c r="B771" s="16">
        <v>56</v>
      </c>
      <c r="C771" s="12" t="s">
        <v>122</v>
      </c>
      <c r="D771" s="12" t="s">
        <v>134</v>
      </c>
      <c r="E771" s="12" t="s">
        <v>152</v>
      </c>
      <c r="F771" s="12" t="s">
        <v>159</v>
      </c>
      <c r="G771" s="14">
        <f t="shared" ca="1" si="11"/>
        <v>66886.164354442983</v>
      </c>
      <c r="H771" s="12" t="s">
        <v>172</v>
      </c>
      <c r="I771">
        <v>0</v>
      </c>
      <c r="J771">
        <v>60</v>
      </c>
      <c r="K771" s="12" t="s">
        <v>176</v>
      </c>
      <c r="L771">
        <v>0</v>
      </c>
      <c r="M771">
        <v>0</v>
      </c>
      <c r="O771" s="39"/>
      <c r="P771" s="16">
        <v>35987.72</v>
      </c>
      <c r="S771" s="17"/>
    </row>
    <row r="772" spans="1:19" x14ac:dyDescent="0.4">
      <c r="A772">
        <v>4614197</v>
      </c>
      <c r="B772" s="15">
        <v>21</v>
      </c>
      <c r="C772" s="12" t="s">
        <v>122</v>
      </c>
      <c r="D772" s="12" t="s">
        <v>146</v>
      </c>
      <c r="E772" s="12" t="s">
        <v>150</v>
      </c>
      <c r="F772" s="12" t="s">
        <v>165</v>
      </c>
      <c r="G772" s="14">
        <f t="shared" ca="1" si="11"/>
        <v>70288.136970524691</v>
      </c>
      <c r="H772" s="12" t="s">
        <v>172</v>
      </c>
      <c r="I772">
        <v>0</v>
      </c>
      <c r="J772">
        <v>50</v>
      </c>
      <c r="K772" s="12" t="s">
        <v>179</v>
      </c>
      <c r="L772">
        <v>0</v>
      </c>
      <c r="M772">
        <v>0</v>
      </c>
      <c r="O772" s="39"/>
      <c r="P772" s="15">
        <v>67198.880000000005</v>
      </c>
      <c r="S772" s="17"/>
    </row>
    <row r="773" spans="1:19" x14ac:dyDescent="0.4">
      <c r="A773">
        <v>4622365</v>
      </c>
      <c r="B773" s="16">
        <v>37</v>
      </c>
      <c r="C773" s="12" t="s">
        <v>122</v>
      </c>
      <c r="D773" s="12" t="s">
        <v>134</v>
      </c>
      <c r="E773" s="12" t="s">
        <v>152</v>
      </c>
      <c r="F773" s="12" t="s">
        <v>156</v>
      </c>
      <c r="G773" s="14">
        <f t="shared" ca="1" si="11"/>
        <v>421998.75378788571</v>
      </c>
      <c r="H773" s="12" t="s">
        <v>171</v>
      </c>
      <c r="I773">
        <v>0</v>
      </c>
      <c r="J773">
        <v>60</v>
      </c>
      <c r="K773" s="12" t="s">
        <v>178</v>
      </c>
      <c r="L773">
        <v>0</v>
      </c>
      <c r="M773">
        <v>0</v>
      </c>
      <c r="O773" s="39"/>
      <c r="P773" s="16">
        <v>214984.25</v>
      </c>
      <c r="S773" s="17"/>
    </row>
    <row r="774" spans="1:19" x14ac:dyDescent="0.4">
      <c r="A774">
        <v>4631716</v>
      </c>
      <c r="B774" s="15">
        <v>34</v>
      </c>
      <c r="C774" s="12" t="s">
        <v>126</v>
      </c>
      <c r="D774" s="12" t="s">
        <v>134</v>
      </c>
      <c r="E774" s="12" t="s">
        <v>149</v>
      </c>
      <c r="F774" s="12" t="s">
        <v>158</v>
      </c>
      <c r="G774" s="14">
        <f t="shared" ca="1" si="11"/>
        <v>242399.35784441928</v>
      </c>
      <c r="H774" s="12" t="s">
        <v>171</v>
      </c>
      <c r="I774">
        <v>0</v>
      </c>
      <c r="J774">
        <v>20</v>
      </c>
      <c r="K774" s="12" t="s">
        <v>176</v>
      </c>
      <c r="L774">
        <v>0</v>
      </c>
      <c r="M774">
        <v>0</v>
      </c>
      <c r="O774" s="39"/>
      <c r="P774" s="15">
        <v>138982.23000000001</v>
      </c>
      <c r="S774" s="17"/>
    </row>
    <row r="775" spans="1:19" x14ac:dyDescent="0.4">
      <c r="A775">
        <v>4633218</v>
      </c>
      <c r="B775" s="16">
        <v>40</v>
      </c>
      <c r="C775" s="12" t="s">
        <v>122</v>
      </c>
      <c r="D775" s="12" t="s">
        <v>132</v>
      </c>
      <c r="E775" s="12" t="s">
        <v>152</v>
      </c>
      <c r="F775" s="12" t="s">
        <v>144</v>
      </c>
      <c r="G775" s="14">
        <f t="shared" ca="1" si="11"/>
        <v>61579.612835317144</v>
      </c>
      <c r="H775" s="12" t="s">
        <v>172</v>
      </c>
      <c r="I775">
        <v>0</v>
      </c>
      <c r="J775">
        <v>40</v>
      </c>
      <c r="K775" s="12" t="s">
        <v>176</v>
      </c>
      <c r="L775">
        <v>1778</v>
      </c>
      <c r="M775">
        <v>1</v>
      </c>
      <c r="O775" s="39"/>
      <c r="P775" s="16">
        <v>39459.43</v>
      </c>
      <c r="S775" s="17"/>
    </row>
    <row r="776" spans="1:19" x14ac:dyDescent="0.4">
      <c r="A776">
        <v>4639176</v>
      </c>
      <c r="B776" s="15">
        <v>33</v>
      </c>
      <c r="C776" s="12" t="s">
        <v>122</v>
      </c>
      <c r="D776" s="12" t="s">
        <v>132</v>
      </c>
      <c r="E776" s="12" t="s">
        <v>152</v>
      </c>
      <c r="F776" s="12" t="s">
        <v>161</v>
      </c>
      <c r="G776" s="14">
        <f t="shared" ca="1" si="11"/>
        <v>22702.152729475889</v>
      </c>
      <c r="H776" s="12" t="s">
        <v>172</v>
      </c>
      <c r="I776">
        <v>0</v>
      </c>
      <c r="J776">
        <v>55</v>
      </c>
      <c r="K776" s="12" t="s">
        <v>176</v>
      </c>
      <c r="L776">
        <v>0</v>
      </c>
      <c r="M776">
        <v>0</v>
      </c>
      <c r="O776" s="39"/>
      <c r="P776" s="15">
        <v>12121.85</v>
      </c>
      <c r="S776" s="17"/>
    </row>
    <row r="777" spans="1:19" x14ac:dyDescent="0.4">
      <c r="A777">
        <v>4639600</v>
      </c>
      <c r="B777" s="16">
        <v>42</v>
      </c>
      <c r="C777" s="12" t="s">
        <v>127</v>
      </c>
      <c r="D777" s="12" t="s">
        <v>135</v>
      </c>
      <c r="E777" s="12" t="s">
        <v>152</v>
      </c>
      <c r="F777" s="12" t="s">
        <v>160</v>
      </c>
      <c r="G777" s="14">
        <f t="shared" ca="1" si="11"/>
        <v>91719.095062587759</v>
      </c>
      <c r="H777" s="12" t="s">
        <v>172</v>
      </c>
      <c r="I777">
        <v>0</v>
      </c>
      <c r="J777">
        <v>52</v>
      </c>
      <c r="K777" s="12" t="s">
        <v>176</v>
      </c>
      <c r="L777">
        <v>5139</v>
      </c>
      <c r="M777">
        <v>1</v>
      </c>
      <c r="O777" s="39"/>
      <c r="P777" s="16">
        <v>60667.89</v>
      </c>
      <c r="S777" s="17"/>
    </row>
    <row r="778" spans="1:19" x14ac:dyDescent="0.4">
      <c r="A778">
        <v>4644562</v>
      </c>
      <c r="B778" s="15">
        <v>31</v>
      </c>
      <c r="C778" s="12" t="s">
        <v>122</v>
      </c>
      <c r="D778" s="12" t="s">
        <v>137</v>
      </c>
      <c r="E778" s="12" t="s">
        <v>152</v>
      </c>
      <c r="F778" s="12" t="s">
        <v>160</v>
      </c>
      <c r="G778" s="14">
        <f t="shared" ca="1" si="11"/>
        <v>40293.283025575984</v>
      </c>
      <c r="H778" s="12" t="s">
        <v>172</v>
      </c>
      <c r="I778">
        <v>0</v>
      </c>
      <c r="J778">
        <v>40</v>
      </c>
      <c r="K778" s="12" t="s">
        <v>176</v>
      </c>
      <c r="L778">
        <v>0</v>
      </c>
      <c r="M778">
        <v>0</v>
      </c>
      <c r="O778" s="39"/>
      <c r="P778" s="15">
        <v>33700.67</v>
      </c>
      <c r="S778" s="17"/>
    </row>
    <row r="779" spans="1:19" x14ac:dyDescent="0.4">
      <c r="A779">
        <v>4647508</v>
      </c>
      <c r="B779" s="16">
        <v>58</v>
      </c>
      <c r="C779" s="12" t="s">
        <v>122</v>
      </c>
      <c r="D779" s="12" t="s">
        <v>135</v>
      </c>
      <c r="E779" s="12" t="s">
        <v>152</v>
      </c>
      <c r="F779" s="12" t="s">
        <v>144</v>
      </c>
      <c r="G779" s="14">
        <f t="shared" ref="G779:G842" ca="1" si="12">P779*(1+RAND())</f>
        <v>74102.554421417983</v>
      </c>
      <c r="H779" s="12" t="s">
        <v>172</v>
      </c>
      <c r="I779">
        <v>0</v>
      </c>
      <c r="J779">
        <v>40</v>
      </c>
      <c r="K779" s="12" t="s">
        <v>176</v>
      </c>
      <c r="L779">
        <v>5885</v>
      </c>
      <c r="M779">
        <v>1</v>
      </c>
      <c r="O779" s="39"/>
      <c r="P779" s="16">
        <v>46084.160000000003</v>
      </c>
      <c r="S779" s="17"/>
    </row>
    <row r="780" spans="1:19" x14ac:dyDescent="0.4">
      <c r="A780">
        <v>4649943</v>
      </c>
      <c r="B780" s="15">
        <v>37</v>
      </c>
      <c r="C780" s="12" t="s">
        <v>122</v>
      </c>
      <c r="D780" s="12" t="s">
        <v>134</v>
      </c>
      <c r="E780" s="12" t="s">
        <v>150</v>
      </c>
      <c r="F780" s="12" t="s">
        <v>157</v>
      </c>
      <c r="G780" s="14">
        <f t="shared" ca="1" si="12"/>
        <v>112526.44818859902</v>
      </c>
      <c r="H780" s="12" t="s">
        <v>172</v>
      </c>
      <c r="I780">
        <v>0</v>
      </c>
      <c r="J780">
        <v>50</v>
      </c>
      <c r="K780" s="12" t="s">
        <v>176</v>
      </c>
      <c r="L780">
        <v>0</v>
      </c>
      <c r="M780">
        <v>0</v>
      </c>
      <c r="O780" s="39"/>
      <c r="P780" s="15">
        <v>84445.119999999995</v>
      </c>
      <c r="S780" s="17"/>
    </row>
    <row r="781" spans="1:19" x14ac:dyDescent="0.4">
      <c r="A781">
        <v>4652713</v>
      </c>
      <c r="B781" s="16">
        <v>33</v>
      </c>
      <c r="C781" s="12" t="s">
        <v>122</v>
      </c>
      <c r="D781" s="12" t="s">
        <v>134</v>
      </c>
      <c r="E781" s="12" t="s">
        <v>151</v>
      </c>
      <c r="F781" s="12" t="s">
        <v>156</v>
      </c>
      <c r="G781" s="14">
        <f t="shared" ca="1" si="12"/>
        <v>293331.35495772265</v>
      </c>
      <c r="H781" s="12" t="s">
        <v>171</v>
      </c>
      <c r="I781">
        <v>0</v>
      </c>
      <c r="J781">
        <v>40</v>
      </c>
      <c r="K781" s="12" t="s">
        <v>176</v>
      </c>
      <c r="L781">
        <v>0</v>
      </c>
      <c r="M781">
        <v>0</v>
      </c>
      <c r="O781" s="39"/>
      <c r="P781" s="16">
        <v>158246.57999999999</v>
      </c>
      <c r="S781" s="17"/>
    </row>
    <row r="782" spans="1:19" x14ac:dyDescent="0.4">
      <c r="A782">
        <v>4655009</v>
      </c>
      <c r="B782" s="15">
        <v>46</v>
      </c>
      <c r="C782" s="12" t="s">
        <v>122</v>
      </c>
      <c r="D782" s="12" t="s">
        <v>135</v>
      </c>
      <c r="E782" s="12" t="s">
        <v>152</v>
      </c>
      <c r="F782" s="12" t="s">
        <v>162</v>
      </c>
      <c r="G782" s="14">
        <f t="shared" ca="1" si="12"/>
        <v>13592.87465130853</v>
      </c>
      <c r="H782" s="12" t="s">
        <v>172</v>
      </c>
      <c r="I782">
        <v>0</v>
      </c>
      <c r="J782">
        <v>50</v>
      </c>
      <c r="K782" s="12" t="s">
        <v>182</v>
      </c>
      <c r="L782">
        <v>7395</v>
      </c>
      <c r="M782">
        <v>1</v>
      </c>
      <c r="O782" s="39"/>
      <c r="P782" s="15">
        <v>11056.48</v>
      </c>
      <c r="S782" s="17"/>
    </row>
    <row r="783" spans="1:19" x14ac:dyDescent="0.4">
      <c r="A783">
        <v>4655111</v>
      </c>
      <c r="B783" s="16">
        <v>51</v>
      </c>
      <c r="C783" s="12" t="s">
        <v>125</v>
      </c>
      <c r="D783" s="12" t="s">
        <v>141</v>
      </c>
      <c r="E783" s="12" t="s">
        <v>152</v>
      </c>
      <c r="F783" s="12" t="s">
        <v>144</v>
      </c>
      <c r="G783" s="14">
        <f t="shared" ca="1" si="12"/>
        <v>71968.590692202561</v>
      </c>
      <c r="H783" s="12" t="s">
        <v>171</v>
      </c>
      <c r="I783">
        <v>0</v>
      </c>
      <c r="J783">
        <v>40</v>
      </c>
      <c r="K783" s="12" t="s">
        <v>176</v>
      </c>
      <c r="L783">
        <v>3100</v>
      </c>
      <c r="M783">
        <v>1</v>
      </c>
      <c r="O783" s="39"/>
      <c r="P783" s="16">
        <v>58901.13</v>
      </c>
      <c r="S783" s="17"/>
    </row>
    <row r="784" spans="1:19" x14ac:dyDescent="0.4">
      <c r="A784">
        <v>4666008</v>
      </c>
      <c r="B784" s="15">
        <v>22</v>
      </c>
      <c r="C784" s="12" t="s">
        <v>122</v>
      </c>
      <c r="D784" s="12" t="s">
        <v>134</v>
      </c>
      <c r="E784" s="12" t="s">
        <v>150</v>
      </c>
      <c r="F784" s="12" t="s">
        <v>157</v>
      </c>
      <c r="G784" s="14">
        <f t="shared" ca="1" si="12"/>
        <v>272922.23977905425</v>
      </c>
      <c r="H784" s="12" t="s">
        <v>172</v>
      </c>
      <c r="I784">
        <v>0</v>
      </c>
      <c r="J784">
        <v>40</v>
      </c>
      <c r="K784" s="12" t="s">
        <v>176</v>
      </c>
      <c r="L784">
        <v>0</v>
      </c>
      <c r="M784">
        <v>0</v>
      </c>
      <c r="O784" s="39"/>
      <c r="P784" s="15">
        <v>179631.06</v>
      </c>
      <c r="S784" s="17"/>
    </row>
    <row r="785" spans="1:19" x14ac:dyDescent="0.4">
      <c r="A785">
        <v>4666599</v>
      </c>
      <c r="B785" s="16">
        <v>61</v>
      </c>
      <c r="C785" s="12" t="s">
        <v>129</v>
      </c>
      <c r="D785" s="12" t="s">
        <v>138</v>
      </c>
      <c r="E785" s="12" t="s">
        <v>152</v>
      </c>
      <c r="F785" s="12" t="s">
        <v>129</v>
      </c>
      <c r="G785" s="14">
        <f t="shared" ca="1" si="12"/>
        <v>61845.220579344401</v>
      </c>
      <c r="H785" s="12" t="s">
        <v>172</v>
      </c>
      <c r="I785">
        <v>0</v>
      </c>
      <c r="J785">
        <v>2</v>
      </c>
      <c r="K785" s="12" t="s">
        <v>176</v>
      </c>
      <c r="L785">
        <v>13703</v>
      </c>
      <c r="M785">
        <v>1</v>
      </c>
      <c r="O785" s="39"/>
      <c r="P785" s="16">
        <v>49353.08</v>
      </c>
      <c r="S785" s="17"/>
    </row>
    <row r="786" spans="1:19" x14ac:dyDescent="0.4">
      <c r="A786">
        <v>4668300</v>
      </c>
      <c r="B786" s="15">
        <v>23</v>
      </c>
      <c r="C786" s="12" t="s">
        <v>122</v>
      </c>
      <c r="D786" s="12" t="s">
        <v>134</v>
      </c>
      <c r="E786" s="12" t="s">
        <v>150</v>
      </c>
      <c r="F786" s="12" t="s">
        <v>163</v>
      </c>
      <c r="G786" s="14">
        <f t="shared" ca="1" si="12"/>
        <v>120067.77445290913</v>
      </c>
      <c r="H786" s="12" t="s">
        <v>172</v>
      </c>
      <c r="I786">
        <v>0</v>
      </c>
      <c r="J786">
        <v>50</v>
      </c>
      <c r="K786" s="12" t="s">
        <v>176</v>
      </c>
      <c r="L786">
        <v>0</v>
      </c>
      <c r="M786">
        <v>0</v>
      </c>
      <c r="O786" s="39"/>
      <c r="P786" s="15">
        <v>105740.62</v>
      </c>
      <c r="S786" s="17"/>
    </row>
    <row r="787" spans="1:19" x14ac:dyDescent="0.4">
      <c r="A787">
        <v>4682669</v>
      </c>
      <c r="B787" s="16">
        <v>24</v>
      </c>
      <c r="C787" s="12" t="s">
        <v>122</v>
      </c>
      <c r="D787" s="12" t="s">
        <v>145</v>
      </c>
      <c r="E787" s="12" t="s">
        <v>150</v>
      </c>
      <c r="F787" s="12" t="s">
        <v>164</v>
      </c>
      <c r="G787" s="14">
        <f t="shared" ca="1" si="12"/>
        <v>132071.73133362125</v>
      </c>
      <c r="H787" s="12" t="s">
        <v>172</v>
      </c>
      <c r="I787">
        <v>0</v>
      </c>
      <c r="J787">
        <v>40</v>
      </c>
      <c r="K787" s="12" t="s">
        <v>179</v>
      </c>
      <c r="L787">
        <v>0</v>
      </c>
      <c r="M787">
        <v>0</v>
      </c>
      <c r="O787" s="39"/>
      <c r="P787" s="16">
        <v>97678.27</v>
      </c>
      <c r="S787" s="17"/>
    </row>
    <row r="788" spans="1:19" x14ac:dyDescent="0.4">
      <c r="A788">
        <v>4689490</v>
      </c>
      <c r="B788" s="15">
        <v>30</v>
      </c>
      <c r="C788" s="12" t="s">
        <v>122</v>
      </c>
      <c r="D788" s="12" t="s">
        <v>139</v>
      </c>
      <c r="E788" s="12" t="s">
        <v>152</v>
      </c>
      <c r="F788" s="12" t="s">
        <v>156</v>
      </c>
      <c r="G788" s="14">
        <f t="shared" ca="1" si="12"/>
        <v>45533.053706850296</v>
      </c>
      <c r="H788" s="12" t="s">
        <v>172</v>
      </c>
      <c r="I788">
        <v>0</v>
      </c>
      <c r="J788">
        <v>40</v>
      </c>
      <c r="K788" s="12" t="s">
        <v>179</v>
      </c>
      <c r="L788">
        <v>0</v>
      </c>
      <c r="M788">
        <v>0</v>
      </c>
      <c r="O788" s="39"/>
      <c r="P788" s="15">
        <v>24104.35</v>
      </c>
      <c r="S788" s="17"/>
    </row>
    <row r="789" spans="1:19" x14ac:dyDescent="0.4">
      <c r="A789">
        <v>4689637</v>
      </c>
      <c r="B789" s="16">
        <v>30</v>
      </c>
      <c r="C789" s="12" t="s">
        <v>122</v>
      </c>
      <c r="D789" s="12" t="s">
        <v>137</v>
      </c>
      <c r="E789" s="12" t="s">
        <v>154</v>
      </c>
      <c r="F789" s="12" t="s">
        <v>158</v>
      </c>
      <c r="G789" s="14">
        <f t="shared" ca="1" si="12"/>
        <v>83824.180903872184</v>
      </c>
      <c r="H789" s="12" t="s">
        <v>171</v>
      </c>
      <c r="I789">
        <v>0</v>
      </c>
      <c r="J789">
        <v>40</v>
      </c>
      <c r="K789" s="12" t="s">
        <v>176</v>
      </c>
      <c r="L789">
        <v>0</v>
      </c>
      <c r="M789">
        <v>0</v>
      </c>
      <c r="O789" s="39"/>
      <c r="P789" s="16">
        <v>56324.13</v>
      </c>
      <c r="S789" s="17"/>
    </row>
    <row r="790" spans="1:19" x14ac:dyDescent="0.4">
      <c r="A790">
        <v>4692559</v>
      </c>
      <c r="B790" s="15">
        <v>27</v>
      </c>
      <c r="C790" s="12" t="s">
        <v>122</v>
      </c>
      <c r="D790" s="12" t="s">
        <v>134</v>
      </c>
      <c r="E790" s="12" t="s">
        <v>152</v>
      </c>
      <c r="F790" s="12" t="s">
        <v>159</v>
      </c>
      <c r="G790" s="14">
        <f t="shared" ca="1" si="12"/>
        <v>92853.675867269587</v>
      </c>
      <c r="H790" s="12" t="s">
        <v>172</v>
      </c>
      <c r="I790">
        <v>0</v>
      </c>
      <c r="J790">
        <v>40</v>
      </c>
      <c r="K790" s="12" t="s">
        <v>129</v>
      </c>
      <c r="L790">
        <v>-173</v>
      </c>
      <c r="M790">
        <v>1</v>
      </c>
      <c r="O790" s="39"/>
      <c r="P790" s="15">
        <v>50784.51</v>
      </c>
      <c r="S790" s="17"/>
    </row>
    <row r="791" spans="1:19" x14ac:dyDescent="0.4">
      <c r="A791">
        <v>4694319</v>
      </c>
      <c r="B791" s="16">
        <v>20</v>
      </c>
      <c r="C791" s="12" t="s">
        <v>122</v>
      </c>
      <c r="D791" s="12" t="s">
        <v>142</v>
      </c>
      <c r="E791" s="12" t="s">
        <v>150</v>
      </c>
      <c r="F791" s="12" t="s">
        <v>160</v>
      </c>
      <c r="G791" s="14">
        <f t="shared" ca="1" si="12"/>
        <v>326577.81539014343</v>
      </c>
      <c r="H791" s="12" t="s">
        <v>171</v>
      </c>
      <c r="I791">
        <v>0</v>
      </c>
      <c r="J791">
        <v>40</v>
      </c>
      <c r="K791" s="12" t="s">
        <v>179</v>
      </c>
      <c r="L791">
        <v>0</v>
      </c>
      <c r="M791">
        <v>0</v>
      </c>
      <c r="O791" s="39"/>
      <c r="P791" s="16">
        <v>190280.44</v>
      </c>
      <c r="S791" s="17"/>
    </row>
    <row r="792" spans="1:19" x14ac:dyDescent="0.4">
      <c r="A792">
        <v>4694662</v>
      </c>
      <c r="B792" s="15">
        <v>46</v>
      </c>
      <c r="C792" s="12" t="s">
        <v>122</v>
      </c>
      <c r="D792" s="12" t="s">
        <v>143</v>
      </c>
      <c r="E792" s="12" t="s">
        <v>150</v>
      </c>
      <c r="F792" s="12" t="s">
        <v>161</v>
      </c>
      <c r="G792" s="14">
        <f t="shared" ca="1" si="12"/>
        <v>156594.17355781494</v>
      </c>
      <c r="H792" s="12" t="s">
        <v>171</v>
      </c>
      <c r="I792">
        <v>0</v>
      </c>
      <c r="J792">
        <v>40</v>
      </c>
      <c r="K792" s="12" t="s">
        <v>200</v>
      </c>
      <c r="L792">
        <v>0</v>
      </c>
      <c r="M792">
        <v>0</v>
      </c>
      <c r="O792" s="39"/>
      <c r="P792" s="15">
        <v>122773.27</v>
      </c>
      <c r="S792" s="17"/>
    </row>
    <row r="793" spans="1:19" x14ac:dyDescent="0.4">
      <c r="A793">
        <v>4700366</v>
      </c>
      <c r="B793" s="16">
        <v>26</v>
      </c>
      <c r="C793" s="12" t="s">
        <v>122</v>
      </c>
      <c r="D793" s="12" t="s">
        <v>134</v>
      </c>
      <c r="E793" s="12" t="s">
        <v>150</v>
      </c>
      <c r="F793" s="12" t="s">
        <v>156</v>
      </c>
      <c r="G793" s="14">
        <f t="shared" ca="1" si="12"/>
        <v>146690.9039275026</v>
      </c>
      <c r="H793" s="12" t="s">
        <v>172</v>
      </c>
      <c r="I793">
        <v>0</v>
      </c>
      <c r="J793">
        <v>25</v>
      </c>
      <c r="K793" s="12" t="s">
        <v>176</v>
      </c>
      <c r="L793">
        <v>0</v>
      </c>
      <c r="M793">
        <v>0</v>
      </c>
      <c r="O793" s="39"/>
      <c r="P793" s="16">
        <v>131220.35</v>
      </c>
      <c r="S793" s="17"/>
    </row>
    <row r="794" spans="1:19" x14ac:dyDescent="0.4">
      <c r="A794">
        <v>4701408</v>
      </c>
      <c r="B794" s="15">
        <v>21</v>
      </c>
      <c r="C794" s="12" t="s">
        <v>122</v>
      </c>
      <c r="D794" s="12" t="s">
        <v>132</v>
      </c>
      <c r="E794" s="12" t="s">
        <v>150</v>
      </c>
      <c r="F794" s="12" t="s">
        <v>156</v>
      </c>
      <c r="G794" s="14">
        <f t="shared" ca="1" si="12"/>
        <v>267999.89569135592</v>
      </c>
      <c r="H794" s="12" t="s">
        <v>171</v>
      </c>
      <c r="I794">
        <v>0</v>
      </c>
      <c r="J794">
        <v>20</v>
      </c>
      <c r="K794" s="12" t="s">
        <v>129</v>
      </c>
      <c r="L794">
        <v>0</v>
      </c>
      <c r="M794">
        <v>0</v>
      </c>
      <c r="O794" s="39"/>
      <c r="P794" s="15">
        <v>142964.60999999999</v>
      </c>
      <c r="S794" s="17"/>
    </row>
    <row r="795" spans="1:19" x14ac:dyDescent="0.4">
      <c r="A795">
        <v>4703983</v>
      </c>
      <c r="B795" s="16">
        <v>51</v>
      </c>
      <c r="C795" s="12" t="s">
        <v>122</v>
      </c>
      <c r="D795" s="12" t="s">
        <v>134</v>
      </c>
      <c r="E795" s="12" t="s">
        <v>152</v>
      </c>
      <c r="F795" s="12" t="s">
        <v>163</v>
      </c>
      <c r="G795" s="14">
        <f t="shared" ca="1" si="12"/>
        <v>72781.017469653016</v>
      </c>
      <c r="H795" s="12" t="s">
        <v>172</v>
      </c>
      <c r="I795">
        <v>0</v>
      </c>
      <c r="J795">
        <v>40</v>
      </c>
      <c r="K795" s="12" t="s">
        <v>176</v>
      </c>
      <c r="L795">
        <v>0</v>
      </c>
      <c r="M795">
        <v>0</v>
      </c>
      <c r="O795" s="39"/>
      <c r="P795" s="16">
        <v>50330.96</v>
      </c>
      <c r="S795" s="17"/>
    </row>
    <row r="796" spans="1:19" x14ac:dyDescent="0.4">
      <c r="A796">
        <v>4715531</v>
      </c>
      <c r="B796" s="15">
        <v>27</v>
      </c>
      <c r="C796" s="12" t="s">
        <v>125</v>
      </c>
      <c r="D796" s="12" t="s">
        <v>134</v>
      </c>
      <c r="E796" s="12" t="s">
        <v>152</v>
      </c>
      <c r="F796" s="12" t="s">
        <v>166</v>
      </c>
      <c r="G796" s="14">
        <f t="shared" ca="1" si="12"/>
        <v>154059.31446156607</v>
      </c>
      <c r="H796" s="12" t="s">
        <v>171</v>
      </c>
      <c r="I796">
        <v>0</v>
      </c>
      <c r="J796">
        <v>40</v>
      </c>
      <c r="K796" s="12" t="s">
        <v>176</v>
      </c>
      <c r="L796">
        <v>0</v>
      </c>
      <c r="M796">
        <v>0</v>
      </c>
      <c r="O796" s="39"/>
      <c r="P796" s="15">
        <v>96788.66</v>
      </c>
      <c r="S796" s="17"/>
    </row>
    <row r="797" spans="1:19" x14ac:dyDescent="0.4">
      <c r="A797">
        <v>4729221</v>
      </c>
      <c r="B797" s="16">
        <v>50</v>
      </c>
      <c r="C797" s="12" t="s">
        <v>122</v>
      </c>
      <c r="D797" s="12" t="s">
        <v>135</v>
      </c>
      <c r="E797" s="12" t="s">
        <v>152</v>
      </c>
      <c r="F797" s="12" t="s">
        <v>160</v>
      </c>
      <c r="G797" s="14">
        <f t="shared" ca="1" si="12"/>
        <v>21016.465549981895</v>
      </c>
      <c r="H797" s="12" t="s">
        <v>172</v>
      </c>
      <c r="I797">
        <v>0</v>
      </c>
      <c r="J797">
        <v>40</v>
      </c>
      <c r="K797" s="12" t="s">
        <v>176</v>
      </c>
      <c r="L797">
        <v>11649</v>
      </c>
      <c r="M797">
        <v>1</v>
      </c>
      <c r="O797" s="39"/>
      <c r="P797" s="16">
        <v>12860.37</v>
      </c>
      <c r="S797" s="17"/>
    </row>
    <row r="798" spans="1:19" x14ac:dyDescent="0.4">
      <c r="A798">
        <v>4738785</v>
      </c>
      <c r="B798" s="15">
        <v>51</v>
      </c>
      <c r="C798" s="12" t="s">
        <v>122</v>
      </c>
      <c r="D798" s="12" t="s">
        <v>135</v>
      </c>
      <c r="E798" s="12" t="s">
        <v>152</v>
      </c>
      <c r="F798" s="12" t="s">
        <v>159</v>
      </c>
      <c r="G798" s="14">
        <f t="shared" ca="1" si="12"/>
        <v>48571.368991045361</v>
      </c>
      <c r="H798" s="12" t="s">
        <v>172</v>
      </c>
      <c r="I798">
        <v>0</v>
      </c>
      <c r="J798">
        <v>50</v>
      </c>
      <c r="K798" s="12" t="s">
        <v>176</v>
      </c>
      <c r="L798">
        <v>0</v>
      </c>
      <c r="M798">
        <v>0</v>
      </c>
      <c r="O798" s="39"/>
      <c r="P798" s="15">
        <v>25755.81</v>
      </c>
      <c r="S798" s="17"/>
    </row>
    <row r="799" spans="1:19" x14ac:dyDescent="0.4">
      <c r="A799">
        <v>4741336</v>
      </c>
      <c r="B799" s="16">
        <v>17</v>
      </c>
      <c r="C799" s="12" t="s">
        <v>122</v>
      </c>
      <c r="D799" s="12" t="s">
        <v>139</v>
      </c>
      <c r="E799" s="12" t="s">
        <v>150</v>
      </c>
      <c r="F799" s="12" t="s">
        <v>156</v>
      </c>
      <c r="G799" s="14">
        <f t="shared" ca="1" si="12"/>
        <v>249880.56759824045</v>
      </c>
      <c r="H799" s="12" t="s">
        <v>172</v>
      </c>
      <c r="I799">
        <v>0</v>
      </c>
      <c r="J799">
        <v>20</v>
      </c>
      <c r="K799" s="12" t="s">
        <v>176</v>
      </c>
      <c r="L799">
        <v>0</v>
      </c>
      <c r="M799">
        <v>0</v>
      </c>
      <c r="O799" s="39"/>
      <c r="P799" s="16">
        <v>160238.04999999999</v>
      </c>
      <c r="S799" s="17"/>
    </row>
    <row r="800" spans="1:19" x14ac:dyDescent="0.4">
      <c r="A800">
        <v>4751997</v>
      </c>
      <c r="B800" s="15">
        <v>29</v>
      </c>
      <c r="C800" s="12" t="s">
        <v>122</v>
      </c>
      <c r="D800" s="12" t="s">
        <v>134</v>
      </c>
      <c r="E800" s="12" t="s">
        <v>152</v>
      </c>
      <c r="F800" s="12" t="s">
        <v>162</v>
      </c>
      <c r="G800" s="14">
        <f t="shared" ca="1" si="12"/>
        <v>67270.535065453209</v>
      </c>
      <c r="H800" s="12" t="s">
        <v>172</v>
      </c>
      <c r="I800">
        <v>0</v>
      </c>
      <c r="J800">
        <v>50</v>
      </c>
      <c r="K800" s="12" t="s">
        <v>176</v>
      </c>
      <c r="L800">
        <v>0</v>
      </c>
      <c r="M800">
        <v>0</v>
      </c>
      <c r="O800" s="39"/>
      <c r="P800" s="15">
        <v>37701.18</v>
      </c>
      <c r="S800" s="17"/>
    </row>
    <row r="801" spans="1:19" x14ac:dyDescent="0.4">
      <c r="A801">
        <v>4752955</v>
      </c>
      <c r="B801" s="16">
        <v>23</v>
      </c>
      <c r="C801" s="12" t="s">
        <v>122</v>
      </c>
      <c r="D801" s="12" t="s">
        <v>133</v>
      </c>
      <c r="E801" s="12" t="s">
        <v>152</v>
      </c>
      <c r="F801" s="12" t="s">
        <v>162</v>
      </c>
      <c r="G801" s="14">
        <f t="shared" ca="1" si="12"/>
        <v>511899.57625575166</v>
      </c>
      <c r="H801" s="12" t="s">
        <v>171</v>
      </c>
      <c r="I801">
        <v>0</v>
      </c>
      <c r="J801">
        <v>25</v>
      </c>
      <c r="K801" s="12" t="s">
        <v>176</v>
      </c>
      <c r="L801">
        <v>0</v>
      </c>
      <c r="M801">
        <v>0</v>
      </c>
      <c r="O801" s="39"/>
      <c r="P801" s="16">
        <v>291572.84000000003</v>
      </c>
      <c r="S801" s="17"/>
    </row>
    <row r="802" spans="1:19" x14ac:dyDescent="0.4">
      <c r="A802">
        <v>4753272</v>
      </c>
      <c r="B802" s="15">
        <v>35</v>
      </c>
      <c r="C802" s="12" t="s">
        <v>122</v>
      </c>
      <c r="D802" s="12" t="s">
        <v>135</v>
      </c>
      <c r="E802" s="12" t="s">
        <v>152</v>
      </c>
      <c r="F802" s="12" t="s">
        <v>144</v>
      </c>
      <c r="G802" s="14">
        <f t="shared" ca="1" si="12"/>
        <v>466337.12173475063</v>
      </c>
      <c r="H802" s="12" t="s">
        <v>171</v>
      </c>
      <c r="I802">
        <v>0</v>
      </c>
      <c r="J802">
        <v>8</v>
      </c>
      <c r="K802" s="12" t="s">
        <v>129</v>
      </c>
      <c r="L802">
        <v>7298</v>
      </c>
      <c r="M802">
        <v>1</v>
      </c>
      <c r="O802" s="39"/>
      <c r="P802" s="15">
        <v>325013.98</v>
      </c>
      <c r="S802" s="17"/>
    </row>
    <row r="803" spans="1:19" x14ac:dyDescent="0.4">
      <c r="A803">
        <v>4753958</v>
      </c>
      <c r="B803" s="16">
        <v>40</v>
      </c>
      <c r="C803" s="12" t="s">
        <v>123</v>
      </c>
      <c r="D803" s="12" t="s">
        <v>134</v>
      </c>
      <c r="E803" s="12" t="s">
        <v>151</v>
      </c>
      <c r="F803" s="12" t="s">
        <v>160</v>
      </c>
      <c r="G803" s="14">
        <f t="shared" ca="1" si="12"/>
        <v>139416.9978058881</v>
      </c>
      <c r="H803" s="12" t="s">
        <v>172</v>
      </c>
      <c r="I803">
        <v>0</v>
      </c>
      <c r="J803">
        <v>50</v>
      </c>
      <c r="K803" s="12" t="s">
        <v>176</v>
      </c>
      <c r="L803">
        <v>0</v>
      </c>
      <c r="M803">
        <v>0</v>
      </c>
      <c r="O803" s="39"/>
      <c r="P803" s="16">
        <v>73617.56</v>
      </c>
      <c r="S803" s="17"/>
    </row>
    <row r="804" spans="1:19" x14ac:dyDescent="0.4">
      <c r="A804">
        <v>4762720</v>
      </c>
      <c r="B804" s="15">
        <v>27</v>
      </c>
      <c r="C804" s="12" t="s">
        <v>122</v>
      </c>
      <c r="D804" s="12" t="s">
        <v>140</v>
      </c>
      <c r="E804" s="12" t="s">
        <v>150</v>
      </c>
      <c r="F804" s="12" t="s">
        <v>156</v>
      </c>
      <c r="G804" s="14">
        <f t="shared" ca="1" si="12"/>
        <v>125382.32324701987</v>
      </c>
      <c r="H804" s="12" t="s">
        <v>172</v>
      </c>
      <c r="I804">
        <v>0</v>
      </c>
      <c r="J804">
        <v>40</v>
      </c>
      <c r="K804" s="12" t="s">
        <v>176</v>
      </c>
      <c r="L804">
        <v>0</v>
      </c>
      <c r="M804">
        <v>0</v>
      </c>
      <c r="O804" s="39"/>
      <c r="P804" s="15">
        <v>69852.03</v>
      </c>
      <c r="S804" s="17"/>
    </row>
    <row r="805" spans="1:19" x14ac:dyDescent="0.4">
      <c r="A805">
        <v>4763133</v>
      </c>
      <c r="B805" s="16">
        <v>19</v>
      </c>
      <c r="C805" s="12" t="s">
        <v>122</v>
      </c>
      <c r="D805" s="12" t="s">
        <v>132</v>
      </c>
      <c r="E805" s="12" t="s">
        <v>150</v>
      </c>
      <c r="F805" s="12" t="s">
        <v>144</v>
      </c>
      <c r="G805" s="14">
        <f t="shared" ca="1" si="12"/>
        <v>104386.32523163561</v>
      </c>
      <c r="H805" s="12" t="s">
        <v>171</v>
      </c>
      <c r="I805">
        <v>0</v>
      </c>
      <c r="J805">
        <v>40</v>
      </c>
      <c r="K805" s="12" t="s">
        <v>176</v>
      </c>
      <c r="L805">
        <v>0</v>
      </c>
      <c r="M805">
        <v>0</v>
      </c>
      <c r="O805" s="39"/>
      <c r="P805" s="16">
        <v>102168.43</v>
      </c>
      <c r="S805" s="17"/>
    </row>
    <row r="806" spans="1:19" x14ac:dyDescent="0.4">
      <c r="A806">
        <v>4770990</v>
      </c>
      <c r="B806" s="15">
        <v>20</v>
      </c>
      <c r="C806" s="12" t="s">
        <v>122</v>
      </c>
      <c r="D806" s="12" t="s">
        <v>132</v>
      </c>
      <c r="E806" s="12" t="s">
        <v>150</v>
      </c>
      <c r="F806" s="12" t="s">
        <v>156</v>
      </c>
      <c r="G806" s="14">
        <f t="shared" ca="1" si="12"/>
        <v>393453.24890141998</v>
      </c>
      <c r="H806" s="12" t="s">
        <v>172</v>
      </c>
      <c r="I806">
        <v>0</v>
      </c>
      <c r="J806">
        <v>30</v>
      </c>
      <c r="K806" s="12" t="s">
        <v>176</v>
      </c>
      <c r="L806">
        <v>0</v>
      </c>
      <c r="M806">
        <v>0</v>
      </c>
      <c r="O806" s="39"/>
      <c r="P806" s="15">
        <v>224389.29</v>
      </c>
      <c r="S806" s="17"/>
    </row>
    <row r="807" spans="1:19" x14ac:dyDescent="0.4">
      <c r="A807">
        <v>4777364</v>
      </c>
      <c r="B807" s="16">
        <v>38</v>
      </c>
      <c r="C807" s="12" t="s">
        <v>122</v>
      </c>
      <c r="D807" s="12" t="s">
        <v>133</v>
      </c>
      <c r="E807" s="12" t="s">
        <v>152</v>
      </c>
      <c r="F807" s="12" t="s">
        <v>162</v>
      </c>
      <c r="G807" s="14">
        <f t="shared" ca="1" si="12"/>
        <v>87785.981196776163</v>
      </c>
      <c r="H807" s="12" t="s">
        <v>172</v>
      </c>
      <c r="I807">
        <v>0</v>
      </c>
      <c r="J807">
        <v>50</v>
      </c>
      <c r="K807" s="12" t="s">
        <v>176</v>
      </c>
      <c r="L807">
        <v>7414</v>
      </c>
      <c r="M807">
        <v>1</v>
      </c>
      <c r="O807" s="39"/>
      <c r="P807" s="16">
        <v>47401.48</v>
      </c>
      <c r="S807" s="17"/>
    </row>
    <row r="808" spans="1:19" x14ac:dyDescent="0.4">
      <c r="A808">
        <v>4782309</v>
      </c>
      <c r="B808" s="15">
        <v>61</v>
      </c>
      <c r="C808" s="12" t="s">
        <v>122</v>
      </c>
      <c r="D808" s="12" t="s">
        <v>141</v>
      </c>
      <c r="E808" s="12" t="s">
        <v>152</v>
      </c>
      <c r="F808" s="12" t="s">
        <v>144</v>
      </c>
      <c r="G808" s="14">
        <f t="shared" ca="1" si="12"/>
        <v>77132.321621679337</v>
      </c>
      <c r="H808" s="12" t="s">
        <v>172</v>
      </c>
      <c r="I808">
        <v>0</v>
      </c>
      <c r="J808">
        <v>40</v>
      </c>
      <c r="K808" s="12" t="s">
        <v>176</v>
      </c>
      <c r="L808">
        <v>4426</v>
      </c>
      <c r="M808">
        <v>1</v>
      </c>
      <c r="O808" s="39"/>
      <c r="P808" s="15">
        <v>40935.01</v>
      </c>
      <c r="S808" s="17"/>
    </row>
    <row r="809" spans="1:19" x14ac:dyDescent="0.4">
      <c r="A809">
        <v>4782610</v>
      </c>
      <c r="B809" s="16">
        <v>55</v>
      </c>
      <c r="C809" s="12" t="s">
        <v>126</v>
      </c>
      <c r="D809" s="12" t="s">
        <v>138</v>
      </c>
      <c r="E809" s="12" t="s">
        <v>152</v>
      </c>
      <c r="F809" s="12" t="s">
        <v>144</v>
      </c>
      <c r="G809" s="14">
        <f t="shared" ca="1" si="12"/>
        <v>65797.760173182891</v>
      </c>
      <c r="H809" s="12" t="s">
        <v>172</v>
      </c>
      <c r="I809">
        <v>0</v>
      </c>
      <c r="J809">
        <v>45</v>
      </c>
      <c r="K809" s="12" t="s">
        <v>176</v>
      </c>
      <c r="L809">
        <v>7688</v>
      </c>
      <c r="M809">
        <v>1</v>
      </c>
      <c r="O809" s="39"/>
      <c r="P809" s="16">
        <v>40516.120000000003</v>
      </c>
      <c r="S809" s="17"/>
    </row>
    <row r="810" spans="1:19" x14ac:dyDescent="0.4">
      <c r="A810">
        <v>4784636</v>
      </c>
      <c r="B810" s="15">
        <v>26</v>
      </c>
      <c r="C810" s="12" t="s">
        <v>122</v>
      </c>
      <c r="D810" s="12" t="s">
        <v>132</v>
      </c>
      <c r="E810" s="12" t="s">
        <v>150</v>
      </c>
      <c r="F810" s="12" t="s">
        <v>158</v>
      </c>
      <c r="G810" s="14">
        <f t="shared" ca="1" si="12"/>
        <v>65508.507065335281</v>
      </c>
      <c r="H810" s="12" t="s">
        <v>171</v>
      </c>
      <c r="I810">
        <v>0</v>
      </c>
      <c r="J810">
        <v>40</v>
      </c>
      <c r="K810" s="12" t="s">
        <v>176</v>
      </c>
      <c r="L810">
        <v>0</v>
      </c>
      <c r="M810">
        <v>0</v>
      </c>
      <c r="O810" s="39"/>
      <c r="P810" s="15">
        <v>57726.47</v>
      </c>
      <c r="S810" s="17"/>
    </row>
    <row r="811" spans="1:19" x14ac:dyDescent="0.4">
      <c r="A811">
        <v>4790985</v>
      </c>
      <c r="B811" s="16">
        <v>36</v>
      </c>
      <c r="C811" s="12" t="s">
        <v>124</v>
      </c>
      <c r="D811" s="12" t="s">
        <v>132</v>
      </c>
      <c r="E811" s="12" t="s">
        <v>152</v>
      </c>
      <c r="F811" s="12" t="s">
        <v>162</v>
      </c>
      <c r="G811" s="14">
        <f t="shared" ca="1" si="12"/>
        <v>17028.925115019094</v>
      </c>
      <c r="H811" s="12" t="s">
        <v>172</v>
      </c>
      <c r="I811">
        <v>0</v>
      </c>
      <c r="J811">
        <v>60</v>
      </c>
      <c r="K811" s="12" t="s">
        <v>176</v>
      </c>
      <c r="L811">
        <v>15024</v>
      </c>
      <c r="M811">
        <v>1</v>
      </c>
      <c r="O811" s="39"/>
      <c r="P811" s="16">
        <v>9113.89</v>
      </c>
      <c r="S811" s="17"/>
    </row>
    <row r="812" spans="1:19" x14ac:dyDescent="0.4">
      <c r="A812">
        <v>4793952</v>
      </c>
      <c r="B812" s="15">
        <v>59</v>
      </c>
      <c r="C812" s="12" t="s">
        <v>126</v>
      </c>
      <c r="D812" s="12" t="s">
        <v>135</v>
      </c>
      <c r="E812" s="12" t="s">
        <v>150</v>
      </c>
      <c r="F812" s="12" t="s">
        <v>160</v>
      </c>
      <c r="G812" s="14">
        <f t="shared" ca="1" si="12"/>
        <v>95444.000993800742</v>
      </c>
      <c r="H812" s="12" t="s">
        <v>171</v>
      </c>
      <c r="I812">
        <v>0</v>
      </c>
      <c r="J812">
        <v>40</v>
      </c>
      <c r="K812" s="12" t="s">
        <v>201</v>
      </c>
      <c r="L812">
        <v>0</v>
      </c>
      <c r="M812">
        <v>0</v>
      </c>
      <c r="O812" s="39"/>
      <c r="P812" s="15">
        <v>49513.57</v>
      </c>
      <c r="S812" s="17"/>
    </row>
    <row r="813" spans="1:19" x14ac:dyDescent="0.4">
      <c r="A813">
        <v>4800945</v>
      </c>
      <c r="B813" s="16">
        <v>61</v>
      </c>
      <c r="C813" s="12" t="s">
        <v>122</v>
      </c>
      <c r="D813" s="12" t="s">
        <v>140</v>
      </c>
      <c r="E813" s="12" t="s">
        <v>152</v>
      </c>
      <c r="F813" s="12" t="s">
        <v>162</v>
      </c>
      <c r="G813" s="14">
        <f t="shared" ca="1" si="12"/>
        <v>89358.269241603542</v>
      </c>
      <c r="H813" s="12" t="s">
        <v>172</v>
      </c>
      <c r="I813">
        <v>0</v>
      </c>
      <c r="J813">
        <v>40</v>
      </c>
      <c r="K813" s="12" t="s">
        <v>176</v>
      </c>
      <c r="L813">
        <v>0</v>
      </c>
      <c r="M813">
        <v>0</v>
      </c>
      <c r="O813" s="39"/>
      <c r="P813" s="16">
        <v>46060.23</v>
      </c>
      <c r="S813" s="17"/>
    </row>
    <row r="814" spans="1:19" x14ac:dyDescent="0.4">
      <c r="A814">
        <v>4804248</v>
      </c>
      <c r="B814" s="15">
        <v>27</v>
      </c>
      <c r="C814" s="12" t="s">
        <v>122</v>
      </c>
      <c r="D814" s="12" t="s">
        <v>134</v>
      </c>
      <c r="E814" s="12" t="s">
        <v>152</v>
      </c>
      <c r="F814" s="12" t="s">
        <v>159</v>
      </c>
      <c r="G814" s="14">
        <f t="shared" ca="1" si="12"/>
        <v>20075.261058602584</v>
      </c>
      <c r="H814" s="12" t="s">
        <v>172</v>
      </c>
      <c r="I814">
        <v>0</v>
      </c>
      <c r="J814">
        <v>53</v>
      </c>
      <c r="K814" s="12" t="s">
        <v>176</v>
      </c>
      <c r="L814">
        <v>0</v>
      </c>
      <c r="M814">
        <v>0</v>
      </c>
      <c r="O814" s="39"/>
      <c r="P814" s="15">
        <v>10662.97</v>
      </c>
      <c r="S814" s="17"/>
    </row>
    <row r="815" spans="1:19" x14ac:dyDescent="0.4">
      <c r="A815">
        <v>4809463</v>
      </c>
      <c r="B815" s="16">
        <v>59</v>
      </c>
      <c r="C815" s="12" t="s">
        <v>129</v>
      </c>
      <c r="D815" s="12" t="s">
        <v>135</v>
      </c>
      <c r="E815" s="12" t="s">
        <v>152</v>
      </c>
      <c r="F815" s="12" t="s">
        <v>129</v>
      </c>
      <c r="G815" s="14">
        <f t="shared" ca="1" si="12"/>
        <v>13217.412017455134</v>
      </c>
      <c r="H815" s="12" t="s">
        <v>172</v>
      </c>
      <c r="I815">
        <v>0</v>
      </c>
      <c r="J815">
        <v>40</v>
      </c>
      <c r="K815" s="12" t="s">
        <v>176</v>
      </c>
      <c r="L815">
        <v>0</v>
      </c>
      <c r="M815">
        <v>0</v>
      </c>
      <c r="O815" s="39"/>
      <c r="P815" s="16">
        <v>6964.85</v>
      </c>
      <c r="S815" s="17"/>
    </row>
    <row r="816" spans="1:19" x14ac:dyDescent="0.4">
      <c r="A816">
        <v>4820536</v>
      </c>
      <c r="B816" s="15">
        <v>39</v>
      </c>
      <c r="C816" s="12" t="s">
        <v>122</v>
      </c>
      <c r="D816" s="12" t="s">
        <v>134</v>
      </c>
      <c r="E816" s="12" t="s">
        <v>151</v>
      </c>
      <c r="F816" s="12" t="s">
        <v>160</v>
      </c>
      <c r="G816" s="14">
        <f t="shared" ca="1" si="12"/>
        <v>371792.03160645324</v>
      </c>
      <c r="H816" s="12" t="s">
        <v>171</v>
      </c>
      <c r="I816">
        <v>0</v>
      </c>
      <c r="J816">
        <v>45</v>
      </c>
      <c r="K816" s="12" t="s">
        <v>176</v>
      </c>
      <c r="L816">
        <v>0</v>
      </c>
      <c r="M816">
        <v>0</v>
      </c>
      <c r="O816" s="39"/>
      <c r="P816" s="15">
        <v>274431.09999999998</v>
      </c>
      <c r="S816" s="17"/>
    </row>
    <row r="817" spans="1:19" x14ac:dyDescent="0.4">
      <c r="A817">
        <v>4823221</v>
      </c>
      <c r="B817" s="16">
        <v>45</v>
      </c>
      <c r="C817" s="12" t="s">
        <v>127</v>
      </c>
      <c r="D817" s="12" t="s">
        <v>134</v>
      </c>
      <c r="E817" s="12" t="s">
        <v>152</v>
      </c>
      <c r="F817" s="12" t="s">
        <v>158</v>
      </c>
      <c r="G817" s="14">
        <f t="shared" ca="1" si="12"/>
        <v>27111.68285395901</v>
      </c>
      <c r="H817" s="12" t="s">
        <v>172</v>
      </c>
      <c r="I817">
        <v>1114.6666666666699</v>
      </c>
      <c r="J817">
        <v>40</v>
      </c>
      <c r="K817" s="12" t="s">
        <v>176</v>
      </c>
      <c r="L817">
        <v>0</v>
      </c>
      <c r="M817">
        <v>0</v>
      </c>
      <c r="O817" s="39"/>
      <c r="P817" s="16">
        <v>21793.84</v>
      </c>
      <c r="S817" s="17"/>
    </row>
    <row r="818" spans="1:19" x14ac:dyDescent="0.4">
      <c r="A818">
        <v>4829979</v>
      </c>
      <c r="B818" s="15">
        <v>47</v>
      </c>
      <c r="C818" s="12" t="s">
        <v>125</v>
      </c>
      <c r="D818" s="12" t="s">
        <v>135</v>
      </c>
      <c r="E818" s="12" t="s">
        <v>152</v>
      </c>
      <c r="F818" s="12" t="s">
        <v>144</v>
      </c>
      <c r="G818" s="14">
        <f t="shared" ca="1" si="12"/>
        <v>31947.907719038998</v>
      </c>
      <c r="H818" s="12" t="s">
        <v>172</v>
      </c>
      <c r="I818">
        <v>0</v>
      </c>
      <c r="J818">
        <v>40</v>
      </c>
      <c r="K818" s="12" t="s">
        <v>176</v>
      </c>
      <c r="L818">
        <v>0</v>
      </c>
      <c r="M818">
        <v>0</v>
      </c>
      <c r="O818" s="39"/>
      <c r="P818" s="15">
        <v>16366.22</v>
      </c>
      <c r="S818" s="17"/>
    </row>
    <row r="819" spans="1:19" x14ac:dyDescent="0.4">
      <c r="A819">
        <v>4844691</v>
      </c>
      <c r="B819" s="16">
        <v>23</v>
      </c>
      <c r="C819" s="12" t="s">
        <v>122</v>
      </c>
      <c r="D819" s="12" t="s">
        <v>132</v>
      </c>
      <c r="E819" s="12" t="s">
        <v>150</v>
      </c>
      <c r="F819" s="12" t="s">
        <v>158</v>
      </c>
      <c r="G819" s="14">
        <f t="shared" ca="1" si="12"/>
        <v>133449.58777372364</v>
      </c>
      <c r="H819" s="12" t="s">
        <v>171</v>
      </c>
      <c r="I819">
        <v>0</v>
      </c>
      <c r="J819">
        <v>40</v>
      </c>
      <c r="K819" s="12" t="s">
        <v>176</v>
      </c>
      <c r="L819">
        <v>0</v>
      </c>
      <c r="M819">
        <v>0</v>
      </c>
      <c r="O819" s="39"/>
      <c r="P819" s="16">
        <v>126590.09</v>
      </c>
      <c r="S819" s="17"/>
    </row>
    <row r="820" spans="1:19" x14ac:dyDescent="0.4">
      <c r="A820">
        <v>4862788</v>
      </c>
      <c r="B820" s="15">
        <v>32</v>
      </c>
      <c r="C820" s="12" t="s">
        <v>122</v>
      </c>
      <c r="D820" s="12" t="s">
        <v>132</v>
      </c>
      <c r="E820" s="12" t="s">
        <v>150</v>
      </c>
      <c r="F820" s="12" t="s">
        <v>162</v>
      </c>
      <c r="G820" s="14">
        <f t="shared" ca="1" si="12"/>
        <v>109185.70571897407</v>
      </c>
      <c r="H820" s="12" t="s">
        <v>171</v>
      </c>
      <c r="I820">
        <v>0</v>
      </c>
      <c r="J820">
        <v>40</v>
      </c>
      <c r="K820" s="12" t="s">
        <v>176</v>
      </c>
      <c r="L820">
        <v>0</v>
      </c>
      <c r="M820">
        <v>0</v>
      </c>
      <c r="O820" s="39"/>
      <c r="P820" s="15">
        <v>57984.3</v>
      </c>
      <c r="S820" s="17"/>
    </row>
    <row r="821" spans="1:19" x14ac:dyDescent="0.4">
      <c r="A821">
        <v>4864846</v>
      </c>
      <c r="B821" s="16">
        <v>32</v>
      </c>
      <c r="C821" s="12" t="s">
        <v>122</v>
      </c>
      <c r="D821" s="12" t="s">
        <v>140</v>
      </c>
      <c r="E821" s="12" t="s">
        <v>152</v>
      </c>
      <c r="F821" s="12" t="s">
        <v>159</v>
      </c>
      <c r="G821" s="14">
        <f t="shared" ca="1" si="12"/>
        <v>61431.187393549022</v>
      </c>
      <c r="H821" s="12" t="s">
        <v>172</v>
      </c>
      <c r="I821">
        <v>0</v>
      </c>
      <c r="J821">
        <v>40</v>
      </c>
      <c r="K821" s="12" t="s">
        <v>176</v>
      </c>
      <c r="L821">
        <v>1622</v>
      </c>
      <c r="M821">
        <v>1</v>
      </c>
      <c r="O821" s="39"/>
      <c r="P821" s="16">
        <v>37420.49</v>
      </c>
      <c r="S821" s="17"/>
    </row>
    <row r="822" spans="1:19" x14ac:dyDescent="0.4">
      <c r="A822">
        <v>4872030</v>
      </c>
      <c r="B822" s="15">
        <v>32</v>
      </c>
      <c r="C822" s="12" t="s">
        <v>122</v>
      </c>
      <c r="D822" s="12" t="s">
        <v>134</v>
      </c>
      <c r="E822" s="12" t="s">
        <v>150</v>
      </c>
      <c r="F822" s="12" t="s">
        <v>161</v>
      </c>
      <c r="G822" s="14">
        <f t="shared" ca="1" si="12"/>
        <v>232508.89530761525</v>
      </c>
      <c r="H822" s="12" t="s">
        <v>172</v>
      </c>
      <c r="I822">
        <v>0</v>
      </c>
      <c r="J822">
        <v>40</v>
      </c>
      <c r="K822" s="12" t="s">
        <v>176</v>
      </c>
      <c r="L822">
        <v>0</v>
      </c>
      <c r="M822">
        <v>0</v>
      </c>
      <c r="O822" s="39"/>
      <c r="P822" s="15">
        <v>183554.05</v>
      </c>
      <c r="S822" s="17"/>
    </row>
    <row r="823" spans="1:19" x14ac:dyDescent="0.4">
      <c r="A823">
        <v>4878009</v>
      </c>
      <c r="B823" s="16">
        <v>56</v>
      </c>
      <c r="C823" s="12" t="s">
        <v>122</v>
      </c>
      <c r="D823" s="12" t="s">
        <v>134</v>
      </c>
      <c r="E823" s="12" t="s">
        <v>150</v>
      </c>
      <c r="F823" s="12" t="s">
        <v>164</v>
      </c>
      <c r="G823" s="14">
        <f t="shared" ca="1" si="12"/>
        <v>191667.13829161611</v>
      </c>
      <c r="H823" s="12" t="s">
        <v>172</v>
      </c>
      <c r="I823">
        <v>0</v>
      </c>
      <c r="J823">
        <v>28</v>
      </c>
      <c r="K823" s="12" t="s">
        <v>176</v>
      </c>
      <c r="L823">
        <v>0</v>
      </c>
      <c r="M823">
        <v>0</v>
      </c>
      <c r="O823" s="39"/>
      <c r="P823" s="16">
        <v>157371.23000000001</v>
      </c>
      <c r="S823" s="17"/>
    </row>
    <row r="824" spans="1:19" x14ac:dyDescent="0.4">
      <c r="A824">
        <v>4880357</v>
      </c>
      <c r="B824" s="15">
        <v>24</v>
      </c>
      <c r="C824" s="12" t="s">
        <v>122</v>
      </c>
      <c r="D824" s="12" t="s">
        <v>132</v>
      </c>
      <c r="E824" s="12" t="s">
        <v>150</v>
      </c>
      <c r="F824" s="12" t="s">
        <v>165</v>
      </c>
      <c r="G824" s="14">
        <f t="shared" ca="1" si="12"/>
        <v>181610.71401762549</v>
      </c>
      <c r="H824" s="12" t="s">
        <v>172</v>
      </c>
      <c r="I824">
        <v>0</v>
      </c>
      <c r="J824">
        <v>50</v>
      </c>
      <c r="K824" s="12" t="s">
        <v>176</v>
      </c>
      <c r="L824">
        <v>0</v>
      </c>
      <c r="M824">
        <v>0</v>
      </c>
      <c r="O824" s="39"/>
      <c r="P824" s="15">
        <v>102611.6</v>
      </c>
      <c r="S824" s="17"/>
    </row>
    <row r="825" spans="1:19" x14ac:dyDescent="0.4">
      <c r="A825">
        <v>4881559</v>
      </c>
      <c r="B825" s="16">
        <v>19</v>
      </c>
      <c r="C825" s="12" t="s">
        <v>122</v>
      </c>
      <c r="D825" s="12" t="s">
        <v>134</v>
      </c>
      <c r="E825" s="12" t="s">
        <v>150</v>
      </c>
      <c r="F825" s="12" t="s">
        <v>162</v>
      </c>
      <c r="G825" s="14">
        <f t="shared" ca="1" si="12"/>
        <v>147424.73143731183</v>
      </c>
      <c r="H825" s="12" t="s">
        <v>171</v>
      </c>
      <c r="I825">
        <v>0</v>
      </c>
      <c r="J825">
        <v>24</v>
      </c>
      <c r="K825" s="12" t="s">
        <v>176</v>
      </c>
      <c r="L825">
        <v>0</v>
      </c>
      <c r="M825">
        <v>0</v>
      </c>
      <c r="O825" s="39"/>
      <c r="P825" s="16">
        <v>87617.15</v>
      </c>
      <c r="S825" s="17"/>
    </row>
    <row r="826" spans="1:19" x14ac:dyDescent="0.4">
      <c r="A826">
        <v>4885229</v>
      </c>
      <c r="B826" s="15">
        <v>52</v>
      </c>
      <c r="C826" s="12" t="s">
        <v>123</v>
      </c>
      <c r="D826" s="12" t="s">
        <v>132</v>
      </c>
      <c r="E826" s="12" t="s">
        <v>152</v>
      </c>
      <c r="F826" s="12" t="s">
        <v>163</v>
      </c>
      <c r="G826" s="14">
        <f t="shared" ca="1" si="12"/>
        <v>30131.957516684761</v>
      </c>
      <c r="H826" s="12" t="s">
        <v>172</v>
      </c>
      <c r="I826">
        <v>0</v>
      </c>
      <c r="J826">
        <v>60</v>
      </c>
      <c r="K826" s="12" t="s">
        <v>176</v>
      </c>
      <c r="L826">
        <v>6321</v>
      </c>
      <c r="M826">
        <v>1</v>
      </c>
      <c r="O826" s="39"/>
      <c r="P826" s="15">
        <v>28753.79</v>
      </c>
      <c r="S826" s="17"/>
    </row>
    <row r="827" spans="1:19" x14ac:dyDescent="0.4">
      <c r="A827">
        <v>4888098</v>
      </c>
      <c r="B827" s="16">
        <v>31</v>
      </c>
      <c r="C827" s="12" t="s">
        <v>122</v>
      </c>
      <c r="D827" s="12" t="s">
        <v>142</v>
      </c>
      <c r="E827" s="12" t="s">
        <v>152</v>
      </c>
      <c r="F827" s="12" t="s">
        <v>161</v>
      </c>
      <c r="G827" s="14">
        <f t="shared" ca="1" si="12"/>
        <v>51049.828155881914</v>
      </c>
      <c r="H827" s="12" t="s">
        <v>172</v>
      </c>
      <c r="I827">
        <v>0</v>
      </c>
      <c r="J827">
        <v>40</v>
      </c>
      <c r="K827" s="12" t="s">
        <v>179</v>
      </c>
      <c r="L827">
        <v>0</v>
      </c>
      <c r="M827">
        <v>0</v>
      </c>
      <c r="O827" s="39"/>
      <c r="P827" s="16">
        <v>42408.09</v>
      </c>
      <c r="S827" s="17"/>
    </row>
    <row r="828" spans="1:19" x14ac:dyDescent="0.4">
      <c r="A828">
        <v>4889345</v>
      </c>
      <c r="B828" s="15">
        <v>47</v>
      </c>
      <c r="C828" s="12" t="s">
        <v>122</v>
      </c>
      <c r="D828" s="12" t="s">
        <v>132</v>
      </c>
      <c r="E828" s="12" t="s">
        <v>152</v>
      </c>
      <c r="F828" s="12" t="s">
        <v>159</v>
      </c>
      <c r="G828" s="14">
        <f t="shared" ca="1" si="12"/>
        <v>51485.570955343945</v>
      </c>
      <c r="H828" s="12" t="s">
        <v>172</v>
      </c>
      <c r="I828">
        <v>0</v>
      </c>
      <c r="J828">
        <v>40</v>
      </c>
      <c r="K828" s="12" t="s">
        <v>176</v>
      </c>
      <c r="L828">
        <v>0</v>
      </c>
      <c r="M828">
        <v>0</v>
      </c>
      <c r="O828" s="39"/>
      <c r="P828" s="15">
        <v>38787.53</v>
      </c>
      <c r="S828" s="17"/>
    </row>
    <row r="829" spans="1:19" x14ac:dyDescent="0.4">
      <c r="A829">
        <v>4890811</v>
      </c>
      <c r="B829" s="16">
        <v>46</v>
      </c>
      <c r="C829" s="12" t="s">
        <v>122</v>
      </c>
      <c r="D829" s="12" t="s">
        <v>132</v>
      </c>
      <c r="E829" s="12" t="s">
        <v>152</v>
      </c>
      <c r="F829" s="12" t="s">
        <v>160</v>
      </c>
      <c r="G829" s="14">
        <f t="shared" ca="1" si="12"/>
        <v>187578.53941462995</v>
      </c>
      <c r="H829" s="12" t="s">
        <v>171</v>
      </c>
      <c r="I829">
        <v>0</v>
      </c>
      <c r="J829">
        <v>40</v>
      </c>
      <c r="K829" s="12" t="s">
        <v>176</v>
      </c>
      <c r="L829">
        <v>2741</v>
      </c>
      <c r="M829">
        <v>1</v>
      </c>
      <c r="O829" s="39"/>
      <c r="P829" s="16">
        <v>100347.61</v>
      </c>
      <c r="S829" s="17"/>
    </row>
    <row r="830" spans="1:19" x14ac:dyDescent="0.4">
      <c r="A830">
        <v>4895144</v>
      </c>
      <c r="B830" s="15">
        <v>17</v>
      </c>
      <c r="C830" s="12" t="s">
        <v>122</v>
      </c>
      <c r="D830" s="12" t="s">
        <v>142</v>
      </c>
      <c r="E830" s="12" t="s">
        <v>150</v>
      </c>
      <c r="F830" s="12" t="s">
        <v>157</v>
      </c>
      <c r="G830" s="14">
        <f t="shared" ca="1" si="12"/>
        <v>97045.243698318169</v>
      </c>
      <c r="H830" s="12" t="s">
        <v>172</v>
      </c>
      <c r="I830">
        <v>0</v>
      </c>
      <c r="J830">
        <v>20</v>
      </c>
      <c r="K830" s="12" t="s">
        <v>176</v>
      </c>
      <c r="L830">
        <v>0</v>
      </c>
      <c r="M830">
        <v>0</v>
      </c>
      <c r="O830" s="39"/>
      <c r="P830" s="15">
        <v>61681.73</v>
      </c>
      <c r="S830" s="17"/>
    </row>
    <row r="831" spans="1:19" x14ac:dyDescent="0.4">
      <c r="A831">
        <v>4897621</v>
      </c>
      <c r="B831" s="16">
        <v>21</v>
      </c>
      <c r="C831" s="12" t="s">
        <v>122</v>
      </c>
      <c r="D831" s="12" t="s">
        <v>132</v>
      </c>
      <c r="E831" s="12" t="s">
        <v>150</v>
      </c>
      <c r="F831" s="12" t="s">
        <v>158</v>
      </c>
      <c r="G831" s="14">
        <f t="shared" ca="1" si="12"/>
        <v>244203.16260220882</v>
      </c>
      <c r="H831" s="12" t="s">
        <v>171</v>
      </c>
      <c r="I831">
        <v>0</v>
      </c>
      <c r="J831">
        <v>15</v>
      </c>
      <c r="K831" s="12" t="s">
        <v>176</v>
      </c>
      <c r="L831">
        <v>0</v>
      </c>
      <c r="M831">
        <v>0</v>
      </c>
      <c r="O831" s="39"/>
      <c r="P831" s="16">
        <v>154890.29999999999</v>
      </c>
      <c r="S831" s="17"/>
    </row>
    <row r="832" spans="1:19" x14ac:dyDescent="0.4">
      <c r="A832">
        <v>4901863</v>
      </c>
      <c r="B832" s="15">
        <v>44</v>
      </c>
      <c r="C832" s="12" t="s">
        <v>125</v>
      </c>
      <c r="D832" s="12" t="s">
        <v>137</v>
      </c>
      <c r="E832" s="12" t="s">
        <v>150</v>
      </c>
      <c r="F832" s="12" t="s">
        <v>159</v>
      </c>
      <c r="G832" s="14">
        <f t="shared" ca="1" si="12"/>
        <v>68746.349427196212</v>
      </c>
      <c r="H832" s="12" t="s">
        <v>172</v>
      </c>
      <c r="I832">
        <v>0</v>
      </c>
      <c r="J832">
        <v>44</v>
      </c>
      <c r="K832" s="12" t="s">
        <v>176</v>
      </c>
      <c r="L832">
        <v>0</v>
      </c>
      <c r="M832">
        <v>0</v>
      </c>
      <c r="O832" s="39"/>
      <c r="P832" s="15">
        <v>53696.99</v>
      </c>
      <c r="S832" s="17"/>
    </row>
    <row r="833" spans="1:19" x14ac:dyDescent="0.4">
      <c r="A833">
        <v>4909545</v>
      </c>
      <c r="B833" s="16">
        <v>34</v>
      </c>
      <c r="C833" s="12" t="s">
        <v>122</v>
      </c>
      <c r="D833" s="12" t="s">
        <v>133</v>
      </c>
      <c r="E833" s="12" t="s">
        <v>152</v>
      </c>
      <c r="F833" s="12" t="s">
        <v>162</v>
      </c>
      <c r="G833" s="14">
        <f t="shared" ca="1" si="12"/>
        <v>80703.586811005676</v>
      </c>
      <c r="H833" s="12" t="s">
        <v>172</v>
      </c>
      <c r="I833">
        <v>1902</v>
      </c>
      <c r="J833">
        <v>50</v>
      </c>
      <c r="K833" s="12" t="s">
        <v>176</v>
      </c>
      <c r="L833">
        <v>11637</v>
      </c>
      <c r="M833">
        <v>1</v>
      </c>
      <c r="O833" s="39"/>
      <c r="P833" s="16">
        <v>61153.39</v>
      </c>
      <c r="S833" s="17"/>
    </row>
    <row r="834" spans="1:19" x14ac:dyDescent="0.4">
      <c r="A834">
        <v>4914214</v>
      </c>
      <c r="B834" s="15">
        <v>35</v>
      </c>
      <c r="C834" s="12" t="s">
        <v>122</v>
      </c>
      <c r="D834" s="12" t="s">
        <v>135</v>
      </c>
      <c r="E834" s="12" t="s">
        <v>152</v>
      </c>
      <c r="F834" s="12" t="s">
        <v>160</v>
      </c>
      <c r="G834" s="14">
        <f t="shared" ca="1" si="12"/>
        <v>50912.205561739735</v>
      </c>
      <c r="H834" s="12" t="s">
        <v>172</v>
      </c>
      <c r="I834">
        <v>0</v>
      </c>
      <c r="J834">
        <v>45</v>
      </c>
      <c r="K834" s="12" t="s">
        <v>176</v>
      </c>
      <c r="L834">
        <v>0</v>
      </c>
      <c r="M834">
        <v>1</v>
      </c>
      <c r="O834" s="39"/>
      <c r="P834" s="15">
        <v>49430.62</v>
      </c>
      <c r="S834" s="17"/>
    </row>
    <row r="835" spans="1:19" x14ac:dyDescent="0.4">
      <c r="A835">
        <v>4914481</v>
      </c>
      <c r="B835" s="16">
        <v>21</v>
      </c>
      <c r="C835" s="12" t="s">
        <v>122</v>
      </c>
      <c r="D835" s="12" t="s">
        <v>132</v>
      </c>
      <c r="E835" s="12" t="s">
        <v>150</v>
      </c>
      <c r="F835" s="12" t="s">
        <v>158</v>
      </c>
      <c r="G835" s="14">
        <f t="shared" ca="1" si="12"/>
        <v>210666.71634034195</v>
      </c>
      <c r="H835" s="12" t="s">
        <v>171</v>
      </c>
      <c r="I835">
        <v>0</v>
      </c>
      <c r="J835">
        <v>40</v>
      </c>
      <c r="K835" s="12" t="s">
        <v>176</v>
      </c>
      <c r="L835">
        <v>0</v>
      </c>
      <c r="M835">
        <v>0</v>
      </c>
      <c r="O835" s="39"/>
      <c r="P835" s="16">
        <v>172456.38</v>
      </c>
      <c r="S835" s="17"/>
    </row>
    <row r="836" spans="1:19" x14ac:dyDescent="0.4">
      <c r="A836">
        <v>4917525</v>
      </c>
      <c r="B836" s="15">
        <v>20</v>
      </c>
      <c r="C836" s="12" t="s">
        <v>122</v>
      </c>
      <c r="D836" s="12" t="s">
        <v>132</v>
      </c>
      <c r="E836" s="12" t="s">
        <v>150</v>
      </c>
      <c r="F836" s="12" t="s">
        <v>162</v>
      </c>
      <c r="G836" s="14">
        <f t="shared" ca="1" si="12"/>
        <v>122294.38517176532</v>
      </c>
      <c r="H836" s="12" t="s">
        <v>171</v>
      </c>
      <c r="I836">
        <v>0</v>
      </c>
      <c r="J836">
        <v>40</v>
      </c>
      <c r="K836" s="12" t="s">
        <v>176</v>
      </c>
      <c r="L836">
        <v>0</v>
      </c>
      <c r="M836">
        <v>0</v>
      </c>
      <c r="O836" s="39"/>
      <c r="P836" s="15">
        <v>84471.66</v>
      </c>
      <c r="S836" s="17"/>
    </row>
    <row r="837" spans="1:19" x14ac:dyDescent="0.4">
      <c r="A837">
        <v>4918789</v>
      </c>
      <c r="B837" s="16">
        <v>18</v>
      </c>
      <c r="C837" s="12" t="s">
        <v>122</v>
      </c>
      <c r="D837" s="12" t="s">
        <v>132</v>
      </c>
      <c r="E837" s="12" t="s">
        <v>150</v>
      </c>
      <c r="F837" s="12" t="s">
        <v>162</v>
      </c>
      <c r="G837" s="14">
        <f t="shared" ca="1" si="12"/>
        <v>107624.44681865045</v>
      </c>
      <c r="H837" s="12" t="s">
        <v>171</v>
      </c>
      <c r="I837">
        <v>0</v>
      </c>
      <c r="J837">
        <v>20</v>
      </c>
      <c r="K837" s="12" t="s">
        <v>176</v>
      </c>
      <c r="L837">
        <v>0</v>
      </c>
      <c r="M837">
        <v>0</v>
      </c>
      <c r="O837" s="39"/>
      <c r="P837" s="16">
        <v>56027.94</v>
      </c>
      <c r="S837" s="17"/>
    </row>
    <row r="838" spans="1:19" x14ac:dyDescent="0.4">
      <c r="A838">
        <v>4919773</v>
      </c>
      <c r="B838" s="15">
        <v>60</v>
      </c>
      <c r="C838" s="12" t="s">
        <v>129</v>
      </c>
      <c r="D838" s="12" t="s">
        <v>142</v>
      </c>
      <c r="E838" s="12" t="s">
        <v>151</v>
      </c>
      <c r="F838" s="12" t="s">
        <v>129</v>
      </c>
      <c r="G838" s="14">
        <f t="shared" ca="1" si="12"/>
        <v>86289.022161471483</v>
      </c>
      <c r="H838" s="12" t="s">
        <v>172</v>
      </c>
      <c r="I838">
        <v>0</v>
      </c>
      <c r="J838">
        <v>35</v>
      </c>
      <c r="K838" s="12" t="s">
        <v>176</v>
      </c>
      <c r="L838">
        <v>0</v>
      </c>
      <c r="M838">
        <v>0</v>
      </c>
      <c r="O838" s="39"/>
      <c r="P838" s="15">
        <v>62317.89</v>
      </c>
      <c r="S838" s="17"/>
    </row>
    <row r="839" spans="1:19" x14ac:dyDescent="0.4">
      <c r="A839">
        <v>4921569</v>
      </c>
      <c r="B839" s="16">
        <v>34</v>
      </c>
      <c r="C839" s="12" t="s">
        <v>122</v>
      </c>
      <c r="D839" s="12" t="s">
        <v>135</v>
      </c>
      <c r="E839" s="12" t="s">
        <v>150</v>
      </c>
      <c r="F839" s="12" t="s">
        <v>162</v>
      </c>
      <c r="G839" s="14">
        <f t="shared" ca="1" si="12"/>
        <v>191681.07253783784</v>
      </c>
      <c r="H839" s="12" t="s">
        <v>171</v>
      </c>
      <c r="I839">
        <v>0</v>
      </c>
      <c r="J839">
        <v>40</v>
      </c>
      <c r="K839" s="12" t="s">
        <v>176</v>
      </c>
      <c r="L839">
        <v>0</v>
      </c>
      <c r="M839">
        <v>0</v>
      </c>
      <c r="O839" s="39"/>
      <c r="P839" s="16">
        <v>104055.14</v>
      </c>
      <c r="S839" s="17"/>
    </row>
    <row r="840" spans="1:19" x14ac:dyDescent="0.4">
      <c r="A840">
        <v>4924726</v>
      </c>
      <c r="B840" s="15">
        <v>43</v>
      </c>
      <c r="C840" s="12" t="s">
        <v>122</v>
      </c>
      <c r="D840" s="12" t="s">
        <v>132</v>
      </c>
      <c r="E840" s="12" t="s">
        <v>150</v>
      </c>
      <c r="F840" s="12" t="s">
        <v>160</v>
      </c>
      <c r="G840" s="14">
        <f t="shared" ca="1" si="12"/>
        <v>159226.85112430871</v>
      </c>
      <c r="H840" s="12" t="s">
        <v>172</v>
      </c>
      <c r="I840">
        <v>0</v>
      </c>
      <c r="J840">
        <v>50</v>
      </c>
      <c r="K840" s="12" t="s">
        <v>176</v>
      </c>
      <c r="L840">
        <v>0</v>
      </c>
      <c r="M840">
        <v>0</v>
      </c>
      <c r="O840" s="39"/>
      <c r="P840" s="15">
        <v>80053.94</v>
      </c>
      <c r="S840" s="17"/>
    </row>
    <row r="841" spans="1:19" x14ac:dyDescent="0.4">
      <c r="A841">
        <v>4928150</v>
      </c>
      <c r="B841" s="16">
        <v>22</v>
      </c>
      <c r="C841" s="12" t="s">
        <v>125</v>
      </c>
      <c r="D841" s="12" t="s">
        <v>137</v>
      </c>
      <c r="E841" s="12" t="s">
        <v>150</v>
      </c>
      <c r="F841" s="12" t="s">
        <v>158</v>
      </c>
      <c r="G841" s="14">
        <f t="shared" ca="1" si="12"/>
        <v>131097.63790145164</v>
      </c>
      <c r="H841" s="12" t="s">
        <v>171</v>
      </c>
      <c r="I841">
        <v>0</v>
      </c>
      <c r="J841">
        <v>10</v>
      </c>
      <c r="K841" s="12" t="s">
        <v>129</v>
      </c>
      <c r="L841">
        <v>0</v>
      </c>
      <c r="M841">
        <v>0</v>
      </c>
      <c r="O841" s="39"/>
      <c r="P841" s="16">
        <v>82936.28</v>
      </c>
      <c r="S841" s="17"/>
    </row>
    <row r="842" spans="1:19" x14ac:dyDescent="0.4">
      <c r="A842">
        <v>4930197</v>
      </c>
      <c r="B842" s="15">
        <v>48</v>
      </c>
      <c r="C842" s="12" t="s">
        <v>123</v>
      </c>
      <c r="D842" s="12" t="s">
        <v>132</v>
      </c>
      <c r="E842" s="12" t="s">
        <v>152</v>
      </c>
      <c r="F842" s="12" t="s">
        <v>157</v>
      </c>
      <c r="G842" s="14">
        <f t="shared" ca="1" si="12"/>
        <v>19540.397219103226</v>
      </c>
      <c r="H842" s="12" t="s">
        <v>172</v>
      </c>
      <c r="I842">
        <v>0</v>
      </c>
      <c r="J842">
        <v>50</v>
      </c>
      <c r="K842" s="12" t="s">
        <v>176</v>
      </c>
      <c r="L842">
        <v>4838</v>
      </c>
      <c r="M842">
        <v>1</v>
      </c>
      <c r="O842" s="39"/>
      <c r="P842" s="15">
        <v>16557.72</v>
      </c>
      <c r="S842" s="17"/>
    </row>
    <row r="843" spans="1:19" x14ac:dyDescent="0.4">
      <c r="A843">
        <v>4933562</v>
      </c>
      <c r="B843" s="16">
        <v>61</v>
      </c>
      <c r="C843" s="12" t="s">
        <v>122</v>
      </c>
      <c r="D843" s="12" t="s">
        <v>134</v>
      </c>
      <c r="E843" s="12" t="s">
        <v>152</v>
      </c>
      <c r="F843" s="12" t="s">
        <v>159</v>
      </c>
      <c r="G843" s="14">
        <f t="shared" ref="G843:G906" ca="1" si="13">P843*(1+RAND())</f>
        <v>16012.268643647185</v>
      </c>
      <c r="H843" s="12" t="s">
        <v>172</v>
      </c>
      <c r="I843">
        <v>1367.3333333333301</v>
      </c>
      <c r="J843">
        <v>20</v>
      </c>
      <c r="K843" s="12" t="s">
        <v>176</v>
      </c>
      <c r="L843">
        <v>0</v>
      </c>
      <c r="M843">
        <v>0</v>
      </c>
      <c r="O843" s="39"/>
      <c r="P843" s="16">
        <v>13147.86</v>
      </c>
      <c r="S843" s="17"/>
    </row>
    <row r="844" spans="1:19" x14ac:dyDescent="0.4">
      <c r="A844">
        <v>4934504</v>
      </c>
      <c r="B844" s="15">
        <v>27</v>
      </c>
      <c r="C844" s="12" t="s">
        <v>122</v>
      </c>
      <c r="D844" s="12" t="s">
        <v>134</v>
      </c>
      <c r="E844" s="12" t="s">
        <v>150</v>
      </c>
      <c r="F844" s="12" t="s">
        <v>161</v>
      </c>
      <c r="G844" s="14">
        <f t="shared" ca="1" si="13"/>
        <v>206493.97863503371</v>
      </c>
      <c r="H844" s="12" t="s">
        <v>172</v>
      </c>
      <c r="I844">
        <v>0</v>
      </c>
      <c r="J844">
        <v>45</v>
      </c>
      <c r="K844" s="12" t="s">
        <v>176</v>
      </c>
      <c r="L844">
        <v>0</v>
      </c>
      <c r="M844">
        <v>0</v>
      </c>
      <c r="O844" s="39"/>
      <c r="P844" s="15">
        <v>158458.54</v>
      </c>
      <c r="S844" s="17"/>
    </row>
    <row r="845" spans="1:19" x14ac:dyDescent="0.4">
      <c r="A845">
        <v>4935734</v>
      </c>
      <c r="B845" s="16">
        <v>33</v>
      </c>
      <c r="C845" s="12" t="s">
        <v>122</v>
      </c>
      <c r="D845" s="12" t="s">
        <v>135</v>
      </c>
      <c r="E845" s="12" t="s">
        <v>152</v>
      </c>
      <c r="F845" s="12" t="s">
        <v>160</v>
      </c>
      <c r="G845" s="14">
        <f t="shared" ca="1" si="13"/>
        <v>76561.18293998616</v>
      </c>
      <c r="H845" s="12" t="s">
        <v>172</v>
      </c>
      <c r="I845">
        <v>0</v>
      </c>
      <c r="J845">
        <v>55</v>
      </c>
      <c r="K845" s="12" t="s">
        <v>176</v>
      </c>
      <c r="L845">
        <v>1021</v>
      </c>
      <c r="M845">
        <v>1</v>
      </c>
      <c r="O845" s="39"/>
      <c r="P845" s="16">
        <v>40925.699999999997</v>
      </c>
      <c r="S845" s="17"/>
    </row>
    <row r="846" spans="1:19" x14ac:dyDescent="0.4">
      <c r="A846">
        <v>4935771</v>
      </c>
      <c r="B846" s="15">
        <v>20</v>
      </c>
      <c r="C846" s="12" t="s">
        <v>122</v>
      </c>
      <c r="D846" s="12" t="s">
        <v>132</v>
      </c>
      <c r="E846" s="12" t="s">
        <v>150</v>
      </c>
      <c r="F846" s="12" t="s">
        <v>157</v>
      </c>
      <c r="G846" s="14">
        <f t="shared" ca="1" si="13"/>
        <v>174550.50760470389</v>
      </c>
      <c r="H846" s="12" t="s">
        <v>172</v>
      </c>
      <c r="I846">
        <v>0</v>
      </c>
      <c r="J846">
        <v>40</v>
      </c>
      <c r="K846" s="12" t="s">
        <v>176</v>
      </c>
      <c r="L846">
        <v>0</v>
      </c>
      <c r="M846">
        <v>0</v>
      </c>
      <c r="O846" s="39"/>
      <c r="P846" s="15">
        <v>163772</v>
      </c>
      <c r="S846" s="17"/>
    </row>
    <row r="847" spans="1:19" x14ac:dyDescent="0.4">
      <c r="A847">
        <v>4940025</v>
      </c>
      <c r="B847" s="16">
        <v>19</v>
      </c>
      <c r="C847" s="12" t="s">
        <v>129</v>
      </c>
      <c r="D847" s="12" t="s">
        <v>139</v>
      </c>
      <c r="E847" s="12" t="s">
        <v>150</v>
      </c>
      <c r="F847" s="12" t="s">
        <v>129</v>
      </c>
      <c r="G847" s="14">
        <f t="shared" ca="1" si="13"/>
        <v>101522.57047015778</v>
      </c>
      <c r="H847" s="12" t="s">
        <v>171</v>
      </c>
      <c r="I847">
        <v>0</v>
      </c>
      <c r="J847">
        <v>30</v>
      </c>
      <c r="K847" s="12" t="s">
        <v>176</v>
      </c>
      <c r="L847">
        <v>0</v>
      </c>
      <c r="M847">
        <v>0</v>
      </c>
      <c r="O847" s="39"/>
      <c r="P847" s="16">
        <v>69773.740000000005</v>
      </c>
      <c r="S847" s="17"/>
    </row>
    <row r="848" spans="1:19" x14ac:dyDescent="0.4">
      <c r="A848">
        <v>4941388</v>
      </c>
      <c r="B848" s="15">
        <v>33</v>
      </c>
      <c r="C848" s="12" t="s">
        <v>122</v>
      </c>
      <c r="D848" s="12" t="s">
        <v>134</v>
      </c>
      <c r="E848" s="12" t="s">
        <v>152</v>
      </c>
      <c r="F848" s="12" t="s">
        <v>157</v>
      </c>
      <c r="G848" s="14">
        <f t="shared" ca="1" si="13"/>
        <v>45187.658465196866</v>
      </c>
      <c r="H848" s="12" t="s">
        <v>172</v>
      </c>
      <c r="I848">
        <v>0</v>
      </c>
      <c r="J848">
        <v>55</v>
      </c>
      <c r="K848" s="12" t="s">
        <v>176</v>
      </c>
      <c r="L848">
        <v>4973</v>
      </c>
      <c r="M848">
        <v>1</v>
      </c>
      <c r="O848" s="39"/>
      <c r="P848" s="15">
        <v>27661.599999999999</v>
      </c>
      <c r="S848" s="17"/>
    </row>
    <row r="849" spans="1:19" x14ac:dyDescent="0.4">
      <c r="A849">
        <v>4943700</v>
      </c>
      <c r="B849" s="16">
        <v>52</v>
      </c>
      <c r="C849" s="12" t="s">
        <v>122</v>
      </c>
      <c r="D849" s="12" t="s">
        <v>134</v>
      </c>
      <c r="E849" s="12" t="s">
        <v>152</v>
      </c>
      <c r="F849" s="12" t="s">
        <v>159</v>
      </c>
      <c r="G849" s="14">
        <f t="shared" ca="1" si="13"/>
        <v>54268.19105133065</v>
      </c>
      <c r="H849" s="12" t="s">
        <v>172</v>
      </c>
      <c r="I849">
        <v>0</v>
      </c>
      <c r="J849">
        <v>40</v>
      </c>
      <c r="K849" s="12" t="s">
        <v>176</v>
      </c>
      <c r="L849">
        <v>0</v>
      </c>
      <c r="M849">
        <v>0</v>
      </c>
      <c r="O849" s="39"/>
      <c r="P849" s="16">
        <v>33379.58</v>
      </c>
      <c r="S849" s="17"/>
    </row>
    <row r="850" spans="1:19" x14ac:dyDescent="0.4">
      <c r="A850">
        <v>4946567</v>
      </c>
      <c r="B850" s="15">
        <v>37</v>
      </c>
      <c r="C850" s="12" t="s">
        <v>122</v>
      </c>
      <c r="D850" s="12" t="s">
        <v>135</v>
      </c>
      <c r="E850" s="12" t="s">
        <v>150</v>
      </c>
      <c r="F850" s="12" t="s">
        <v>158</v>
      </c>
      <c r="G850" s="14">
        <f t="shared" ca="1" si="13"/>
        <v>107486.45951588124</v>
      </c>
      <c r="H850" s="12" t="s">
        <v>171</v>
      </c>
      <c r="I850">
        <v>0</v>
      </c>
      <c r="J850">
        <v>35</v>
      </c>
      <c r="K850" s="12" t="s">
        <v>176</v>
      </c>
      <c r="L850">
        <v>0</v>
      </c>
      <c r="M850">
        <v>0</v>
      </c>
      <c r="O850" s="39"/>
      <c r="P850" s="15">
        <v>94623.76</v>
      </c>
      <c r="S850" s="17"/>
    </row>
    <row r="851" spans="1:19" x14ac:dyDescent="0.4">
      <c r="A851">
        <v>4951488</v>
      </c>
      <c r="B851" s="16">
        <v>19</v>
      </c>
      <c r="C851" s="12" t="s">
        <v>126</v>
      </c>
      <c r="D851" s="12" t="s">
        <v>134</v>
      </c>
      <c r="E851" s="12" t="s">
        <v>150</v>
      </c>
      <c r="F851" s="12" t="s">
        <v>158</v>
      </c>
      <c r="G851" s="14">
        <f t="shared" ca="1" si="13"/>
        <v>289961.9102414106</v>
      </c>
      <c r="H851" s="12" t="s">
        <v>171</v>
      </c>
      <c r="I851">
        <v>0</v>
      </c>
      <c r="J851">
        <v>40</v>
      </c>
      <c r="K851" s="12" t="s">
        <v>176</v>
      </c>
      <c r="L851">
        <v>0</v>
      </c>
      <c r="M851">
        <v>0</v>
      </c>
      <c r="O851" s="39"/>
      <c r="P851" s="16">
        <v>213011.20000000001</v>
      </c>
      <c r="S851" s="17"/>
    </row>
    <row r="852" spans="1:19" x14ac:dyDescent="0.4">
      <c r="A852">
        <v>4958992</v>
      </c>
      <c r="B852" s="15">
        <v>47</v>
      </c>
      <c r="C852" s="12" t="s">
        <v>123</v>
      </c>
      <c r="D852" s="12" t="s">
        <v>134</v>
      </c>
      <c r="E852" s="12" t="s">
        <v>152</v>
      </c>
      <c r="F852" s="12" t="s">
        <v>162</v>
      </c>
      <c r="G852" s="14">
        <f t="shared" ca="1" si="13"/>
        <v>84401.57711924109</v>
      </c>
      <c r="H852" s="12" t="s">
        <v>172</v>
      </c>
      <c r="I852">
        <v>0</v>
      </c>
      <c r="J852">
        <v>75</v>
      </c>
      <c r="K852" s="12" t="s">
        <v>176</v>
      </c>
      <c r="L852">
        <v>4064</v>
      </c>
      <c r="M852">
        <v>1</v>
      </c>
      <c r="O852" s="39"/>
      <c r="P852" s="15">
        <v>69200.36</v>
      </c>
      <c r="S852" s="17"/>
    </row>
    <row r="853" spans="1:19" x14ac:dyDescent="0.4">
      <c r="A853">
        <v>4961462</v>
      </c>
      <c r="B853" s="16">
        <v>30</v>
      </c>
      <c r="C853" s="12" t="s">
        <v>122</v>
      </c>
      <c r="D853" s="12" t="s">
        <v>134</v>
      </c>
      <c r="E853" s="12" t="s">
        <v>152</v>
      </c>
      <c r="F853" s="12" t="s">
        <v>164</v>
      </c>
      <c r="G853" s="14">
        <f t="shared" ca="1" si="13"/>
        <v>62235.178609743911</v>
      </c>
      <c r="H853" s="12" t="s">
        <v>172</v>
      </c>
      <c r="I853">
        <v>0</v>
      </c>
      <c r="J853">
        <v>44</v>
      </c>
      <c r="K853" s="12" t="s">
        <v>176</v>
      </c>
      <c r="L853">
        <v>0</v>
      </c>
      <c r="M853">
        <v>0</v>
      </c>
      <c r="O853" s="39"/>
      <c r="P853" s="16">
        <v>33187.910000000003</v>
      </c>
      <c r="S853" s="17"/>
    </row>
    <row r="854" spans="1:19" x14ac:dyDescent="0.4">
      <c r="A854">
        <v>4962427</v>
      </c>
      <c r="B854" s="15">
        <v>29</v>
      </c>
      <c r="C854" s="12" t="s">
        <v>122</v>
      </c>
      <c r="D854" s="12" t="s">
        <v>133</v>
      </c>
      <c r="E854" s="12" t="s">
        <v>150</v>
      </c>
      <c r="F854" s="12" t="s">
        <v>162</v>
      </c>
      <c r="G854" s="14">
        <f t="shared" ca="1" si="13"/>
        <v>52417.099191443842</v>
      </c>
      <c r="H854" s="12" t="s">
        <v>171</v>
      </c>
      <c r="I854">
        <v>0</v>
      </c>
      <c r="J854">
        <v>40</v>
      </c>
      <c r="K854" s="12" t="s">
        <v>176</v>
      </c>
      <c r="L854">
        <v>0</v>
      </c>
      <c r="M854">
        <v>0</v>
      </c>
      <c r="O854" s="39"/>
      <c r="P854" s="15">
        <v>40905.21</v>
      </c>
      <c r="S854" s="17"/>
    </row>
    <row r="855" spans="1:19" x14ac:dyDescent="0.4">
      <c r="A855">
        <v>4962764</v>
      </c>
      <c r="B855" s="16">
        <v>33</v>
      </c>
      <c r="C855" s="12" t="s">
        <v>125</v>
      </c>
      <c r="D855" s="12" t="s">
        <v>138</v>
      </c>
      <c r="E855" s="12" t="s">
        <v>150</v>
      </c>
      <c r="F855" s="12" t="s">
        <v>144</v>
      </c>
      <c r="G855" s="14">
        <f t="shared" ca="1" si="13"/>
        <v>124993.38888017842</v>
      </c>
      <c r="H855" s="12" t="s">
        <v>171</v>
      </c>
      <c r="I855">
        <v>0</v>
      </c>
      <c r="J855">
        <v>40</v>
      </c>
      <c r="K855" s="12" t="s">
        <v>182</v>
      </c>
      <c r="L855">
        <v>0</v>
      </c>
      <c r="M855">
        <v>0</v>
      </c>
      <c r="O855" s="39"/>
      <c r="P855" s="16">
        <v>82559.710000000006</v>
      </c>
      <c r="S855" s="17"/>
    </row>
    <row r="856" spans="1:19" x14ac:dyDescent="0.4">
      <c r="A856">
        <v>4974903</v>
      </c>
      <c r="B856" s="15">
        <v>41</v>
      </c>
      <c r="C856" s="12" t="s">
        <v>127</v>
      </c>
      <c r="D856" s="12" t="s">
        <v>132</v>
      </c>
      <c r="E856" s="12" t="s">
        <v>152</v>
      </c>
      <c r="F856" s="12" t="s">
        <v>160</v>
      </c>
      <c r="G856" s="14">
        <f t="shared" ca="1" si="13"/>
        <v>4977.3100532254039</v>
      </c>
      <c r="H856" s="12" t="s">
        <v>172</v>
      </c>
      <c r="I856">
        <v>0</v>
      </c>
      <c r="J856">
        <v>40</v>
      </c>
      <c r="K856" s="12" t="s">
        <v>176</v>
      </c>
      <c r="L856">
        <v>12482</v>
      </c>
      <c r="M856">
        <v>1</v>
      </c>
      <c r="O856" s="39"/>
      <c r="P856" s="15">
        <v>2654.56</v>
      </c>
      <c r="S856" s="17"/>
    </row>
    <row r="857" spans="1:19" x14ac:dyDescent="0.4">
      <c r="A857">
        <v>4977552</v>
      </c>
      <c r="B857" s="16">
        <v>44</v>
      </c>
      <c r="C857" s="12" t="s">
        <v>124</v>
      </c>
      <c r="D857" s="12" t="s">
        <v>135</v>
      </c>
      <c r="E857" s="12" t="s">
        <v>152</v>
      </c>
      <c r="F857" s="12" t="s">
        <v>162</v>
      </c>
      <c r="G857" s="14">
        <f t="shared" ca="1" si="13"/>
        <v>59351.135349026546</v>
      </c>
      <c r="H857" s="12" t="s">
        <v>172</v>
      </c>
      <c r="I857">
        <v>0</v>
      </c>
      <c r="J857">
        <v>50</v>
      </c>
      <c r="K857" s="12" t="s">
        <v>129</v>
      </c>
      <c r="L857">
        <v>2861</v>
      </c>
      <c r="M857">
        <v>1</v>
      </c>
      <c r="O857" s="39"/>
      <c r="P857" s="16">
        <v>44226.52</v>
      </c>
      <c r="S857" s="17"/>
    </row>
    <row r="858" spans="1:19" x14ac:dyDescent="0.4">
      <c r="A858">
        <v>4987083</v>
      </c>
      <c r="B858" s="15">
        <v>33</v>
      </c>
      <c r="C858" s="12" t="s">
        <v>122</v>
      </c>
      <c r="D858" s="12" t="s">
        <v>135</v>
      </c>
      <c r="E858" s="12" t="s">
        <v>152</v>
      </c>
      <c r="F858" s="12" t="s">
        <v>160</v>
      </c>
      <c r="G858" s="14">
        <f t="shared" ca="1" si="13"/>
        <v>162495.31386213421</v>
      </c>
      <c r="H858" s="12" t="s">
        <v>171</v>
      </c>
      <c r="I858">
        <v>0</v>
      </c>
      <c r="J858">
        <v>32</v>
      </c>
      <c r="K858" s="12" t="s">
        <v>176</v>
      </c>
      <c r="L858">
        <v>0</v>
      </c>
      <c r="M858">
        <v>1</v>
      </c>
      <c r="O858" s="39"/>
      <c r="P858" s="15">
        <v>151493.63</v>
      </c>
      <c r="S858" s="17"/>
    </row>
    <row r="859" spans="1:19" x14ac:dyDescent="0.4">
      <c r="A859">
        <v>4987768</v>
      </c>
      <c r="B859" s="16">
        <v>29</v>
      </c>
      <c r="C859" s="12" t="s">
        <v>123</v>
      </c>
      <c r="D859" s="12" t="s">
        <v>134</v>
      </c>
      <c r="E859" s="12" t="s">
        <v>150</v>
      </c>
      <c r="F859" s="12" t="s">
        <v>159</v>
      </c>
      <c r="G859" s="14">
        <f t="shared" ca="1" si="13"/>
        <v>64103.971130511149</v>
      </c>
      <c r="H859" s="12" t="s">
        <v>172</v>
      </c>
      <c r="I859">
        <v>0</v>
      </c>
      <c r="J859">
        <v>50</v>
      </c>
      <c r="K859" s="12" t="s">
        <v>176</v>
      </c>
      <c r="L859">
        <v>0</v>
      </c>
      <c r="M859">
        <v>1</v>
      </c>
      <c r="O859" s="39"/>
      <c r="P859" s="16">
        <v>50433</v>
      </c>
      <c r="S859" s="17"/>
    </row>
    <row r="860" spans="1:19" x14ac:dyDescent="0.4">
      <c r="A860">
        <v>4989781</v>
      </c>
      <c r="B860" s="15">
        <v>48</v>
      </c>
      <c r="C860" s="12" t="s">
        <v>122</v>
      </c>
      <c r="D860" s="12" t="s">
        <v>135</v>
      </c>
      <c r="E860" s="12" t="s">
        <v>154</v>
      </c>
      <c r="F860" s="12" t="s">
        <v>144</v>
      </c>
      <c r="G860" s="14">
        <f t="shared" ca="1" si="13"/>
        <v>82853.181424689596</v>
      </c>
      <c r="H860" s="12" t="s">
        <v>171</v>
      </c>
      <c r="I860">
        <v>0</v>
      </c>
      <c r="J860">
        <v>36</v>
      </c>
      <c r="K860" s="12" t="s">
        <v>178</v>
      </c>
      <c r="L860">
        <v>0</v>
      </c>
      <c r="M860">
        <v>1</v>
      </c>
      <c r="O860" s="39"/>
      <c r="P860" s="15">
        <v>74381.259999999995</v>
      </c>
      <c r="S860" s="17"/>
    </row>
    <row r="861" spans="1:19" x14ac:dyDescent="0.4">
      <c r="A861">
        <v>4991112</v>
      </c>
      <c r="B861" s="16">
        <v>34</v>
      </c>
      <c r="C861" s="12" t="s">
        <v>122</v>
      </c>
      <c r="D861" s="12" t="s">
        <v>135</v>
      </c>
      <c r="E861" s="12" t="s">
        <v>154</v>
      </c>
      <c r="F861" s="12" t="s">
        <v>158</v>
      </c>
      <c r="G861" s="14">
        <f t="shared" ca="1" si="13"/>
        <v>82586.557368038397</v>
      </c>
      <c r="H861" s="12" t="s">
        <v>171</v>
      </c>
      <c r="I861">
        <v>0</v>
      </c>
      <c r="J861">
        <v>45</v>
      </c>
      <c r="K861" s="12" t="s">
        <v>176</v>
      </c>
      <c r="L861">
        <v>0</v>
      </c>
      <c r="M861">
        <v>0</v>
      </c>
      <c r="O861" s="39"/>
      <c r="P861" s="16">
        <v>81418.44</v>
      </c>
      <c r="S861" s="17"/>
    </row>
    <row r="862" spans="1:19" x14ac:dyDescent="0.4">
      <c r="A862">
        <v>4991634</v>
      </c>
      <c r="B862" s="15">
        <v>30</v>
      </c>
      <c r="C862" s="12" t="s">
        <v>122</v>
      </c>
      <c r="D862" s="12" t="s">
        <v>132</v>
      </c>
      <c r="E862" s="12" t="s">
        <v>150</v>
      </c>
      <c r="F862" s="12" t="s">
        <v>160</v>
      </c>
      <c r="G862" s="14">
        <f t="shared" ca="1" si="13"/>
        <v>97507.820527334421</v>
      </c>
      <c r="H862" s="12" t="s">
        <v>172</v>
      </c>
      <c r="I862">
        <v>0</v>
      </c>
      <c r="J862">
        <v>52</v>
      </c>
      <c r="K862" s="12" t="s">
        <v>176</v>
      </c>
      <c r="L862">
        <v>0</v>
      </c>
      <c r="M862">
        <v>0</v>
      </c>
      <c r="O862" s="39"/>
      <c r="P862" s="15">
        <v>52915.44</v>
      </c>
      <c r="S862" s="17"/>
    </row>
    <row r="863" spans="1:19" x14ac:dyDescent="0.4">
      <c r="A863">
        <v>4996668</v>
      </c>
      <c r="B863" s="16">
        <v>23</v>
      </c>
      <c r="C863" s="12" t="s">
        <v>122</v>
      </c>
      <c r="D863" s="12" t="s">
        <v>134</v>
      </c>
      <c r="E863" s="12" t="s">
        <v>150</v>
      </c>
      <c r="F863" s="12" t="s">
        <v>156</v>
      </c>
      <c r="G863" s="14">
        <f t="shared" ca="1" si="13"/>
        <v>248319.1073890875</v>
      </c>
      <c r="H863" s="12" t="s">
        <v>172</v>
      </c>
      <c r="I863">
        <v>0</v>
      </c>
      <c r="J863">
        <v>35</v>
      </c>
      <c r="K863" s="12" t="s">
        <v>176</v>
      </c>
      <c r="L863">
        <v>0</v>
      </c>
      <c r="M863">
        <v>0</v>
      </c>
      <c r="O863" s="39"/>
      <c r="P863" s="16">
        <v>157676.14000000001</v>
      </c>
      <c r="S863" s="17"/>
    </row>
    <row r="864" spans="1:19" x14ac:dyDescent="0.4">
      <c r="A864">
        <v>5005813</v>
      </c>
      <c r="B864" s="15">
        <v>44</v>
      </c>
      <c r="C864" s="12" t="s">
        <v>125</v>
      </c>
      <c r="D864" s="12" t="s">
        <v>133</v>
      </c>
      <c r="E864" s="12" t="s">
        <v>151</v>
      </c>
      <c r="F864" s="12" t="s">
        <v>166</v>
      </c>
      <c r="G864" s="14">
        <f t="shared" ca="1" si="13"/>
        <v>165932.45185895957</v>
      </c>
      <c r="H864" s="12" t="s">
        <v>171</v>
      </c>
      <c r="I864">
        <v>0</v>
      </c>
      <c r="J864">
        <v>56</v>
      </c>
      <c r="K864" s="12" t="s">
        <v>176</v>
      </c>
      <c r="L864">
        <v>6731</v>
      </c>
      <c r="M864">
        <v>1</v>
      </c>
      <c r="O864" s="39"/>
      <c r="P864" s="15">
        <v>101677.29</v>
      </c>
      <c r="S864" s="17"/>
    </row>
    <row r="865" spans="1:19" x14ac:dyDescent="0.4">
      <c r="A865">
        <v>5020138</v>
      </c>
      <c r="B865" s="16">
        <v>45</v>
      </c>
      <c r="C865" s="12" t="s">
        <v>122</v>
      </c>
      <c r="D865" s="12" t="s">
        <v>134</v>
      </c>
      <c r="E865" s="12" t="s">
        <v>153</v>
      </c>
      <c r="F865" s="12" t="s">
        <v>156</v>
      </c>
      <c r="G865" s="14">
        <f t="shared" ca="1" si="13"/>
        <v>32290.040344303889</v>
      </c>
      <c r="H865" s="12" t="s">
        <v>171</v>
      </c>
      <c r="I865">
        <v>0</v>
      </c>
      <c r="J865">
        <v>50</v>
      </c>
      <c r="K865" s="12" t="s">
        <v>183</v>
      </c>
      <c r="L865">
        <v>0</v>
      </c>
      <c r="M865">
        <v>0</v>
      </c>
      <c r="O865" s="39"/>
      <c r="P865" s="16">
        <v>21611.94</v>
      </c>
      <c r="S865" s="17"/>
    </row>
    <row r="866" spans="1:19" x14ac:dyDescent="0.4">
      <c r="A866">
        <v>5024034</v>
      </c>
      <c r="B866" s="15">
        <v>34</v>
      </c>
      <c r="C866" s="12" t="s">
        <v>122</v>
      </c>
      <c r="D866" s="12" t="s">
        <v>139</v>
      </c>
      <c r="E866" s="12" t="s">
        <v>152</v>
      </c>
      <c r="F866" s="12" t="s">
        <v>164</v>
      </c>
      <c r="G866" s="14">
        <f t="shared" ca="1" si="13"/>
        <v>30925.162569971526</v>
      </c>
      <c r="H866" s="12" t="s">
        <v>172</v>
      </c>
      <c r="I866">
        <v>0</v>
      </c>
      <c r="J866">
        <v>40</v>
      </c>
      <c r="K866" s="12" t="s">
        <v>176</v>
      </c>
      <c r="L866">
        <v>0</v>
      </c>
      <c r="M866">
        <v>0</v>
      </c>
      <c r="O866" s="39"/>
      <c r="P866" s="15">
        <v>18208.52</v>
      </c>
      <c r="S866" s="17"/>
    </row>
    <row r="867" spans="1:19" x14ac:dyDescent="0.4">
      <c r="A867">
        <v>5027835</v>
      </c>
      <c r="B867" s="16">
        <v>41</v>
      </c>
      <c r="C867" s="12" t="s">
        <v>124</v>
      </c>
      <c r="D867" s="12" t="s">
        <v>134</v>
      </c>
      <c r="E867" s="12" t="s">
        <v>149</v>
      </c>
      <c r="F867" s="12" t="s">
        <v>160</v>
      </c>
      <c r="G867" s="14">
        <f t="shared" ca="1" si="13"/>
        <v>196208.96016439665</v>
      </c>
      <c r="H867" s="12" t="s">
        <v>172</v>
      </c>
      <c r="I867">
        <v>0</v>
      </c>
      <c r="J867">
        <v>40</v>
      </c>
      <c r="K867" s="12" t="s">
        <v>176</v>
      </c>
      <c r="L867">
        <v>0</v>
      </c>
      <c r="M867">
        <v>0</v>
      </c>
      <c r="O867" s="39"/>
      <c r="P867" s="16">
        <v>163715.34</v>
      </c>
      <c r="S867" s="17"/>
    </row>
    <row r="868" spans="1:19" x14ac:dyDescent="0.4">
      <c r="A868">
        <v>5028042</v>
      </c>
      <c r="B868" s="15">
        <v>19</v>
      </c>
      <c r="C868" s="12" t="s">
        <v>122</v>
      </c>
      <c r="D868" s="12" t="s">
        <v>134</v>
      </c>
      <c r="E868" s="12" t="s">
        <v>150</v>
      </c>
      <c r="F868" s="12" t="s">
        <v>162</v>
      </c>
      <c r="G868" s="14">
        <f t="shared" ca="1" si="13"/>
        <v>267243.45542916039</v>
      </c>
      <c r="H868" s="12" t="s">
        <v>171</v>
      </c>
      <c r="I868">
        <v>0</v>
      </c>
      <c r="J868">
        <v>20</v>
      </c>
      <c r="K868" s="12" t="s">
        <v>176</v>
      </c>
      <c r="L868">
        <v>0</v>
      </c>
      <c r="M868">
        <v>0</v>
      </c>
      <c r="O868" s="39"/>
      <c r="P868" s="15">
        <v>184671.16</v>
      </c>
      <c r="S868" s="17"/>
    </row>
    <row r="869" spans="1:19" x14ac:dyDescent="0.4">
      <c r="A869">
        <v>5029348</v>
      </c>
      <c r="B869" s="16">
        <v>48</v>
      </c>
      <c r="C869" s="12" t="s">
        <v>125</v>
      </c>
      <c r="D869" s="12" t="s">
        <v>138</v>
      </c>
      <c r="E869" s="12" t="s">
        <v>151</v>
      </c>
      <c r="F869" s="12" t="s">
        <v>144</v>
      </c>
      <c r="G869" s="14">
        <f t="shared" ca="1" si="13"/>
        <v>120333.07222050471</v>
      </c>
      <c r="H869" s="12" t="s">
        <v>171</v>
      </c>
      <c r="I869">
        <v>0</v>
      </c>
      <c r="J869">
        <v>40</v>
      </c>
      <c r="K869" s="12" t="s">
        <v>176</v>
      </c>
      <c r="L869">
        <v>5226</v>
      </c>
      <c r="M869">
        <v>1</v>
      </c>
      <c r="O869" s="39"/>
      <c r="P869" s="16">
        <v>63452.61</v>
      </c>
      <c r="S869" s="17"/>
    </row>
    <row r="870" spans="1:19" x14ac:dyDescent="0.4">
      <c r="A870">
        <v>5036249</v>
      </c>
      <c r="B870" s="15">
        <v>40</v>
      </c>
      <c r="C870" s="12" t="s">
        <v>122</v>
      </c>
      <c r="D870" s="12" t="s">
        <v>132</v>
      </c>
      <c r="E870" s="12" t="s">
        <v>152</v>
      </c>
      <c r="F870" s="12" t="s">
        <v>158</v>
      </c>
      <c r="G870" s="14">
        <f t="shared" ca="1" si="13"/>
        <v>294305.97269214323</v>
      </c>
      <c r="H870" s="12" t="s">
        <v>171</v>
      </c>
      <c r="I870">
        <v>0</v>
      </c>
      <c r="J870">
        <v>40</v>
      </c>
      <c r="K870" s="12" t="s">
        <v>176</v>
      </c>
      <c r="L870">
        <v>7298</v>
      </c>
      <c r="M870">
        <v>1</v>
      </c>
      <c r="O870" s="39"/>
      <c r="P870" s="15">
        <v>227449.1</v>
      </c>
      <c r="S870" s="17"/>
    </row>
    <row r="871" spans="1:19" x14ac:dyDescent="0.4">
      <c r="A871">
        <v>5040783</v>
      </c>
      <c r="B871" s="16">
        <v>66</v>
      </c>
      <c r="C871" s="12" t="s">
        <v>129</v>
      </c>
      <c r="D871" s="12" t="s">
        <v>134</v>
      </c>
      <c r="E871" s="12" t="s">
        <v>152</v>
      </c>
      <c r="F871" s="12" t="s">
        <v>129</v>
      </c>
      <c r="G871" s="14">
        <f t="shared" ca="1" si="13"/>
        <v>20809.076352101889</v>
      </c>
      <c r="H871" s="12" t="s">
        <v>172</v>
      </c>
      <c r="I871">
        <v>0</v>
      </c>
      <c r="J871">
        <v>30</v>
      </c>
      <c r="K871" s="12" t="s">
        <v>176</v>
      </c>
      <c r="L871">
        <v>0</v>
      </c>
      <c r="M871">
        <v>0</v>
      </c>
      <c r="O871" s="39"/>
      <c r="P871" s="16">
        <v>17004.3</v>
      </c>
      <c r="S871" s="17"/>
    </row>
    <row r="872" spans="1:19" x14ac:dyDescent="0.4">
      <c r="A872">
        <v>5042008</v>
      </c>
      <c r="B872" s="15">
        <v>29</v>
      </c>
      <c r="C872" s="12" t="s">
        <v>122</v>
      </c>
      <c r="D872" s="12" t="s">
        <v>134</v>
      </c>
      <c r="E872" s="12" t="s">
        <v>151</v>
      </c>
      <c r="F872" s="12" t="s">
        <v>161</v>
      </c>
      <c r="G872" s="14">
        <f t="shared" ca="1" si="13"/>
        <v>306992.02823594149</v>
      </c>
      <c r="H872" s="12" t="s">
        <v>172</v>
      </c>
      <c r="I872">
        <v>0</v>
      </c>
      <c r="J872">
        <v>56</v>
      </c>
      <c r="K872" s="12" t="s">
        <v>176</v>
      </c>
      <c r="L872">
        <v>0</v>
      </c>
      <c r="M872">
        <v>0</v>
      </c>
      <c r="O872" s="39"/>
      <c r="P872" s="15">
        <v>192971.42</v>
      </c>
      <c r="S872" s="17"/>
    </row>
    <row r="873" spans="1:19" x14ac:dyDescent="0.4">
      <c r="A873">
        <v>5043841</v>
      </c>
      <c r="B873" s="16">
        <v>50</v>
      </c>
      <c r="C873" s="12" t="s">
        <v>122</v>
      </c>
      <c r="D873" s="12" t="s">
        <v>134</v>
      </c>
      <c r="E873" s="12" t="s">
        <v>152</v>
      </c>
      <c r="F873" s="12" t="s">
        <v>158</v>
      </c>
      <c r="G873" s="14">
        <f t="shared" ca="1" si="13"/>
        <v>11122.931558919227</v>
      </c>
      <c r="H873" s="12" t="s">
        <v>172</v>
      </c>
      <c r="I873">
        <v>0</v>
      </c>
      <c r="J873">
        <v>40</v>
      </c>
      <c r="K873" s="12" t="s">
        <v>176</v>
      </c>
      <c r="L873">
        <v>0</v>
      </c>
      <c r="M873">
        <v>0</v>
      </c>
      <c r="O873" s="39"/>
      <c r="P873" s="16">
        <v>8292.7800000000007</v>
      </c>
      <c r="S873" s="17"/>
    </row>
    <row r="874" spans="1:19" x14ac:dyDescent="0.4">
      <c r="A874">
        <v>5054126</v>
      </c>
      <c r="B874" s="15">
        <v>32</v>
      </c>
      <c r="C874" s="12" t="s">
        <v>126</v>
      </c>
      <c r="D874" s="12" t="s">
        <v>134</v>
      </c>
      <c r="E874" s="12" t="s">
        <v>151</v>
      </c>
      <c r="F874" s="12" t="s">
        <v>156</v>
      </c>
      <c r="G874" s="14">
        <f t="shared" ca="1" si="13"/>
        <v>80541.302431345102</v>
      </c>
      <c r="H874" s="12" t="s">
        <v>171</v>
      </c>
      <c r="I874">
        <v>0</v>
      </c>
      <c r="J874">
        <v>25</v>
      </c>
      <c r="K874" s="12" t="s">
        <v>176</v>
      </c>
      <c r="L874">
        <v>0</v>
      </c>
      <c r="M874">
        <v>0</v>
      </c>
      <c r="O874" s="39"/>
      <c r="P874" s="15">
        <v>45951.16</v>
      </c>
      <c r="S874" s="17"/>
    </row>
    <row r="875" spans="1:19" x14ac:dyDescent="0.4">
      <c r="A875">
        <v>5063409</v>
      </c>
      <c r="B875" s="16">
        <v>30</v>
      </c>
      <c r="C875" s="12" t="s">
        <v>122</v>
      </c>
      <c r="D875" s="12" t="s">
        <v>135</v>
      </c>
      <c r="E875" s="12" t="s">
        <v>150</v>
      </c>
      <c r="F875" s="12" t="s">
        <v>162</v>
      </c>
      <c r="G875" s="14">
        <f t="shared" ca="1" si="13"/>
        <v>190015.04408470806</v>
      </c>
      <c r="H875" s="12" t="s">
        <v>172</v>
      </c>
      <c r="I875">
        <v>0</v>
      </c>
      <c r="J875">
        <v>18</v>
      </c>
      <c r="K875" s="12" t="s">
        <v>176</v>
      </c>
      <c r="L875">
        <v>0</v>
      </c>
      <c r="M875">
        <v>0</v>
      </c>
      <c r="O875" s="39"/>
      <c r="P875" s="16">
        <v>153262.9</v>
      </c>
      <c r="S875" s="17"/>
    </row>
    <row r="876" spans="1:19" x14ac:dyDescent="0.4">
      <c r="A876">
        <v>5079199</v>
      </c>
      <c r="B876" s="15">
        <v>26</v>
      </c>
      <c r="C876" s="12" t="s">
        <v>123</v>
      </c>
      <c r="D876" s="12" t="s">
        <v>132</v>
      </c>
      <c r="E876" s="12" t="s">
        <v>149</v>
      </c>
      <c r="F876" s="12" t="s">
        <v>159</v>
      </c>
      <c r="G876" s="14">
        <f t="shared" ca="1" si="13"/>
        <v>207871.81036605703</v>
      </c>
      <c r="H876" s="12" t="s">
        <v>172</v>
      </c>
      <c r="I876">
        <v>0</v>
      </c>
      <c r="J876">
        <v>30</v>
      </c>
      <c r="K876" s="12" t="s">
        <v>176</v>
      </c>
      <c r="L876">
        <v>0</v>
      </c>
      <c r="M876">
        <v>0</v>
      </c>
      <c r="O876" s="39"/>
      <c r="P876" s="15">
        <v>120415.46</v>
      </c>
      <c r="S876" s="17"/>
    </row>
    <row r="877" spans="1:19" x14ac:dyDescent="0.4">
      <c r="A877">
        <v>5083260</v>
      </c>
      <c r="B877" s="16">
        <v>21</v>
      </c>
      <c r="C877" s="12" t="s">
        <v>122</v>
      </c>
      <c r="D877" s="12" t="s">
        <v>132</v>
      </c>
      <c r="E877" s="12" t="s">
        <v>150</v>
      </c>
      <c r="F877" s="12" t="s">
        <v>156</v>
      </c>
      <c r="G877" s="14">
        <f t="shared" ca="1" si="13"/>
        <v>200863.93999313487</v>
      </c>
      <c r="H877" s="12" t="s">
        <v>172</v>
      </c>
      <c r="I877">
        <v>0</v>
      </c>
      <c r="J877">
        <v>40</v>
      </c>
      <c r="K877" s="12" t="s">
        <v>129</v>
      </c>
      <c r="L877">
        <v>0</v>
      </c>
      <c r="M877">
        <v>0</v>
      </c>
      <c r="O877" s="39"/>
      <c r="P877" s="16">
        <v>164221.31</v>
      </c>
      <c r="S877" s="17"/>
    </row>
    <row r="878" spans="1:19" x14ac:dyDescent="0.4">
      <c r="A878">
        <v>5083552</v>
      </c>
      <c r="B878" s="15">
        <v>29</v>
      </c>
      <c r="C878" s="12" t="s">
        <v>122</v>
      </c>
      <c r="D878" s="12" t="s">
        <v>138</v>
      </c>
      <c r="E878" s="12" t="s">
        <v>152</v>
      </c>
      <c r="F878" s="12" t="s">
        <v>162</v>
      </c>
      <c r="G878" s="14">
        <f t="shared" ca="1" si="13"/>
        <v>76782.21944978596</v>
      </c>
      <c r="H878" s="12" t="s">
        <v>172</v>
      </c>
      <c r="I878">
        <v>0</v>
      </c>
      <c r="J878">
        <v>40</v>
      </c>
      <c r="K878" s="12" t="s">
        <v>176</v>
      </c>
      <c r="L878">
        <v>7298</v>
      </c>
      <c r="M878">
        <v>1</v>
      </c>
      <c r="O878" s="39"/>
      <c r="P878" s="15">
        <v>71387.94</v>
      </c>
      <c r="S878" s="17"/>
    </row>
    <row r="879" spans="1:19" x14ac:dyDescent="0.4">
      <c r="A879">
        <v>5086101</v>
      </c>
      <c r="B879" s="16">
        <v>35</v>
      </c>
      <c r="C879" s="12" t="s">
        <v>122</v>
      </c>
      <c r="D879" s="12" t="s">
        <v>139</v>
      </c>
      <c r="E879" s="12" t="s">
        <v>152</v>
      </c>
      <c r="F879" s="12" t="s">
        <v>162</v>
      </c>
      <c r="G879" s="14">
        <f t="shared" ca="1" si="13"/>
        <v>67066.620194009549</v>
      </c>
      <c r="H879" s="12" t="s">
        <v>172</v>
      </c>
      <c r="I879">
        <v>0</v>
      </c>
      <c r="J879">
        <v>65</v>
      </c>
      <c r="K879" s="12" t="s">
        <v>176</v>
      </c>
      <c r="L879">
        <v>0</v>
      </c>
      <c r="M879">
        <v>0</v>
      </c>
      <c r="O879" s="39"/>
      <c r="P879" s="16">
        <v>48591.21</v>
      </c>
      <c r="S879" s="17"/>
    </row>
    <row r="880" spans="1:19" x14ac:dyDescent="0.4">
      <c r="A880">
        <v>5087685</v>
      </c>
      <c r="B880" s="15">
        <v>41</v>
      </c>
      <c r="C880" s="12" t="s">
        <v>124</v>
      </c>
      <c r="D880" s="12" t="s">
        <v>134</v>
      </c>
      <c r="E880" s="12" t="s">
        <v>152</v>
      </c>
      <c r="F880" s="12" t="s">
        <v>159</v>
      </c>
      <c r="G880" s="14">
        <f t="shared" ca="1" si="13"/>
        <v>67796.978861443669</v>
      </c>
      <c r="H880" s="12" t="s">
        <v>172</v>
      </c>
      <c r="I880">
        <v>0</v>
      </c>
      <c r="J880">
        <v>50</v>
      </c>
      <c r="K880" s="12" t="s">
        <v>176</v>
      </c>
      <c r="L880">
        <v>0</v>
      </c>
      <c r="M880">
        <v>0</v>
      </c>
      <c r="O880" s="39"/>
      <c r="P880" s="15">
        <v>41275.839999999997</v>
      </c>
      <c r="S880" s="17"/>
    </row>
    <row r="881" spans="1:19" x14ac:dyDescent="0.4">
      <c r="A881">
        <v>5097839</v>
      </c>
      <c r="B881" s="16">
        <v>22</v>
      </c>
      <c r="C881" s="12" t="s">
        <v>122</v>
      </c>
      <c r="D881" s="12" t="s">
        <v>132</v>
      </c>
      <c r="E881" s="12" t="s">
        <v>150</v>
      </c>
      <c r="F881" s="12" t="s">
        <v>161</v>
      </c>
      <c r="G881" s="14">
        <f t="shared" ca="1" si="13"/>
        <v>49044.678416089613</v>
      </c>
      <c r="H881" s="12" t="s">
        <v>172</v>
      </c>
      <c r="I881">
        <v>0</v>
      </c>
      <c r="J881">
        <v>40</v>
      </c>
      <c r="K881" s="12" t="s">
        <v>176</v>
      </c>
      <c r="L881">
        <v>0</v>
      </c>
      <c r="M881">
        <v>0</v>
      </c>
      <c r="O881" s="39"/>
      <c r="P881" s="16">
        <v>26127.67</v>
      </c>
      <c r="S881" s="17"/>
    </row>
    <row r="882" spans="1:19" x14ac:dyDescent="0.4">
      <c r="A882">
        <v>5100635</v>
      </c>
      <c r="B882" s="15">
        <v>24</v>
      </c>
      <c r="C882" s="12" t="s">
        <v>122</v>
      </c>
      <c r="D882" s="12" t="s">
        <v>134</v>
      </c>
      <c r="E882" s="12" t="s">
        <v>151</v>
      </c>
      <c r="F882" s="12" t="s">
        <v>160</v>
      </c>
      <c r="G882" s="14">
        <f t="shared" ca="1" si="13"/>
        <v>173031.79583979704</v>
      </c>
      <c r="H882" s="12" t="s">
        <v>171</v>
      </c>
      <c r="I882">
        <v>0</v>
      </c>
      <c r="J882">
        <v>50</v>
      </c>
      <c r="K882" s="12" t="s">
        <v>176</v>
      </c>
      <c r="L882">
        <v>0</v>
      </c>
      <c r="M882">
        <v>0</v>
      </c>
      <c r="O882" s="39"/>
      <c r="P882" s="15">
        <v>107521.53</v>
      </c>
      <c r="S882" s="17"/>
    </row>
    <row r="883" spans="1:19" x14ac:dyDescent="0.4">
      <c r="A883">
        <v>5108328</v>
      </c>
      <c r="B883" s="16">
        <v>55</v>
      </c>
      <c r="C883" s="12" t="s">
        <v>123</v>
      </c>
      <c r="D883" s="12" t="s">
        <v>135</v>
      </c>
      <c r="E883" s="12" t="s">
        <v>152</v>
      </c>
      <c r="F883" s="12" t="s">
        <v>144</v>
      </c>
      <c r="G883" s="14">
        <f t="shared" ca="1" si="13"/>
        <v>464820.33633903356</v>
      </c>
      <c r="H883" s="12" t="s">
        <v>171</v>
      </c>
      <c r="I883">
        <v>0</v>
      </c>
      <c r="J883">
        <v>8</v>
      </c>
      <c r="K883" s="12" t="s">
        <v>176</v>
      </c>
      <c r="L883">
        <v>0</v>
      </c>
      <c r="M883">
        <v>0</v>
      </c>
      <c r="O883" s="39"/>
      <c r="P883" s="16">
        <v>330573.21000000002</v>
      </c>
      <c r="S883" s="17"/>
    </row>
    <row r="884" spans="1:19" x14ac:dyDescent="0.4">
      <c r="A884">
        <v>5110751</v>
      </c>
      <c r="B884" s="15">
        <v>27</v>
      </c>
      <c r="C884" s="12" t="s">
        <v>122</v>
      </c>
      <c r="D884" s="12" t="s">
        <v>134</v>
      </c>
      <c r="E884" s="12" t="s">
        <v>150</v>
      </c>
      <c r="F884" s="12" t="s">
        <v>164</v>
      </c>
      <c r="G884" s="14">
        <f t="shared" ca="1" si="13"/>
        <v>262060.49682993389</v>
      </c>
      <c r="H884" s="12" t="s">
        <v>172</v>
      </c>
      <c r="I884">
        <v>0</v>
      </c>
      <c r="J884">
        <v>40</v>
      </c>
      <c r="K884" s="12" t="s">
        <v>176</v>
      </c>
      <c r="L884">
        <v>0</v>
      </c>
      <c r="M884">
        <v>0</v>
      </c>
      <c r="O884" s="39"/>
      <c r="P884" s="15">
        <v>208645.63</v>
      </c>
      <c r="S884" s="17"/>
    </row>
    <row r="885" spans="1:19" x14ac:dyDescent="0.4">
      <c r="A885">
        <v>5114511</v>
      </c>
      <c r="B885" s="16">
        <v>18</v>
      </c>
      <c r="C885" s="12" t="s">
        <v>122</v>
      </c>
      <c r="D885" s="12" t="s">
        <v>139</v>
      </c>
      <c r="E885" s="12" t="s">
        <v>150</v>
      </c>
      <c r="F885" s="12" t="s">
        <v>156</v>
      </c>
      <c r="G885" s="14">
        <f t="shared" ca="1" si="13"/>
        <v>182565.81990551119</v>
      </c>
      <c r="H885" s="12" t="s">
        <v>171</v>
      </c>
      <c r="I885">
        <v>0</v>
      </c>
      <c r="J885">
        <v>15</v>
      </c>
      <c r="K885" s="12" t="s">
        <v>176</v>
      </c>
      <c r="L885">
        <v>0</v>
      </c>
      <c r="M885">
        <v>0</v>
      </c>
      <c r="O885" s="39"/>
      <c r="P885" s="16">
        <v>127276.93</v>
      </c>
      <c r="S885" s="17"/>
    </row>
    <row r="886" spans="1:19" x14ac:dyDescent="0.4">
      <c r="A886">
        <v>5118803</v>
      </c>
      <c r="B886" s="15">
        <v>45</v>
      </c>
      <c r="C886" s="12" t="s">
        <v>122</v>
      </c>
      <c r="D886" s="12" t="s">
        <v>135</v>
      </c>
      <c r="E886" s="12" t="s">
        <v>152</v>
      </c>
      <c r="F886" s="12" t="s">
        <v>144</v>
      </c>
      <c r="G886" s="14">
        <f t="shared" ca="1" si="13"/>
        <v>46393.460505555107</v>
      </c>
      <c r="H886" s="12" t="s">
        <v>172</v>
      </c>
      <c r="I886">
        <v>1977</v>
      </c>
      <c r="J886">
        <v>40</v>
      </c>
      <c r="K886" s="12" t="s">
        <v>176</v>
      </c>
      <c r="L886">
        <v>8903</v>
      </c>
      <c r="M886">
        <v>1</v>
      </c>
      <c r="O886" s="39"/>
      <c r="P886" s="15">
        <v>30060.37</v>
      </c>
      <c r="S886" s="17"/>
    </row>
    <row r="887" spans="1:19" x14ac:dyDescent="0.4">
      <c r="A887">
        <v>5121776</v>
      </c>
      <c r="B887" s="16">
        <v>22</v>
      </c>
      <c r="C887" s="12" t="s">
        <v>122</v>
      </c>
      <c r="D887" s="12" t="s">
        <v>132</v>
      </c>
      <c r="E887" s="12" t="s">
        <v>150</v>
      </c>
      <c r="F887" s="12" t="s">
        <v>158</v>
      </c>
      <c r="G887" s="14">
        <f t="shared" ca="1" si="13"/>
        <v>271720.4262251163</v>
      </c>
      <c r="H887" s="12" t="s">
        <v>171</v>
      </c>
      <c r="I887">
        <v>0</v>
      </c>
      <c r="J887">
        <v>35</v>
      </c>
      <c r="K887" s="12" t="s">
        <v>176</v>
      </c>
      <c r="L887">
        <v>0</v>
      </c>
      <c r="M887">
        <v>0</v>
      </c>
      <c r="O887" s="39"/>
      <c r="P887" s="16">
        <v>154675.1</v>
      </c>
      <c r="S887" s="17"/>
    </row>
    <row r="888" spans="1:19" x14ac:dyDescent="0.4">
      <c r="A888">
        <v>5124460</v>
      </c>
      <c r="B888" s="15">
        <v>49</v>
      </c>
      <c r="C888" s="12" t="s">
        <v>122</v>
      </c>
      <c r="D888" s="12" t="s">
        <v>137</v>
      </c>
      <c r="E888" s="12" t="s">
        <v>154</v>
      </c>
      <c r="F888" s="12" t="s">
        <v>164</v>
      </c>
      <c r="G888" s="14">
        <f t="shared" ca="1" si="13"/>
        <v>39919.041503372333</v>
      </c>
      <c r="H888" s="12" t="s">
        <v>172</v>
      </c>
      <c r="I888">
        <v>920</v>
      </c>
      <c r="J888">
        <v>42</v>
      </c>
      <c r="K888" s="12" t="s">
        <v>176</v>
      </c>
      <c r="L888">
        <v>0</v>
      </c>
      <c r="M888">
        <v>0</v>
      </c>
      <c r="O888" s="39"/>
      <c r="P888" s="15">
        <v>25113.040000000001</v>
      </c>
      <c r="S888" s="17"/>
    </row>
    <row r="889" spans="1:19" x14ac:dyDescent="0.4">
      <c r="A889">
        <v>5132331</v>
      </c>
      <c r="B889" s="16">
        <v>36</v>
      </c>
      <c r="C889" s="12" t="s">
        <v>122</v>
      </c>
      <c r="D889" s="12" t="s">
        <v>134</v>
      </c>
      <c r="E889" s="12" t="s">
        <v>151</v>
      </c>
      <c r="F889" s="12" t="s">
        <v>156</v>
      </c>
      <c r="G889" s="14">
        <f t="shared" ca="1" si="13"/>
        <v>130901.04207985275</v>
      </c>
      <c r="H889" s="12" t="s">
        <v>171</v>
      </c>
      <c r="I889">
        <v>0</v>
      </c>
      <c r="J889">
        <v>30</v>
      </c>
      <c r="K889" s="12" t="s">
        <v>176</v>
      </c>
      <c r="L889">
        <v>0</v>
      </c>
      <c r="M889">
        <v>0</v>
      </c>
      <c r="O889" s="39"/>
      <c r="P889" s="16">
        <v>93966.02</v>
      </c>
      <c r="S889" s="17"/>
    </row>
    <row r="890" spans="1:19" x14ac:dyDescent="0.4">
      <c r="A890">
        <v>5151739</v>
      </c>
      <c r="B890" s="15">
        <v>73</v>
      </c>
      <c r="C890" s="12" t="s">
        <v>129</v>
      </c>
      <c r="D890" s="12" t="s">
        <v>134</v>
      </c>
      <c r="E890" s="12" t="s">
        <v>153</v>
      </c>
      <c r="F890" s="12" t="s">
        <v>129</v>
      </c>
      <c r="G890" s="14">
        <f t="shared" ca="1" si="13"/>
        <v>63305.142181685893</v>
      </c>
      <c r="H890" s="12" t="s">
        <v>171</v>
      </c>
      <c r="I890">
        <v>0</v>
      </c>
      <c r="J890">
        <v>8</v>
      </c>
      <c r="K890" s="12" t="s">
        <v>176</v>
      </c>
      <c r="L890">
        <v>0</v>
      </c>
      <c r="M890">
        <v>0</v>
      </c>
      <c r="O890" s="39"/>
      <c r="P890" s="15">
        <v>44046.63</v>
      </c>
      <c r="S890" s="17"/>
    </row>
    <row r="891" spans="1:19" x14ac:dyDescent="0.4">
      <c r="A891">
        <v>5157458</v>
      </c>
      <c r="B891" s="16">
        <v>19</v>
      </c>
      <c r="C891" s="12" t="s">
        <v>126</v>
      </c>
      <c r="D891" s="12" t="s">
        <v>136</v>
      </c>
      <c r="E891" s="12" t="s">
        <v>150</v>
      </c>
      <c r="F891" s="12" t="s">
        <v>157</v>
      </c>
      <c r="G891" s="14">
        <f t="shared" ca="1" si="13"/>
        <v>147413.97748917376</v>
      </c>
      <c r="H891" s="12" t="s">
        <v>172</v>
      </c>
      <c r="I891">
        <v>0</v>
      </c>
      <c r="J891">
        <v>20</v>
      </c>
      <c r="K891" s="12" t="s">
        <v>176</v>
      </c>
      <c r="L891">
        <v>0</v>
      </c>
      <c r="M891">
        <v>0</v>
      </c>
      <c r="O891" s="39"/>
      <c r="P891" s="16">
        <v>100155.39</v>
      </c>
      <c r="S891" s="17"/>
    </row>
    <row r="892" spans="1:19" x14ac:dyDescent="0.4">
      <c r="A892">
        <v>5162451</v>
      </c>
      <c r="B892" s="15">
        <v>37</v>
      </c>
      <c r="C892" s="12" t="s">
        <v>122</v>
      </c>
      <c r="D892" s="12" t="s">
        <v>135</v>
      </c>
      <c r="E892" s="12" t="s">
        <v>152</v>
      </c>
      <c r="F892" s="12" t="s">
        <v>160</v>
      </c>
      <c r="G892" s="14">
        <f t="shared" ca="1" si="13"/>
        <v>27540.678782687879</v>
      </c>
      <c r="H892" s="12" t="s">
        <v>172</v>
      </c>
      <c r="I892">
        <v>0</v>
      </c>
      <c r="J892">
        <v>50</v>
      </c>
      <c r="K892" s="12" t="s">
        <v>176</v>
      </c>
      <c r="L892">
        <v>0</v>
      </c>
      <c r="M892">
        <v>1</v>
      </c>
      <c r="O892" s="39"/>
      <c r="P892" s="15">
        <v>15834.6</v>
      </c>
      <c r="S892" s="17"/>
    </row>
    <row r="893" spans="1:19" x14ac:dyDescent="0.4">
      <c r="A893">
        <v>5168625</v>
      </c>
      <c r="B893" s="16">
        <v>21</v>
      </c>
      <c r="C893" s="12" t="s">
        <v>129</v>
      </c>
      <c r="D893" s="12" t="s">
        <v>132</v>
      </c>
      <c r="E893" s="12" t="s">
        <v>150</v>
      </c>
      <c r="F893" s="12" t="s">
        <v>129</v>
      </c>
      <c r="G893" s="14">
        <f t="shared" ca="1" si="13"/>
        <v>209197.49029506114</v>
      </c>
      <c r="H893" s="12" t="s">
        <v>172</v>
      </c>
      <c r="I893">
        <v>0</v>
      </c>
      <c r="J893">
        <v>10</v>
      </c>
      <c r="K893" s="12" t="s">
        <v>176</v>
      </c>
      <c r="L893">
        <v>0</v>
      </c>
      <c r="M893">
        <v>0</v>
      </c>
      <c r="O893" s="39"/>
      <c r="P893" s="16">
        <v>107108.44</v>
      </c>
      <c r="S893" s="17"/>
    </row>
    <row r="894" spans="1:19" x14ac:dyDescent="0.4">
      <c r="A894">
        <v>5185133</v>
      </c>
      <c r="B894" s="15">
        <v>46</v>
      </c>
      <c r="C894" s="12" t="s">
        <v>122</v>
      </c>
      <c r="D894" s="12" t="s">
        <v>133</v>
      </c>
      <c r="E894" s="12" t="s">
        <v>152</v>
      </c>
      <c r="F894" s="12" t="s">
        <v>157</v>
      </c>
      <c r="G894" s="14">
        <f t="shared" ca="1" si="13"/>
        <v>94698.371291898642</v>
      </c>
      <c r="H894" s="12" t="s">
        <v>172</v>
      </c>
      <c r="I894">
        <v>0</v>
      </c>
      <c r="J894">
        <v>36</v>
      </c>
      <c r="K894" s="12" t="s">
        <v>176</v>
      </c>
      <c r="L894">
        <v>0</v>
      </c>
      <c r="M894">
        <v>0</v>
      </c>
      <c r="O894" s="39"/>
      <c r="P894" s="15">
        <v>48465.11</v>
      </c>
      <c r="S894" s="17"/>
    </row>
    <row r="895" spans="1:19" x14ac:dyDescent="0.4">
      <c r="A895">
        <v>5185185</v>
      </c>
      <c r="B895" s="16">
        <v>66</v>
      </c>
      <c r="C895" s="12" t="s">
        <v>129</v>
      </c>
      <c r="D895" s="12" t="s">
        <v>137</v>
      </c>
      <c r="E895" s="12" t="s">
        <v>153</v>
      </c>
      <c r="F895" s="12" t="s">
        <v>129</v>
      </c>
      <c r="G895" s="14">
        <f t="shared" ca="1" si="13"/>
        <v>61274.303207875208</v>
      </c>
      <c r="H895" s="12" t="s">
        <v>171</v>
      </c>
      <c r="I895">
        <v>0</v>
      </c>
      <c r="J895">
        <v>40</v>
      </c>
      <c r="K895" s="12" t="s">
        <v>176</v>
      </c>
      <c r="L895">
        <v>0</v>
      </c>
      <c r="M895">
        <v>0</v>
      </c>
      <c r="O895" s="39"/>
      <c r="P895" s="16">
        <v>54347.79</v>
      </c>
      <c r="S895" s="17"/>
    </row>
    <row r="896" spans="1:19" x14ac:dyDescent="0.4">
      <c r="A896">
        <v>5189066</v>
      </c>
      <c r="B896" s="15">
        <v>54</v>
      </c>
      <c r="C896" s="12" t="s">
        <v>124</v>
      </c>
      <c r="D896" s="12" t="s">
        <v>134</v>
      </c>
      <c r="E896" s="12" t="s">
        <v>152</v>
      </c>
      <c r="F896" s="12" t="s">
        <v>160</v>
      </c>
      <c r="G896" s="14">
        <f t="shared" ca="1" si="13"/>
        <v>55596.136532117729</v>
      </c>
      <c r="H896" s="12" t="s">
        <v>172</v>
      </c>
      <c r="I896">
        <v>0</v>
      </c>
      <c r="J896">
        <v>98</v>
      </c>
      <c r="K896" s="12" t="s">
        <v>176</v>
      </c>
      <c r="L896">
        <v>2446</v>
      </c>
      <c r="M896">
        <v>1</v>
      </c>
      <c r="O896" s="39"/>
      <c r="P896" s="15">
        <v>45259.14</v>
      </c>
      <c r="S896" s="17"/>
    </row>
    <row r="897" spans="1:19" x14ac:dyDescent="0.4">
      <c r="A897">
        <v>5192673</v>
      </c>
      <c r="B897" s="16">
        <v>65</v>
      </c>
      <c r="C897" s="12" t="s">
        <v>122</v>
      </c>
      <c r="D897" s="12" t="s">
        <v>135</v>
      </c>
      <c r="E897" s="12" t="s">
        <v>152</v>
      </c>
      <c r="F897" s="12" t="s">
        <v>160</v>
      </c>
      <c r="G897" s="14">
        <f t="shared" ca="1" si="13"/>
        <v>54868.404654729413</v>
      </c>
      <c r="H897" s="12" t="s">
        <v>172</v>
      </c>
      <c r="I897">
        <v>0</v>
      </c>
      <c r="J897">
        <v>40</v>
      </c>
      <c r="K897" s="12" t="s">
        <v>176</v>
      </c>
      <c r="L897">
        <v>5541</v>
      </c>
      <c r="M897">
        <v>1</v>
      </c>
      <c r="O897" s="39"/>
      <c r="P897" s="16">
        <v>43736.99</v>
      </c>
      <c r="S897" s="17"/>
    </row>
    <row r="898" spans="1:19" x14ac:dyDescent="0.4">
      <c r="A898">
        <v>5195494</v>
      </c>
      <c r="B898" s="15">
        <v>45</v>
      </c>
      <c r="C898" s="12" t="s">
        <v>122</v>
      </c>
      <c r="D898" s="12" t="s">
        <v>132</v>
      </c>
      <c r="E898" s="12" t="s">
        <v>152</v>
      </c>
      <c r="F898" s="12" t="s">
        <v>159</v>
      </c>
      <c r="G898" s="14">
        <f t="shared" ca="1" si="13"/>
        <v>57770.447107929162</v>
      </c>
      <c r="H898" s="12" t="s">
        <v>172</v>
      </c>
      <c r="I898">
        <v>0</v>
      </c>
      <c r="J898">
        <v>40</v>
      </c>
      <c r="K898" s="12" t="s">
        <v>176</v>
      </c>
      <c r="L898">
        <v>0</v>
      </c>
      <c r="M898">
        <v>1</v>
      </c>
      <c r="O898" s="39"/>
      <c r="P898" s="15">
        <v>35352.57</v>
      </c>
      <c r="S898" s="17"/>
    </row>
    <row r="899" spans="1:19" x14ac:dyDescent="0.4">
      <c r="A899">
        <v>5195824</v>
      </c>
      <c r="B899" s="16">
        <v>44</v>
      </c>
      <c r="C899" s="12" t="s">
        <v>122</v>
      </c>
      <c r="D899" s="12" t="s">
        <v>134</v>
      </c>
      <c r="E899" s="12" t="s">
        <v>150</v>
      </c>
      <c r="F899" s="12" t="s">
        <v>159</v>
      </c>
      <c r="G899" s="14">
        <f t="shared" ca="1" si="13"/>
        <v>138133.55928994779</v>
      </c>
      <c r="H899" s="12" t="s">
        <v>172</v>
      </c>
      <c r="I899">
        <v>0</v>
      </c>
      <c r="J899">
        <v>60</v>
      </c>
      <c r="K899" s="12" t="s">
        <v>176</v>
      </c>
      <c r="L899">
        <v>0</v>
      </c>
      <c r="M899">
        <v>0</v>
      </c>
      <c r="O899" s="39"/>
      <c r="P899" s="16">
        <v>89285.95</v>
      </c>
      <c r="S899" s="17"/>
    </row>
    <row r="900" spans="1:19" x14ac:dyDescent="0.4">
      <c r="A900">
        <v>5198017</v>
      </c>
      <c r="B900" s="15">
        <v>59</v>
      </c>
      <c r="C900" s="12" t="s">
        <v>125</v>
      </c>
      <c r="D900" s="12" t="s">
        <v>134</v>
      </c>
      <c r="E900" s="12" t="s">
        <v>152</v>
      </c>
      <c r="F900" s="12" t="s">
        <v>158</v>
      </c>
      <c r="G900" s="14">
        <f t="shared" ca="1" si="13"/>
        <v>105814.95517759754</v>
      </c>
      <c r="H900" s="12" t="s">
        <v>171</v>
      </c>
      <c r="I900">
        <v>0</v>
      </c>
      <c r="J900">
        <v>38</v>
      </c>
      <c r="K900" s="12" t="s">
        <v>176</v>
      </c>
      <c r="L900">
        <v>11409</v>
      </c>
      <c r="M900">
        <v>1</v>
      </c>
      <c r="O900" s="39"/>
      <c r="P900" s="15">
        <v>91243.71</v>
      </c>
      <c r="S900" s="17"/>
    </row>
    <row r="901" spans="1:19" x14ac:dyDescent="0.4">
      <c r="A901">
        <v>5198986</v>
      </c>
      <c r="B901" s="16">
        <v>22</v>
      </c>
      <c r="C901" s="12" t="s">
        <v>122</v>
      </c>
      <c r="D901" s="12" t="s">
        <v>132</v>
      </c>
      <c r="E901" s="12" t="s">
        <v>150</v>
      </c>
      <c r="F901" s="12" t="s">
        <v>159</v>
      </c>
      <c r="G901" s="14">
        <f t="shared" ca="1" si="13"/>
        <v>406196.32652692514</v>
      </c>
      <c r="H901" s="12" t="s">
        <v>172</v>
      </c>
      <c r="I901">
        <v>0</v>
      </c>
      <c r="J901">
        <v>40</v>
      </c>
      <c r="K901" s="12" t="s">
        <v>176</v>
      </c>
      <c r="L901">
        <v>0</v>
      </c>
      <c r="M901">
        <v>0</v>
      </c>
      <c r="O901" s="39"/>
      <c r="P901" s="16">
        <v>285526.27</v>
      </c>
      <c r="S901" s="17"/>
    </row>
    <row r="902" spans="1:19" x14ac:dyDescent="0.4">
      <c r="A902">
        <v>5199683</v>
      </c>
      <c r="B902" s="15">
        <v>32</v>
      </c>
      <c r="C902" s="12" t="s">
        <v>125</v>
      </c>
      <c r="D902" s="12" t="s">
        <v>134</v>
      </c>
      <c r="E902" s="12" t="s">
        <v>152</v>
      </c>
      <c r="F902" s="12" t="s">
        <v>156</v>
      </c>
      <c r="G902" s="14">
        <f t="shared" ca="1" si="13"/>
        <v>23262.617268286682</v>
      </c>
      <c r="H902" s="12" t="s">
        <v>172</v>
      </c>
      <c r="I902">
        <v>0</v>
      </c>
      <c r="J902">
        <v>41</v>
      </c>
      <c r="K902" s="12" t="s">
        <v>176</v>
      </c>
      <c r="L902">
        <v>0</v>
      </c>
      <c r="M902">
        <v>0</v>
      </c>
      <c r="O902" s="39"/>
      <c r="P902" s="15">
        <v>15392.23</v>
      </c>
      <c r="S902" s="17"/>
    </row>
    <row r="903" spans="1:19" x14ac:dyDescent="0.4">
      <c r="A903">
        <v>5201451</v>
      </c>
      <c r="B903" s="16">
        <v>61</v>
      </c>
      <c r="C903" s="12" t="s">
        <v>122</v>
      </c>
      <c r="D903" s="12" t="s">
        <v>134</v>
      </c>
      <c r="E903" s="12" t="s">
        <v>152</v>
      </c>
      <c r="F903" s="12" t="s">
        <v>161</v>
      </c>
      <c r="G903" s="14">
        <f t="shared" ca="1" si="13"/>
        <v>39641.048938818982</v>
      </c>
      <c r="H903" s="12" t="s">
        <v>172</v>
      </c>
      <c r="I903">
        <v>0</v>
      </c>
      <c r="J903">
        <v>40</v>
      </c>
      <c r="K903" s="12" t="s">
        <v>176</v>
      </c>
      <c r="L903">
        <v>0</v>
      </c>
      <c r="M903">
        <v>0</v>
      </c>
      <c r="O903" s="39"/>
      <c r="P903" s="16">
        <v>34720.61</v>
      </c>
      <c r="S903" s="17"/>
    </row>
    <row r="904" spans="1:19" x14ac:dyDescent="0.4">
      <c r="A904">
        <v>5201637</v>
      </c>
      <c r="B904" s="15">
        <v>35</v>
      </c>
      <c r="C904" s="12" t="s">
        <v>122</v>
      </c>
      <c r="D904" s="12" t="s">
        <v>132</v>
      </c>
      <c r="E904" s="12" t="s">
        <v>152</v>
      </c>
      <c r="F904" s="12" t="s">
        <v>160</v>
      </c>
      <c r="G904" s="14">
        <f t="shared" ca="1" si="13"/>
        <v>54512.767838145104</v>
      </c>
      <c r="H904" s="12" t="s">
        <v>172</v>
      </c>
      <c r="I904">
        <v>0</v>
      </c>
      <c r="J904">
        <v>60</v>
      </c>
      <c r="K904" s="12" t="s">
        <v>176</v>
      </c>
      <c r="L904">
        <v>15024</v>
      </c>
      <c r="M904">
        <v>1</v>
      </c>
      <c r="O904" s="39"/>
      <c r="P904" s="15">
        <v>41900.160000000003</v>
      </c>
      <c r="S904" s="17"/>
    </row>
    <row r="905" spans="1:19" x14ac:dyDescent="0.4">
      <c r="A905">
        <v>5209691</v>
      </c>
      <c r="B905" s="16">
        <v>44</v>
      </c>
      <c r="C905" s="12" t="s">
        <v>122</v>
      </c>
      <c r="D905" s="12" t="s">
        <v>132</v>
      </c>
      <c r="E905" s="12" t="s">
        <v>152</v>
      </c>
      <c r="F905" s="12" t="s">
        <v>144</v>
      </c>
      <c r="G905" s="14">
        <f t="shared" ca="1" si="13"/>
        <v>97955.668475955827</v>
      </c>
      <c r="H905" s="12" t="s">
        <v>172</v>
      </c>
      <c r="I905">
        <v>0</v>
      </c>
      <c r="J905">
        <v>40</v>
      </c>
      <c r="K905" s="12" t="s">
        <v>176</v>
      </c>
      <c r="L905">
        <v>88402</v>
      </c>
      <c r="M905">
        <v>1</v>
      </c>
      <c r="O905" s="39"/>
      <c r="P905" s="16">
        <v>50153.16</v>
      </c>
      <c r="S905" s="17"/>
    </row>
    <row r="906" spans="1:19" x14ac:dyDescent="0.4">
      <c r="A906">
        <v>5210369</v>
      </c>
      <c r="B906" s="15">
        <v>26</v>
      </c>
      <c r="C906" s="12" t="s">
        <v>122</v>
      </c>
      <c r="D906" s="12" t="s">
        <v>132</v>
      </c>
      <c r="E906" s="12" t="s">
        <v>150</v>
      </c>
      <c r="F906" s="12" t="s">
        <v>166</v>
      </c>
      <c r="G906" s="14">
        <f t="shared" ca="1" si="13"/>
        <v>86030.476195411757</v>
      </c>
      <c r="H906" s="12" t="s">
        <v>172</v>
      </c>
      <c r="I906">
        <v>0</v>
      </c>
      <c r="J906">
        <v>44</v>
      </c>
      <c r="K906" s="12" t="s">
        <v>176</v>
      </c>
      <c r="L906">
        <v>0</v>
      </c>
      <c r="M906">
        <v>0</v>
      </c>
      <c r="O906" s="39"/>
      <c r="P906" s="15">
        <v>84098.64</v>
      </c>
      <c r="S906" s="17"/>
    </row>
    <row r="907" spans="1:19" x14ac:dyDescent="0.4">
      <c r="A907">
        <v>5220053</v>
      </c>
      <c r="B907" s="16">
        <v>35</v>
      </c>
      <c r="C907" s="12" t="s">
        <v>122</v>
      </c>
      <c r="D907" s="12" t="s">
        <v>135</v>
      </c>
      <c r="E907" s="12" t="s">
        <v>152</v>
      </c>
      <c r="F907" s="12" t="s">
        <v>144</v>
      </c>
      <c r="G907" s="14">
        <f t="shared" ref="G907:G970" ca="1" si="14">P907*(1+RAND())</f>
        <v>71095.613437882639</v>
      </c>
      <c r="H907" s="12" t="s">
        <v>172</v>
      </c>
      <c r="I907">
        <v>0</v>
      </c>
      <c r="J907">
        <v>50</v>
      </c>
      <c r="K907" s="12" t="s">
        <v>176</v>
      </c>
      <c r="L907">
        <v>0</v>
      </c>
      <c r="M907">
        <v>0</v>
      </c>
      <c r="O907" s="39"/>
      <c r="P907" s="16">
        <v>35840.089999999997</v>
      </c>
      <c r="S907" s="17"/>
    </row>
    <row r="908" spans="1:19" x14ac:dyDescent="0.4">
      <c r="A908">
        <v>5224758</v>
      </c>
      <c r="B908" s="15">
        <v>27</v>
      </c>
      <c r="C908" s="12" t="s">
        <v>122</v>
      </c>
      <c r="D908" s="12" t="s">
        <v>134</v>
      </c>
      <c r="E908" s="12" t="s">
        <v>152</v>
      </c>
      <c r="F908" s="12" t="s">
        <v>164</v>
      </c>
      <c r="G908" s="14">
        <f t="shared" ca="1" si="14"/>
        <v>42949.113812152653</v>
      </c>
      <c r="H908" s="12" t="s">
        <v>172</v>
      </c>
      <c r="I908">
        <v>0</v>
      </c>
      <c r="J908">
        <v>80</v>
      </c>
      <c r="K908" s="12" t="s">
        <v>176</v>
      </c>
      <c r="L908">
        <v>485</v>
      </c>
      <c r="M908">
        <v>1</v>
      </c>
      <c r="O908" s="39"/>
      <c r="P908" s="15">
        <v>33613.769999999997</v>
      </c>
      <c r="S908" s="17"/>
    </row>
    <row r="909" spans="1:19" x14ac:dyDescent="0.4">
      <c r="A909">
        <v>5226913</v>
      </c>
      <c r="B909" s="16">
        <v>50</v>
      </c>
      <c r="C909" s="12" t="s">
        <v>129</v>
      </c>
      <c r="D909" s="12" t="s">
        <v>138</v>
      </c>
      <c r="E909" s="12" t="s">
        <v>150</v>
      </c>
      <c r="F909" s="12" t="s">
        <v>129</v>
      </c>
      <c r="G909" s="14">
        <f t="shared" ca="1" si="14"/>
        <v>140587.6046290654</v>
      </c>
      <c r="H909" s="12" t="s">
        <v>172</v>
      </c>
      <c r="I909">
        <v>0</v>
      </c>
      <c r="J909">
        <v>40</v>
      </c>
      <c r="K909" s="12" t="s">
        <v>176</v>
      </c>
      <c r="L909">
        <v>0</v>
      </c>
      <c r="M909">
        <v>0</v>
      </c>
      <c r="O909" s="39"/>
      <c r="P909" s="16">
        <v>85184.47</v>
      </c>
      <c r="S909" s="17"/>
    </row>
    <row r="910" spans="1:19" x14ac:dyDescent="0.4">
      <c r="A910">
        <v>5233423</v>
      </c>
      <c r="B910" s="15">
        <v>57</v>
      </c>
      <c r="C910" s="12" t="s">
        <v>122</v>
      </c>
      <c r="D910" s="12" t="s">
        <v>134</v>
      </c>
      <c r="E910" s="12" t="s">
        <v>152</v>
      </c>
      <c r="F910" s="12" t="s">
        <v>160</v>
      </c>
      <c r="G910" s="14">
        <f t="shared" ca="1" si="14"/>
        <v>192603.13418130769</v>
      </c>
      <c r="H910" s="12" t="s">
        <v>171</v>
      </c>
      <c r="I910">
        <v>0</v>
      </c>
      <c r="J910">
        <v>38</v>
      </c>
      <c r="K910" s="12" t="s">
        <v>176</v>
      </c>
      <c r="L910">
        <v>0</v>
      </c>
      <c r="M910">
        <v>0</v>
      </c>
      <c r="O910" s="39"/>
      <c r="P910" s="15">
        <v>180527.55</v>
      </c>
      <c r="S910" s="17"/>
    </row>
    <row r="911" spans="1:19" x14ac:dyDescent="0.4">
      <c r="A911">
        <v>5234467</v>
      </c>
      <c r="B911" s="16">
        <v>45</v>
      </c>
      <c r="C911" s="12" t="s">
        <v>122</v>
      </c>
      <c r="D911" s="12" t="s">
        <v>135</v>
      </c>
      <c r="E911" s="12" t="s">
        <v>152</v>
      </c>
      <c r="F911" s="12" t="s">
        <v>160</v>
      </c>
      <c r="G911" s="14">
        <f t="shared" ca="1" si="14"/>
        <v>79783.662450094969</v>
      </c>
      <c r="H911" s="12" t="s">
        <v>172</v>
      </c>
      <c r="I911">
        <v>0</v>
      </c>
      <c r="J911">
        <v>60</v>
      </c>
      <c r="K911" s="12" t="s">
        <v>176</v>
      </c>
      <c r="L911">
        <v>7119</v>
      </c>
      <c r="M911">
        <v>1</v>
      </c>
      <c r="O911" s="39"/>
      <c r="P911" s="16">
        <v>49376.01</v>
      </c>
      <c r="S911" s="17"/>
    </row>
    <row r="912" spans="1:19" x14ac:dyDescent="0.4">
      <c r="A912">
        <v>5235838</v>
      </c>
      <c r="B912" s="15">
        <v>33</v>
      </c>
      <c r="C912" s="12" t="s">
        <v>122</v>
      </c>
      <c r="D912" s="12" t="s">
        <v>135</v>
      </c>
      <c r="E912" s="12" t="s">
        <v>152</v>
      </c>
      <c r="F912" s="12" t="s">
        <v>160</v>
      </c>
      <c r="G912" s="14">
        <f t="shared" ca="1" si="14"/>
        <v>52282.813017629385</v>
      </c>
      <c r="H912" s="12" t="s">
        <v>172</v>
      </c>
      <c r="I912">
        <v>0</v>
      </c>
      <c r="J912">
        <v>50</v>
      </c>
      <c r="K912" s="12" t="s">
        <v>176</v>
      </c>
      <c r="L912">
        <v>2452</v>
      </c>
      <c r="M912">
        <v>1</v>
      </c>
      <c r="O912" s="39"/>
      <c r="P912" s="15">
        <v>32526.41</v>
      </c>
      <c r="S912" s="17"/>
    </row>
    <row r="913" spans="1:19" x14ac:dyDescent="0.4">
      <c r="A913">
        <v>5252390</v>
      </c>
      <c r="B913" s="16">
        <v>34</v>
      </c>
      <c r="C913" s="12" t="s">
        <v>122</v>
      </c>
      <c r="D913" s="12" t="s">
        <v>134</v>
      </c>
      <c r="E913" s="12" t="s">
        <v>151</v>
      </c>
      <c r="F913" s="12" t="s">
        <v>158</v>
      </c>
      <c r="G913" s="14">
        <f t="shared" ca="1" si="14"/>
        <v>368153.43070024101</v>
      </c>
      <c r="H913" s="12" t="s">
        <v>172</v>
      </c>
      <c r="I913">
        <v>0</v>
      </c>
      <c r="J913">
        <v>40</v>
      </c>
      <c r="K913" s="12" t="s">
        <v>176</v>
      </c>
      <c r="L913">
        <v>0</v>
      </c>
      <c r="M913">
        <v>0</v>
      </c>
      <c r="O913" s="39"/>
      <c r="P913" s="16">
        <v>193043.03</v>
      </c>
      <c r="S913" s="17"/>
    </row>
    <row r="914" spans="1:19" x14ac:dyDescent="0.4">
      <c r="A914">
        <v>5256627</v>
      </c>
      <c r="B914" s="15">
        <v>67</v>
      </c>
      <c r="C914" s="12" t="s">
        <v>129</v>
      </c>
      <c r="D914" s="12" t="s">
        <v>134</v>
      </c>
      <c r="E914" s="12" t="s">
        <v>152</v>
      </c>
      <c r="F914" s="12" t="s">
        <v>129</v>
      </c>
      <c r="G914" s="14">
        <f t="shared" ca="1" si="14"/>
        <v>16559.187864394193</v>
      </c>
      <c r="H914" s="12" t="s">
        <v>172</v>
      </c>
      <c r="I914">
        <v>0</v>
      </c>
      <c r="J914">
        <v>11</v>
      </c>
      <c r="K914" s="12" t="s">
        <v>176</v>
      </c>
      <c r="L914">
        <v>0</v>
      </c>
      <c r="M914">
        <v>0</v>
      </c>
      <c r="O914" s="39"/>
      <c r="P914" s="15">
        <v>14349.23</v>
      </c>
      <c r="S914" s="17"/>
    </row>
    <row r="915" spans="1:19" x14ac:dyDescent="0.4">
      <c r="A915">
        <v>5257032</v>
      </c>
      <c r="B915" s="16">
        <v>29</v>
      </c>
      <c r="C915" s="12" t="s">
        <v>122</v>
      </c>
      <c r="D915" s="12" t="s">
        <v>132</v>
      </c>
      <c r="E915" s="12" t="s">
        <v>152</v>
      </c>
      <c r="F915" s="12" t="s">
        <v>159</v>
      </c>
      <c r="G915" s="14">
        <f t="shared" ca="1" si="14"/>
        <v>19446.096870072412</v>
      </c>
      <c r="H915" s="12" t="s">
        <v>172</v>
      </c>
      <c r="I915">
        <v>0</v>
      </c>
      <c r="J915">
        <v>40</v>
      </c>
      <c r="K915" s="12" t="s">
        <v>177</v>
      </c>
      <c r="L915">
        <v>9384</v>
      </c>
      <c r="M915">
        <v>1</v>
      </c>
      <c r="O915" s="39"/>
      <c r="P915" s="16">
        <v>14845.09</v>
      </c>
      <c r="S915" s="17"/>
    </row>
    <row r="916" spans="1:19" x14ac:dyDescent="0.4">
      <c r="A916">
        <v>5258259</v>
      </c>
      <c r="B916" s="15">
        <v>44</v>
      </c>
      <c r="C916" s="12" t="s">
        <v>122</v>
      </c>
      <c r="D916" s="12" t="s">
        <v>135</v>
      </c>
      <c r="E916" s="12" t="s">
        <v>152</v>
      </c>
      <c r="F916" s="12" t="s">
        <v>160</v>
      </c>
      <c r="G916" s="14">
        <f t="shared" ca="1" si="14"/>
        <v>37489.392318295315</v>
      </c>
      <c r="H916" s="12" t="s">
        <v>172</v>
      </c>
      <c r="I916">
        <v>0</v>
      </c>
      <c r="J916">
        <v>40</v>
      </c>
      <c r="K916" s="12" t="s">
        <v>176</v>
      </c>
      <c r="L916">
        <v>2851</v>
      </c>
      <c r="M916">
        <v>1</v>
      </c>
      <c r="O916" s="39"/>
      <c r="P916" s="15">
        <v>33987.25</v>
      </c>
      <c r="S916" s="17"/>
    </row>
    <row r="917" spans="1:19" x14ac:dyDescent="0.4">
      <c r="A917">
        <v>5263682</v>
      </c>
      <c r="B917" s="16">
        <v>21</v>
      </c>
      <c r="C917" s="12" t="s">
        <v>122</v>
      </c>
      <c r="D917" s="12" t="s">
        <v>134</v>
      </c>
      <c r="E917" s="12" t="s">
        <v>150</v>
      </c>
      <c r="F917" s="12" t="s">
        <v>165</v>
      </c>
      <c r="G917" s="14">
        <f t="shared" ca="1" si="14"/>
        <v>270568.640536558</v>
      </c>
      <c r="H917" s="12" t="s">
        <v>172</v>
      </c>
      <c r="I917">
        <v>0</v>
      </c>
      <c r="J917">
        <v>20</v>
      </c>
      <c r="K917" s="12" t="s">
        <v>176</v>
      </c>
      <c r="L917">
        <v>0</v>
      </c>
      <c r="M917">
        <v>0</v>
      </c>
      <c r="O917" s="39"/>
      <c r="P917" s="16">
        <v>177077.59</v>
      </c>
      <c r="S917" s="17"/>
    </row>
    <row r="918" spans="1:19" x14ac:dyDescent="0.4">
      <c r="A918">
        <v>5268572</v>
      </c>
      <c r="B918" s="15">
        <v>33</v>
      </c>
      <c r="C918" s="12" t="s">
        <v>126</v>
      </c>
      <c r="D918" s="12" t="s">
        <v>134</v>
      </c>
      <c r="E918" s="12" t="s">
        <v>152</v>
      </c>
      <c r="F918" s="12" t="s">
        <v>163</v>
      </c>
      <c r="G918" s="14">
        <f t="shared" ca="1" si="14"/>
        <v>10631.509507847635</v>
      </c>
      <c r="H918" s="12" t="s">
        <v>172</v>
      </c>
      <c r="I918">
        <v>0</v>
      </c>
      <c r="J918">
        <v>40</v>
      </c>
      <c r="K918" s="12" t="s">
        <v>176</v>
      </c>
      <c r="L918">
        <v>0</v>
      </c>
      <c r="M918">
        <v>0</v>
      </c>
      <c r="O918" s="39"/>
      <c r="P918" s="15">
        <v>10137.31</v>
      </c>
      <c r="S918" s="17"/>
    </row>
    <row r="919" spans="1:19" x14ac:dyDescent="0.4">
      <c r="A919">
        <v>5268782</v>
      </c>
      <c r="B919" s="16">
        <v>49</v>
      </c>
      <c r="C919" s="12" t="s">
        <v>122</v>
      </c>
      <c r="D919" s="12" t="s">
        <v>135</v>
      </c>
      <c r="E919" s="12" t="s">
        <v>152</v>
      </c>
      <c r="F919" s="12" t="s">
        <v>144</v>
      </c>
      <c r="G919" s="14">
        <f t="shared" ca="1" si="14"/>
        <v>98826.724017426212</v>
      </c>
      <c r="H919" s="12" t="s">
        <v>172</v>
      </c>
      <c r="I919">
        <v>0</v>
      </c>
      <c r="J919">
        <v>40</v>
      </c>
      <c r="K919" s="12" t="s">
        <v>202</v>
      </c>
      <c r="L919">
        <v>0</v>
      </c>
      <c r="M919">
        <v>0</v>
      </c>
      <c r="O919" s="39"/>
      <c r="P919" s="16">
        <v>50834.09</v>
      </c>
      <c r="S919" s="17"/>
    </row>
    <row r="920" spans="1:19" x14ac:dyDescent="0.4">
      <c r="A920">
        <v>5269457</v>
      </c>
      <c r="B920" s="15">
        <v>31</v>
      </c>
      <c r="C920" s="12" t="s">
        <v>122</v>
      </c>
      <c r="D920" s="12" t="s">
        <v>132</v>
      </c>
      <c r="E920" s="12" t="s">
        <v>151</v>
      </c>
      <c r="F920" s="12" t="s">
        <v>158</v>
      </c>
      <c r="G920" s="14">
        <f t="shared" ca="1" si="14"/>
        <v>277105.48436083598</v>
      </c>
      <c r="H920" s="12" t="s">
        <v>171</v>
      </c>
      <c r="I920">
        <v>0</v>
      </c>
      <c r="J920">
        <v>40</v>
      </c>
      <c r="K920" s="12" t="s">
        <v>176</v>
      </c>
      <c r="L920">
        <v>0</v>
      </c>
      <c r="M920">
        <v>0</v>
      </c>
      <c r="O920" s="39"/>
      <c r="P920" s="15">
        <v>234830.21</v>
      </c>
      <c r="S920" s="17"/>
    </row>
    <row r="921" spans="1:19" x14ac:dyDescent="0.4">
      <c r="A921">
        <v>5282093</v>
      </c>
      <c r="B921" s="16">
        <v>19</v>
      </c>
      <c r="C921" s="12" t="s">
        <v>123</v>
      </c>
      <c r="D921" s="12" t="s">
        <v>134</v>
      </c>
      <c r="E921" s="12" t="s">
        <v>150</v>
      </c>
      <c r="F921" s="12" t="s">
        <v>159</v>
      </c>
      <c r="G921" s="14">
        <f t="shared" ca="1" si="14"/>
        <v>136871.54214007722</v>
      </c>
      <c r="H921" s="12" t="s">
        <v>172</v>
      </c>
      <c r="I921">
        <v>0</v>
      </c>
      <c r="J921">
        <v>40</v>
      </c>
      <c r="K921" s="12" t="s">
        <v>176</v>
      </c>
      <c r="L921">
        <v>0</v>
      </c>
      <c r="M921">
        <v>0</v>
      </c>
      <c r="O921" s="39"/>
      <c r="P921" s="16">
        <v>109743.23</v>
      </c>
      <c r="S921" s="17"/>
    </row>
    <row r="922" spans="1:19" x14ac:dyDescent="0.4">
      <c r="A922">
        <v>5282817</v>
      </c>
      <c r="B922" s="15">
        <v>35</v>
      </c>
      <c r="C922" s="12" t="s">
        <v>122</v>
      </c>
      <c r="D922" s="12" t="s">
        <v>140</v>
      </c>
      <c r="E922" s="12" t="s">
        <v>151</v>
      </c>
      <c r="F922" s="12" t="s">
        <v>161</v>
      </c>
      <c r="G922" s="14">
        <f t="shared" ca="1" si="14"/>
        <v>70130.04955669136</v>
      </c>
      <c r="H922" s="12" t="s">
        <v>172</v>
      </c>
      <c r="I922">
        <v>0</v>
      </c>
      <c r="J922">
        <v>50</v>
      </c>
      <c r="K922" s="12" t="s">
        <v>176</v>
      </c>
      <c r="L922">
        <v>0</v>
      </c>
      <c r="M922">
        <v>0</v>
      </c>
      <c r="O922" s="39"/>
      <c r="P922" s="15">
        <v>51457.79</v>
      </c>
      <c r="S922" s="17"/>
    </row>
    <row r="923" spans="1:19" x14ac:dyDescent="0.4">
      <c r="A923">
        <v>5288840</v>
      </c>
      <c r="B923" s="16">
        <v>70</v>
      </c>
      <c r="C923" s="12" t="s">
        <v>122</v>
      </c>
      <c r="D923" s="12" t="s">
        <v>139</v>
      </c>
      <c r="E923" s="12" t="s">
        <v>152</v>
      </c>
      <c r="F923" s="12" t="s">
        <v>157</v>
      </c>
      <c r="G923" s="14">
        <f t="shared" ca="1" si="14"/>
        <v>36012.478205691819</v>
      </c>
      <c r="H923" s="12" t="s">
        <v>172</v>
      </c>
      <c r="I923">
        <v>0</v>
      </c>
      <c r="J923">
        <v>40</v>
      </c>
      <c r="K923" s="12" t="s">
        <v>176</v>
      </c>
      <c r="L923">
        <v>0</v>
      </c>
      <c r="M923">
        <v>0</v>
      </c>
      <c r="O923" s="39"/>
      <c r="P923" s="16">
        <v>35483.35</v>
      </c>
      <c r="S923" s="17"/>
    </row>
    <row r="924" spans="1:19" x14ac:dyDescent="0.4">
      <c r="A924">
        <v>5292303</v>
      </c>
      <c r="B924" s="15">
        <v>54</v>
      </c>
      <c r="C924" s="12" t="s">
        <v>122</v>
      </c>
      <c r="D924" s="12" t="s">
        <v>132</v>
      </c>
      <c r="E924" s="12" t="s">
        <v>151</v>
      </c>
      <c r="F924" s="12" t="s">
        <v>158</v>
      </c>
      <c r="G924" s="14">
        <f t="shared" ca="1" si="14"/>
        <v>122840.07284831654</v>
      </c>
      <c r="H924" s="12" t="s">
        <v>171</v>
      </c>
      <c r="I924">
        <v>0</v>
      </c>
      <c r="J924">
        <v>40</v>
      </c>
      <c r="K924" s="12" t="s">
        <v>176</v>
      </c>
      <c r="L924">
        <v>0</v>
      </c>
      <c r="M924">
        <v>0</v>
      </c>
      <c r="O924" s="39"/>
      <c r="P924" s="15">
        <v>65131.3</v>
      </c>
      <c r="S924" s="17"/>
    </row>
    <row r="925" spans="1:19" x14ac:dyDescent="0.4">
      <c r="A925">
        <v>5293006</v>
      </c>
      <c r="B925" s="16">
        <v>42</v>
      </c>
      <c r="C925" s="12" t="s">
        <v>122</v>
      </c>
      <c r="D925" s="12" t="s">
        <v>134</v>
      </c>
      <c r="E925" s="12" t="s">
        <v>152</v>
      </c>
      <c r="F925" s="12" t="s">
        <v>159</v>
      </c>
      <c r="G925" s="14">
        <f t="shared" ca="1" si="14"/>
        <v>22446.215946937529</v>
      </c>
      <c r="H925" s="12" t="s">
        <v>172</v>
      </c>
      <c r="I925">
        <v>1114.6666666666699</v>
      </c>
      <c r="J925">
        <v>40</v>
      </c>
      <c r="K925" s="12" t="s">
        <v>176</v>
      </c>
      <c r="L925">
        <v>0</v>
      </c>
      <c r="M925">
        <v>0</v>
      </c>
      <c r="O925" s="39"/>
      <c r="P925" s="16">
        <v>17790.18</v>
      </c>
      <c r="S925" s="17"/>
    </row>
    <row r="926" spans="1:19" x14ac:dyDescent="0.4">
      <c r="A926">
        <v>5296852</v>
      </c>
      <c r="B926" s="15">
        <v>62</v>
      </c>
      <c r="C926" s="12" t="s">
        <v>122</v>
      </c>
      <c r="D926" s="12" t="s">
        <v>132</v>
      </c>
      <c r="E926" s="12" t="s">
        <v>152</v>
      </c>
      <c r="F926" s="12" t="s">
        <v>157</v>
      </c>
      <c r="G926" s="14">
        <f t="shared" ca="1" si="14"/>
        <v>108967.48070977614</v>
      </c>
      <c r="H926" s="12" t="s">
        <v>172</v>
      </c>
      <c r="I926">
        <v>0</v>
      </c>
      <c r="J926">
        <v>20</v>
      </c>
      <c r="K926" s="12" t="s">
        <v>176</v>
      </c>
      <c r="L926">
        <v>0</v>
      </c>
      <c r="M926">
        <v>0</v>
      </c>
      <c r="O926" s="39"/>
      <c r="P926" s="15">
        <v>55497.9</v>
      </c>
      <c r="S926" s="17"/>
    </row>
    <row r="927" spans="1:19" x14ac:dyDescent="0.4">
      <c r="A927">
        <v>5298607</v>
      </c>
      <c r="B927" s="16">
        <v>20</v>
      </c>
      <c r="C927" s="12" t="s">
        <v>129</v>
      </c>
      <c r="D927" s="12" t="s">
        <v>132</v>
      </c>
      <c r="E927" s="12" t="s">
        <v>150</v>
      </c>
      <c r="F927" s="12" t="s">
        <v>129</v>
      </c>
      <c r="G927" s="14">
        <f t="shared" ca="1" si="14"/>
        <v>350047.00566730456</v>
      </c>
      <c r="H927" s="12" t="s">
        <v>172</v>
      </c>
      <c r="I927">
        <v>0</v>
      </c>
      <c r="J927">
        <v>35</v>
      </c>
      <c r="K927" s="12" t="s">
        <v>176</v>
      </c>
      <c r="L927">
        <v>0</v>
      </c>
      <c r="M927">
        <v>0</v>
      </c>
      <c r="O927" s="39"/>
      <c r="P927" s="16">
        <v>212562.38</v>
      </c>
      <c r="S927" s="17"/>
    </row>
    <row r="928" spans="1:19" x14ac:dyDescent="0.4">
      <c r="A928">
        <v>5303493</v>
      </c>
      <c r="B928" s="15">
        <v>46</v>
      </c>
      <c r="C928" s="12" t="s">
        <v>127</v>
      </c>
      <c r="D928" s="12" t="s">
        <v>134</v>
      </c>
      <c r="E928" s="12" t="s">
        <v>150</v>
      </c>
      <c r="F928" s="12" t="s">
        <v>158</v>
      </c>
      <c r="G928" s="14">
        <f t="shared" ca="1" si="14"/>
        <v>108041.46816064446</v>
      </c>
      <c r="H928" s="12" t="s">
        <v>172</v>
      </c>
      <c r="I928">
        <v>0</v>
      </c>
      <c r="J928">
        <v>40</v>
      </c>
      <c r="K928" s="12" t="s">
        <v>176</v>
      </c>
      <c r="L928">
        <v>0</v>
      </c>
      <c r="M928">
        <v>0</v>
      </c>
      <c r="O928" s="39"/>
      <c r="P928" s="15">
        <v>62060.46</v>
      </c>
      <c r="S928" s="17"/>
    </row>
    <row r="929" spans="1:19" x14ac:dyDescent="0.4">
      <c r="A929">
        <v>5305420</v>
      </c>
      <c r="B929" s="16">
        <v>60</v>
      </c>
      <c r="C929" s="12" t="s">
        <v>125</v>
      </c>
      <c r="D929" s="12" t="s">
        <v>134</v>
      </c>
      <c r="E929" s="12" t="s">
        <v>152</v>
      </c>
      <c r="F929" s="12" t="s">
        <v>156</v>
      </c>
      <c r="G929" s="14">
        <f t="shared" ca="1" si="14"/>
        <v>44557.919376616257</v>
      </c>
      <c r="H929" s="12" t="s">
        <v>172</v>
      </c>
      <c r="I929">
        <v>0</v>
      </c>
      <c r="J929">
        <v>40</v>
      </c>
      <c r="K929" s="12" t="s">
        <v>176</v>
      </c>
      <c r="L929">
        <v>0</v>
      </c>
      <c r="M929">
        <v>0</v>
      </c>
      <c r="O929" s="39"/>
      <c r="P929" s="16">
        <v>29586.54</v>
      </c>
      <c r="S929" s="17"/>
    </row>
    <row r="930" spans="1:19" x14ac:dyDescent="0.4">
      <c r="A930">
        <v>5305731</v>
      </c>
      <c r="B930" s="15">
        <v>27</v>
      </c>
      <c r="C930" s="12" t="s">
        <v>122</v>
      </c>
      <c r="D930" s="12" t="s">
        <v>135</v>
      </c>
      <c r="E930" s="12" t="s">
        <v>150</v>
      </c>
      <c r="F930" s="12" t="s">
        <v>163</v>
      </c>
      <c r="G930" s="14">
        <f t="shared" ca="1" si="14"/>
        <v>510798.5110475432</v>
      </c>
      <c r="H930" s="12" t="s">
        <v>171</v>
      </c>
      <c r="I930">
        <v>0</v>
      </c>
      <c r="J930">
        <v>20</v>
      </c>
      <c r="K930" s="12" t="s">
        <v>178</v>
      </c>
      <c r="L930">
        <v>0</v>
      </c>
      <c r="M930">
        <v>0</v>
      </c>
      <c r="O930" s="39"/>
      <c r="P930" s="15">
        <v>287243.51</v>
      </c>
      <c r="S930" s="17"/>
    </row>
    <row r="931" spans="1:19" x14ac:dyDescent="0.4">
      <c r="A931">
        <v>5307090</v>
      </c>
      <c r="B931" s="16">
        <v>37</v>
      </c>
      <c r="C931" s="12" t="s">
        <v>127</v>
      </c>
      <c r="D931" s="12" t="s">
        <v>134</v>
      </c>
      <c r="E931" s="12" t="s">
        <v>151</v>
      </c>
      <c r="F931" s="12" t="s">
        <v>158</v>
      </c>
      <c r="G931" s="14">
        <f t="shared" ca="1" si="14"/>
        <v>460226.77889383718</v>
      </c>
      <c r="H931" s="12" t="s">
        <v>171</v>
      </c>
      <c r="I931">
        <v>0</v>
      </c>
      <c r="J931">
        <v>40</v>
      </c>
      <c r="K931" s="12" t="s">
        <v>176</v>
      </c>
      <c r="L931">
        <v>0</v>
      </c>
      <c r="M931">
        <v>0</v>
      </c>
      <c r="O931" s="39"/>
      <c r="P931" s="16">
        <v>287407.11</v>
      </c>
      <c r="S931" s="17"/>
    </row>
    <row r="932" spans="1:19" x14ac:dyDescent="0.4">
      <c r="A932">
        <v>5312827</v>
      </c>
      <c r="B932" s="15">
        <v>25</v>
      </c>
      <c r="C932" s="12" t="s">
        <v>122</v>
      </c>
      <c r="D932" s="12" t="s">
        <v>140</v>
      </c>
      <c r="E932" s="12" t="s">
        <v>152</v>
      </c>
      <c r="F932" s="12" t="s">
        <v>157</v>
      </c>
      <c r="G932" s="14">
        <f t="shared" ca="1" si="14"/>
        <v>29264.18676644647</v>
      </c>
      <c r="H932" s="12" t="s">
        <v>172</v>
      </c>
      <c r="I932">
        <v>0</v>
      </c>
      <c r="J932">
        <v>40</v>
      </c>
      <c r="K932" s="12" t="s">
        <v>176</v>
      </c>
      <c r="L932">
        <v>0</v>
      </c>
      <c r="M932">
        <v>0</v>
      </c>
      <c r="O932" s="39"/>
      <c r="P932" s="15">
        <v>18646.05</v>
      </c>
      <c r="S932" s="17"/>
    </row>
    <row r="933" spans="1:19" x14ac:dyDescent="0.4">
      <c r="A933">
        <v>5323976</v>
      </c>
      <c r="B933" s="16">
        <v>30</v>
      </c>
      <c r="C933" s="12" t="s">
        <v>122</v>
      </c>
      <c r="D933" s="12" t="s">
        <v>132</v>
      </c>
      <c r="E933" s="12" t="s">
        <v>151</v>
      </c>
      <c r="F933" s="12" t="s">
        <v>144</v>
      </c>
      <c r="G933" s="14">
        <f t="shared" ca="1" si="14"/>
        <v>195924.68384536859</v>
      </c>
      <c r="H933" s="12" t="s">
        <v>171</v>
      </c>
      <c r="I933">
        <v>0</v>
      </c>
      <c r="J933">
        <v>40</v>
      </c>
      <c r="K933" s="12" t="s">
        <v>188</v>
      </c>
      <c r="L933">
        <v>0</v>
      </c>
      <c r="M933">
        <v>0</v>
      </c>
      <c r="O933" s="39"/>
      <c r="P933" s="16">
        <v>106945.97</v>
      </c>
      <c r="S933" s="17"/>
    </row>
    <row r="934" spans="1:19" x14ac:dyDescent="0.4">
      <c r="A934">
        <v>5325222</v>
      </c>
      <c r="B934" s="15">
        <v>58</v>
      </c>
      <c r="C934" s="12" t="s">
        <v>122</v>
      </c>
      <c r="D934" s="12" t="s">
        <v>134</v>
      </c>
      <c r="E934" s="12" t="s">
        <v>152</v>
      </c>
      <c r="F934" s="12" t="s">
        <v>165</v>
      </c>
      <c r="G934" s="14">
        <f t="shared" ca="1" si="14"/>
        <v>27283.078662555246</v>
      </c>
      <c r="H934" s="12" t="s">
        <v>172</v>
      </c>
      <c r="I934">
        <v>0</v>
      </c>
      <c r="J934">
        <v>20</v>
      </c>
      <c r="K934" s="12" t="s">
        <v>176</v>
      </c>
      <c r="L934">
        <v>0</v>
      </c>
      <c r="M934">
        <v>0</v>
      </c>
      <c r="O934" s="39"/>
      <c r="P934" s="15">
        <v>19546.740000000002</v>
      </c>
      <c r="S934" s="17"/>
    </row>
    <row r="935" spans="1:19" x14ac:dyDescent="0.4">
      <c r="A935">
        <v>5328983</v>
      </c>
      <c r="B935" s="16">
        <v>44</v>
      </c>
      <c r="C935" s="12" t="s">
        <v>129</v>
      </c>
      <c r="D935" s="12" t="s">
        <v>135</v>
      </c>
      <c r="E935" s="12" t="s">
        <v>152</v>
      </c>
      <c r="F935" s="12" t="s">
        <v>129</v>
      </c>
      <c r="G935" s="14">
        <f t="shared" ca="1" si="14"/>
        <v>321986.58188989281</v>
      </c>
      <c r="H935" s="12" t="s">
        <v>171</v>
      </c>
      <c r="I935">
        <v>0</v>
      </c>
      <c r="J935">
        <v>16</v>
      </c>
      <c r="K935" s="12" t="s">
        <v>176</v>
      </c>
      <c r="L935">
        <v>2009</v>
      </c>
      <c r="M935">
        <v>1</v>
      </c>
      <c r="O935" s="39"/>
      <c r="P935" s="16">
        <v>228571.75</v>
      </c>
      <c r="S935" s="17"/>
    </row>
    <row r="936" spans="1:19" x14ac:dyDescent="0.4">
      <c r="A936">
        <v>5333120</v>
      </c>
      <c r="B936" s="15">
        <v>31</v>
      </c>
      <c r="C936" s="12" t="s">
        <v>122</v>
      </c>
      <c r="D936" s="12" t="s">
        <v>135</v>
      </c>
      <c r="E936" s="12" t="s">
        <v>152</v>
      </c>
      <c r="F936" s="12" t="s">
        <v>162</v>
      </c>
      <c r="G936" s="14">
        <f t="shared" ca="1" si="14"/>
        <v>38386.645573979047</v>
      </c>
      <c r="H936" s="12" t="s">
        <v>172</v>
      </c>
      <c r="I936">
        <v>0</v>
      </c>
      <c r="J936">
        <v>40</v>
      </c>
      <c r="K936" s="12" t="s">
        <v>176</v>
      </c>
      <c r="L936">
        <v>8105</v>
      </c>
      <c r="M936">
        <v>1</v>
      </c>
      <c r="O936" s="39"/>
      <c r="P936" s="15">
        <v>28254.49</v>
      </c>
      <c r="S936" s="17"/>
    </row>
    <row r="937" spans="1:19" x14ac:dyDescent="0.4">
      <c r="A937">
        <v>5335298</v>
      </c>
      <c r="B937" s="16">
        <v>29</v>
      </c>
      <c r="C937" s="12" t="s">
        <v>129</v>
      </c>
      <c r="D937" s="12" t="s">
        <v>141</v>
      </c>
      <c r="E937" s="12" t="s">
        <v>152</v>
      </c>
      <c r="F937" s="12" t="s">
        <v>129</v>
      </c>
      <c r="G937" s="14">
        <f t="shared" ca="1" si="14"/>
        <v>65172.926921559178</v>
      </c>
      <c r="H937" s="12" t="s">
        <v>172</v>
      </c>
      <c r="I937">
        <v>0</v>
      </c>
      <c r="J937">
        <v>50</v>
      </c>
      <c r="K937" s="12" t="s">
        <v>176</v>
      </c>
      <c r="L937">
        <v>0</v>
      </c>
      <c r="M937">
        <v>1</v>
      </c>
      <c r="O937" s="39"/>
      <c r="P937" s="16">
        <v>46767</v>
      </c>
      <c r="S937" s="17"/>
    </row>
    <row r="938" spans="1:19" x14ac:dyDescent="0.4">
      <c r="A938">
        <v>5361019</v>
      </c>
      <c r="B938" s="15">
        <v>31</v>
      </c>
      <c r="C938" s="12" t="s">
        <v>122</v>
      </c>
      <c r="D938" s="12" t="s">
        <v>134</v>
      </c>
      <c r="E938" s="12" t="s">
        <v>150</v>
      </c>
      <c r="F938" s="12" t="s">
        <v>159</v>
      </c>
      <c r="G938" s="14">
        <f t="shared" ca="1" si="14"/>
        <v>183744.91208567147</v>
      </c>
      <c r="H938" s="12" t="s">
        <v>172</v>
      </c>
      <c r="I938">
        <v>0</v>
      </c>
      <c r="J938">
        <v>42</v>
      </c>
      <c r="K938" s="12" t="s">
        <v>176</v>
      </c>
      <c r="L938">
        <v>0</v>
      </c>
      <c r="M938">
        <v>0</v>
      </c>
      <c r="O938" s="39"/>
      <c r="P938" s="15">
        <v>174203.82</v>
      </c>
      <c r="S938" s="17"/>
    </row>
    <row r="939" spans="1:19" x14ac:dyDescent="0.4">
      <c r="A939">
        <v>5366598</v>
      </c>
      <c r="B939" s="16">
        <v>43</v>
      </c>
      <c r="C939" s="12" t="s">
        <v>122</v>
      </c>
      <c r="D939" s="12" t="s">
        <v>142</v>
      </c>
      <c r="E939" s="12" t="s">
        <v>152</v>
      </c>
      <c r="F939" s="12" t="s">
        <v>160</v>
      </c>
      <c r="G939" s="14">
        <f t="shared" ca="1" si="14"/>
        <v>45341.518432538644</v>
      </c>
      <c r="H939" s="12" t="s">
        <v>172</v>
      </c>
      <c r="I939">
        <v>0</v>
      </c>
      <c r="J939">
        <v>40</v>
      </c>
      <c r="K939" s="12" t="s">
        <v>179</v>
      </c>
      <c r="L939">
        <v>0</v>
      </c>
      <c r="M939">
        <v>0</v>
      </c>
      <c r="O939" s="39"/>
      <c r="P939" s="16">
        <v>26230.68</v>
      </c>
      <c r="S939" s="17"/>
    </row>
    <row r="940" spans="1:19" x14ac:dyDescent="0.4">
      <c r="A940">
        <v>5373567</v>
      </c>
      <c r="B940" s="15">
        <v>62</v>
      </c>
      <c r="C940" s="12" t="s">
        <v>122</v>
      </c>
      <c r="D940" s="12" t="s">
        <v>143</v>
      </c>
      <c r="E940" s="12" t="s">
        <v>152</v>
      </c>
      <c r="F940" s="12" t="s">
        <v>165</v>
      </c>
      <c r="G940" s="14">
        <f t="shared" ca="1" si="14"/>
        <v>57889.287183374159</v>
      </c>
      <c r="H940" s="12" t="s">
        <v>172</v>
      </c>
      <c r="I940">
        <v>0</v>
      </c>
      <c r="J940">
        <v>40</v>
      </c>
      <c r="K940" s="12" t="s">
        <v>178</v>
      </c>
      <c r="L940">
        <v>0</v>
      </c>
      <c r="M940">
        <v>0</v>
      </c>
      <c r="O940" s="39"/>
      <c r="P940" s="15">
        <v>45312.74</v>
      </c>
      <c r="S940" s="17"/>
    </row>
    <row r="941" spans="1:19" x14ac:dyDescent="0.4">
      <c r="A941">
        <v>5380782</v>
      </c>
      <c r="B941" s="16">
        <v>40</v>
      </c>
      <c r="C941" s="12" t="s">
        <v>122</v>
      </c>
      <c r="D941" s="12" t="s">
        <v>132</v>
      </c>
      <c r="E941" s="12" t="s">
        <v>152</v>
      </c>
      <c r="F941" s="12" t="s">
        <v>156</v>
      </c>
      <c r="G941" s="14">
        <f t="shared" ca="1" si="14"/>
        <v>45897.352025067135</v>
      </c>
      <c r="H941" s="12" t="s">
        <v>172</v>
      </c>
      <c r="I941">
        <v>0</v>
      </c>
      <c r="J941">
        <v>40</v>
      </c>
      <c r="K941" s="12" t="s">
        <v>176</v>
      </c>
      <c r="L941">
        <v>0</v>
      </c>
      <c r="M941">
        <v>0</v>
      </c>
      <c r="O941" s="39"/>
      <c r="P941" s="16">
        <v>28079.200000000001</v>
      </c>
      <c r="S941" s="17"/>
    </row>
    <row r="942" spans="1:19" x14ac:dyDescent="0.4">
      <c r="A942">
        <v>5381070</v>
      </c>
      <c r="B942" s="15">
        <v>35</v>
      </c>
      <c r="C942" s="12" t="s">
        <v>123</v>
      </c>
      <c r="D942" s="12" t="s">
        <v>134</v>
      </c>
      <c r="E942" s="12" t="s">
        <v>152</v>
      </c>
      <c r="F942" s="12" t="s">
        <v>159</v>
      </c>
      <c r="G942" s="14">
        <f t="shared" ca="1" si="14"/>
        <v>189419.69578517429</v>
      </c>
      <c r="H942" s="12" t="s">
        <v>172</v>
      </c>
      <c r="I942">
        <v>0</v>
      </c>
      <c r="J942">
        <v>35</v>
      </c>
      <c r="K942" s="12" t="s">
        <v>186</v>
      </c>
      <c r="L942">
        <v>0</v>
      </c>
      <c r="M942">
        <v>0</v>
      </c>
      <c r="O942" s="39"/>
      <c r="P942" s="15">
        <v>95146.95</v>
      </c>
      <c r="S942" s="17"/>
    </row>
    <row r="943" spans="1:19" x14ac:dyDescent="0.4">
      <c r="A943">
        <v>5381128</v>
      </c>
      <c r="B943" s="16">
        <v>56</v>
      </c>
      <c r="C943" s="12" t="s">
        <v>122</v>
      </c>
      <c r="D943" s="12" t="s">
        <v>144</v>
      </c>
      <c r="E943" s="12" t="s">
        <v>152</v>
      </c>
      <c r="F943" s="12" t="s">
        <v>144</v>
      </c>
      <c r="G943" s="14">
        <f t="shared" ca="1" si="14"/>
        <v>42032.08154881651</v>
      </c>
      <c r="H943" s="12" t="s">
        <v>172</v>
      </c>
      <c r="I943">
        <v>0</v>
      </c>
      <c r="J943">
        <v>45</v>
      </c>
      <c r="K943" s="12" t="s">
        <v>176</v>
      </c>
      <c r="L943">
        <v>7047</v>
      </c>
      <c r="M943">
        <v>1</v>
      </c>
      <c r="O943" s="39"/>
      <c r="P943" s="16">
        <v>34745.85</v>
      </c>
      <c r="S943" s="17"/>
    </row>
    <row r="944" spans="1:19" x14ac:dyDescent="0.4">
      <c r="A944">
        <v>5382026</v>
      </c>
      <c r="B944" s="15">
        <v>38</v>
      </c>
      <c r="C944" s="12" t="s">
        <v>122</v>
      </c>
      <c r="D944" s="12" t="s">
        <v>138</v>
      </c>
      <c r="E944" s="12" t="s">
        <v>152</v>
      </c>
      <c r="F944" s="12" t="s">
        <v>144</v>
      </c>
      <c r="G944" s="14">
        <f t="shared" ca="1" si="14"/>
        <v>120588.39693728073</v>
      </c>
      <c r="H944" s="12" t="s">
        <v>172</v>
      </c>
      <c r="I944">
        <v>0</v>
      </c>
      <c r="J944">
        <v>40</v>
      </c>
      <c r="K944" s="12" t="s">
        <v>176</v>
      </c>
      <c r="L944">
        <v>9475</v>
      </c>
      <c r="M944">
        <v>1</v>
      </c>
      <c r="O944" s="39"/>
      <c r="P944" s="15">
        <v>61249.9</v>
      </c>
      <c r="S944" s="17"/>
    </row>
    <row r="945" spans="1:19" x14ac:dyDescent="0.4">
      <c r="A945">
        <v>5391112</v>
      </c>
      <c r="B945" s="16">
        <v>30</v>
      </c>
      <c r="C945" s="12" t="s">
        <v>123</v>
      </c>
      <c r="D945" s="12" t="s">
        <v>134</v>
      </c>
      <c r="E945" s="12" t="s">
        <v>151</v>
      </c>
      <c r="F945" s="12" t="s">
        <v>156</v>
      </c>
      <c r="G945" s="14">
        <f t="shared" ca="1" si="14"/>
        <v>366236.17396373535</v>
      </c>
      <c r="H945" s="12" t="s">
        <v>171</v>
      </c>
      <c r="I945">
        <v>0</v>
      </c>
      <c r="J945">
        <v>40</v>
      </c>
      <c r="K945" s="12" t="s">
        <v>176</v>
      </c>
      <c r="L945">
        <v>0</v>
      </c>
      <c r="M945">
        <v>0</v>
      </c>
      <c r="O945" s="39"/>
      <c r="P945" s="16">
        <v>285365.67</v>
      </c>
      <c r="S945" s="17"/>
    </row>
    <row r="946" spans="1:19" x14ac:dyDescent="0.4">
      <c r="A946">
        <v>5392478</v>
      </c>
      <c r="B946" s="15">
        <v>44</v>
      </c>
      <c r="C946" s="12" t="s">
        <v>125</v>
      </c>
      <c r="D946" s="12" t="s">
        <v>135</v>
      </c>
      <c r="E946" s="12" t="s">
        <v>152</v>
      </c>
      <c r="F946" s="12" t="s">
        <v>166</v>
      </c>
      <c r="G946" s="14">
        <f t="shared" ca="1" si="14"/>
        <v>139520.34221432314</v>
      </c>
      <c r="H946" s="12" t="s">
        <v>171</v>
      </c>
      <c r="I946">
        <v>0</v>
      </c>
      <c r="J946">
        <v>40</v>
      </c>
      <c r="K946" s="12" t="s">
        <v>176</v>
      </c>
      <c r="L946">
        <v>15024</v>
      </c>
      <c r="M946">
        <v>1</v>
      </c>
      <c r="O946" s="39"/>
      <c r="P946" s="15">
        <v>94124.65</v>
      </c>
      <c r="S946" s="17"/>
    </row>
    <row r="947" spans="1:19" x14ac:dyDescent="0.4">
      <c r="A947">
        <v>5394566</v>
      </c>
      <c r="B947" s="16">
        <v>27</v>
      </c>
      <c r="C947" s="12" t="s">
        <v>122</v>
      </c>
      <c r="D947" s="12" t="s">
        <v>134</v>
      </c>
      <c r="E947" s="12" t="s">
        <v>150</v>
      </c>
      <c r="F947" s="12" t="s">
        <v>162</v>
      </c>
      <c r="G947" s="14">
        <f t="shared" ca="1" si="14"/>
        <v>339022.56095872965</v>
      </c>
      <c r="H947" s="12" t="s">
        <v>172</v>
      </c>
      <c r="I947">
        <v>0</v>
      </c>
      <c r="J947">
        <v>40</v>
      </c>
      <c r="K947" s="12" t="s">
        <v>176</v>
      </c>
      <c r="L947">
        <v>0</v>
      </c>
      <c r="M947">
        <v>0</v>
      </c>
      <c r="O947" s="39"/>
      <c r="P947" s="16">
        <v>240908.51</v>
      </c>
      <c r="S947" s="17"/>
    </row>
    <row r="948" spans="1:19" x14ac:dyDescent="0.4">
      <c r="A948">
        <v>5401493</v>
      </c>
      <c r="B948" s="15">
        <v>31</v>
      </c>
      <c r="C948" s="12" t="s">
        <v>122</v>
      </c>
      <c r="D948" s="12" t="s">
        <v>134</v>
      </c>
      <c r="E948" s="12" t="s">
        <v>152</v>
      </c>
      <c r="F948" s="12" t="s">
        <v>158</v>
      </c>
      <c r="G948" s="14">
        <f t="shared" ca="1" si="14"/>
        <v>195290.57383867275</v>
      </c>
      <c r="H948" s="12" t="s">
        <v>171</v>
      </c>
      <c r="I948">
        <v>0</v>
      </c>
      <c r="J948">
        <v>40</v>
      </c>
      <c r="K948" s="12" t="s">
        <v>129</v>
      </c>
      <c r="L948">
        <v>1155</v>
      </c>
      <c r="M948">
        <v>1</v>
      </c>
      <c r="O948" s="39"/>
      <c r="P948" s="15">
        <v>160377.84</v>
      </c>
      <c r="S948" s="17"/>
    </row>
    <row r="949" spans="1:19" x14ac:dyDescent="0.4">
      <c r="A949">
        <v>5403117</v>
      </c>
      <c r="B949" s="16">
        <v>40</v>
      </c>
      <c r="C949" s="12" t="s">
        <v>122</v>
      </c>
      <c r="D949" s="12" t="s">
        <v>138</v>
      </c>
      <c r="E949" s="12" t="s">
        <v>152</v>
      </c>
      <c r="F949" s="12" t="s">
        <v>160</v>
      </c>
      <c r="G949" s="14">
        <f t="shared" ca="1" si="14"/>
        <v>58396.660281793236</v>
      </c>
      <c r="H949" s="12" t="s">
        <v>172</v>
      </c>
      <c r="I949">
        <v>0</v>
      </c>
      <c r="J949">
        <v>50</v>
      </c>
      <c r="K949" s="12" t="s">
        <v>176</v>
      </c>
      <c r="L949">
        <v>5521</v>
      </c>
      <c r="M949">
        <v>1</v>
      </c>
      <c r="O949" s="39"/>
      <c r="P949" s="16">
        <v>34666.620000000003</v>
      </c>
      <c r="S949" s="17"/>
    </row>
    <row r="950" spans="1:19" x14ac:dyDescent="0.4">
      <c r="A950">
        <v>5407656</v>
      </c>
      <c r="B950" s="15">
        <v>28</v>
      </c>
      <c r="C950" s="12" t="s">
        <v>122</v>
      </c>
      <c r="D950" s="12" t="s">
        <v>139</v>
      </c>
      <c r="E950" s="12" t="s">
        <v>152</v>
      </c>
      <c r="F950" s="12" t="s">
        <v>160</v>
      </c>
      <c r="G950" s="14">
        <f t="shared" ca="1" si="14"/>
        <v>70265.848175467501</v>
      </c>
      <c r="H950" s="12" t="s">
        <v>172</v>
      </c>
      <c r="I950">
        <v>0</v>
      </c>
      <c r="J950">
        <v>50</v>
      </c>
      <c r="K950" s="12" t="s">
        <v>176</v>
      </c>
      <c r="L950">
        <v>0</v>
      </c>
      <c r="M950">
        <v>1</v>
      </c>
      <c r="O950" s="39"/>
      <c r="P950" s="15">
        <v>42357</v>
      </c>
      <c r="S950" s="17"/>
    </row>
    <row r="951" spans="1:19" x14ac:dyDescent="0.4">
      <c r="A951">
        <v>5411535</v>
      </c>
      <c r="B951" s="16">
        <v>67</v>
      </c>
      <c r="C951" s="12" t="s">
        <v>122</v>
      </c>
      <c r="D951" s="12" t="s">
        <v>134</v>
      </c>
      <c r="E951" s="12" t="s">
        <v>153</v>
      </c>
      <c r="F951" s="12" t="s">
        <v>156</v>
      </c>
      <c r="G951" s="14">
        <f t="shared" ca="1" si="14"/>
        <v>189425.01938457013</v>
      </c>
      <c r="H951" s="12" t="s">
        <v>171</v>
      </c>
      <c r="I951">
        <v>0</v>
      </c>
      <c r="J951">
        <v>24</v>
      </c>
      <c r="K951" s="12" t="s">
        <v>176</v>
      </c>
      <c r="L951">
        <v>0</v>
      </c>
      <c r="M951">
        <v>0</v>
      </c>
      <c r="O951" s="39"/>
      <c r="P951" s="16">
        <v>99701.35</v>
      </c>
      <c r="S951" s="17"/>
    </row>
    <row r="952" spans="1:19" x14ac:dyDescent="0.4">
      <c r="A952">
        <v>5413709</v>
      </c>
      <c r="B952" s="15">
        <v>28</v>
      </c>
      <c r="C952" s="12" t="s">
        <v>127</v>
      </c>
      <c r="D952" s="12" t="s">
        <v>135</v>
      </c>
      <c r="E952" s="12" t="s">
        <v>150</v>
      </c>
      <c r="F952" s="12" t="s">
        <v>166</v>
      </c>
      <c r="G952" s="14">
        <f t="shared" ca="1" si="14"/>
        <v>60928.83765574282</v>
      </c>
      <c r="H952" s="12" t="s">
        <v>172</v>
      </c>
      <c r="I952">
        <v>0</v>
      </c>
      <c r="J952">
        <v>50</v>
      </c>
      <c r="K952" s="12" t="s">
        <v>176</v>
      </c>
      <c r="L952">
        <v>0</v>
      </c>
      <c r="M952">
        <v>0</v>
      </c>
      <c r="O952" s="39"/>
      <c r="P952" s="15">
        <v>59390.97</v>
      </c>
      <c r="S952" s="17"/>
    </row>
    <row r="953" spans="1:19" x14ac:dyDescent="0.4">
      <c r="A953">
        <v>5414985</v>
      </c>
      <c r="B953" s="16">
        <v>33</v>
      </c>
      <c r="C953" s="12" t="s">
        <v>122</v>
      </c>
      <c r="D953" s="12" t="s">
        <v>137</v>
      </c>
      <c r="E953" s="12" t="s">
        <v>151</v>
      </c>
      <c r="F953" s="12" t="s">
        <v>158</v>
      </c>
      <c r="G953" s="14">
        <f t="shared" ca="1" si="14"/>
        <v>47996.98711964352</v>
      </c>
      <c r="H953" s="12" t="s">
        <v>172</v>
      </c>
      <c r="I953">
        <v>0</v>
      </c>
      <c r="J953">
        <v>40</v>
      </c>
      <c r="K953" s="12" t="s">
        <v>176</v>
      </c>
      <c r="L953">
        <v>0</v>
      </c>
      <c r="M953">
        <v>0</v>
      </c>
      <c r="O953" s="39"/>
      <c r="P953" s="16">
        <v>27038.17</v>
      </c>
      <c r="S953" s="17"/>
    </row>
    <row r="954" spans="1:19" x14ac:dyDescent="0.4">
      <c r="A954">
        <v>5416740</v>
      </c>
      <c r="B954" s="15">
        <v>63</v>
      </c>
      <c r="C954" s="12" t="s">
        <v>129</v>
      </c>
      <c r="D954" s="12" t="s">
        <v>141</v>
      </c>
      <c r="E954" s="12" t="s">
        <v>152</v>
      </c>
      <c r="F954" s="12" t="s">
        <v>129</v>
      </c>
      <c r="G954" s="14">
        <f t="shared" ca="1" si="14"/>
        <v>32600.866850565337</v>
      </c>
      <c r="H954" s="12" t="s">
        <v>172</v>
      </c>
      <c r="I954">
        <v>0</v>
      </c>
      <c r="J954">
        <v>12</v>
      </c>
      <c r="K954" s="12" t="s">
        <v>176</v>
      </c>
      <c r="L954">
        <v>0</v>
      </c>
      <c r="M954">
        <v>0</v>
      </c>
      <c r="O954" s="39"/>
      <c r="P954" s="15">
        <v>23044.59</v>
      </c>
      <c r="S954" s="17"/>
    </row>
    <row r="955" spans="1:19" x14ac:dyDescent="0.4">
      <c r="A955">
        <v>5425508</v>
      </c>
      <c r="B955" s="16">
        <v>20</v>
      </c>
      <c r="C955" s="12" t="s">
        <v>122</v>
      </c>
      <c r="D955" s="12" t="s">
        <v>132</v>
      </c>
      <c r="E955" s="12" t="s">
        <v>150</v>
      </c>
      <c r="F955" s="12" t="s">
        <v>164</v>
      </c>
      <c r="G955" s="14">
        <f t="shared" ca="1" si="14"/>
        <v>307390.5548329092</v>
      </c>
      <c r="H955" s="12" t="s">
        <v>172</v>
      </c>
      <c r="I955">
        <v>0</v>
      </c>
      <c r="J955">
        <v>40</v>
      </c>
      <c r="K955" s="12" t="s">
        <v>176</v>
      </c>
      <c r="L955">
        <v>0</v>
      </c>
      <c r="M955">
        <v>0</v>
      </c>
      <c r="O955" s="39"/>
      <c r="P955" s="16">
        <v>177677.91</v>
      </c>
      <c r="S955" s="17"/>
    </row>
    <row r="956" spans="1:19" x14ac:dyDescent="0.4">
      <c r="A956">
        <v>5428482</v>
      </c>
      <c r="B956" s="15">
        <v>42</v>
      </c>
      <c r="C956" s="12" t="s">
        <v>122</v>
      </c>
      <c r="D956" s="12" t="s">
        <v>135</v>
      </c>
      <c r="E956" s="12" t="s">
        <v>152</v>
      </c>
      <c r="F956" s="12" t="s">
        <v>144</v>
      </c>
      <c r="G956" s="14">
        <f t="shared" ca="1" si="14"/>
        <v>53324.947635170734</v>
      </c>
      <c r="H956" s="12" t="s">
        <v>172</v>
      </c>
      <c r="I956">
        <v>0</v>
      </c>
      <c r="J956">
        <v>40</v>
      </c>
      <c r="K956" s="12" t="s">
        <v>176</v>
      </c>
      <c r="L956">
        <v>0</v>
      </c>
      <c r="M956">
        <v>0</v>
      </c>
      <c r="O956" s="39"/>
      <c r="P956" s="15">
        <v>28766.09</v>
      </c>
      <c r="S956" s="17"/>
    </row>
    <row r="957" spans="1:19" x14ac:dyDescent="0.4">
      <c r="A957">
        <v>5430773</v>
      </c>
      <c r="B957" s="16">
        <v>19</v>
      </c>
      <c r="C957" s="12" t="s">
        <v>122</v>
      </c>
      <c r="D957" s="12" t="s">
        <v>132</v>
      </c>
      <c r="E957" s="12" t="s">
        <v>150</v>
      </c>
      <c r="F957" s="12" t="s">
        <v>156</v>
      </c>
      <c r="G957" s="14">
        <f t="shared" ca="1" si="14"/>
        <v>254081.07804549925</v>
      </c>
      <c r="H957" s="12" t="s">
        <v>171</v>
      </c>
      <c r="I957">
        <v>0</v>
      </c>
      <c r="J957">
        <v>27</v>
      </c>
      <c r="K957" s="12" t="s">
        <v>176</v>
      </c>
      <c r="L957">
        <v>0</v>
      </c>
      <c r="M957">
        <v>0</v>
      </c>
      <c r="O957" s="39"/>
      <c r="P957" s="16">
        <v>155493.78</v>
      </c>
      <c r="S957" s="17"/>
    </row>
    <row r="958" spans="1:19" x14ac:dyDescent="0.4">
      <c r="A958">
        <v>5433851</v>
      </c>
      <c r="B958" s="15">
        <v>25</v>
      </c>
      <c r="C958" s="12" t="s">
        <v>122</v>
      </c>
      <c r="D958" s="12" t="s">
        <v>136</v>
      </c>
      <c r="E958" s="12" t="s">
        <v>152</v>
      </c>
      <c r="F958" s="12" t="s">
        <v>165</v>
      </c>
      <c r="G958" s="14">
        <f t="shared" ca="1" si="14"/>
        <v>92498.114799527262</v>
      </c>
      <c r="H958" s="12" t="s">
        <v>172</v>
      </c>
      <c r="I958">
        <v>0</v>
      </c>
      <c r="J958">
        <v>60</v>
      </c>
      <c r="K958" s="12" t="s">
        <v>179</v>
      </c>
      <c r="L958">
        <v>0</v>
      </c>
      <c r="M958">
        <v>0</v>
      </c>
      <c r="O958" s="39"/>
      <c r="P958" s="15">
        <v>58060.15</v>
      </c>
      <c r="S958" s="17"/>
    </row>
    <row r="959" spans="1:19" x14ac:dyDescent="0.4">
      <c r="A959">
        <v>5443507</v>
      </c>
      <c r="B959" s="16">
        <v>28</v>
      </c>
      <c r="C959" s="12" t="s">
        <v>122</v>
      </c>
      <c r="D959" s="12" t="s">
        <v>135</v>
      </c>
      <c r="E959" s="12" t="s">
        <v>150</v>
      </c>
      <c r="F959" s="12" t="s">
        <v>144</v>
      </c>
      <c r="G959" s="14">
        <f t="shared" ca="1" si="14"/>
        <v>181491.46655740304</v>
      </c>
      <c r="H959" s="12" t="s">
        <v>172</v>
      </c>
      <c r="I959">
        <v>0</v>
      </c>
      <c r="J959">
        <v>45</v>
      </c>
      <c r="K959" s="12" t="s">
        <v>176</v>
      </c>
      <c r="L959">
        <v>0</v>
      </c>
      <c r="M959">
        <v>0</v>
      </c>
      <c r="O959" s="39"/>
      <c r="P959" s="16">
        <v>115787.94</v>
      </c>
      <c r="S959" s="17"/>
    </row>
    <row r="960" spans="1:19" x14ac:dyDescent="0.4">
      <c r="A960">
        <v>5443922</v>
      </c>
      <c r="B960" s="15">
        <v>59</v>
      </c>
      <c r="C960" s="12" t="s">
        <v>124</v>
      </c>
      <c r="D960" s="12" t="s">
        <v>144</v>
      </c>
      <c r="E960" s="12" t="s">
        <v>152</v>
      </c>
      <c r="F960" s="12" t="s">
        <v>144</v>
      </c>
      <c r="G960" s="14">
        <f t="shared" ca="1" si="14"/>
        <v>47929.913993953975</v>
      </c>
      <c r="H960" s="12" t="s">
        <v>172</v>
      </c>
      <c r="I960">
        <v>0</v>
      </c>
      <c r="J960">
        <v>40</v>
      </c>
      <c r="K960" s="12" t="s">
        <v>176</v>
      </c>
      <c r="L960">
        <v>791</v>
      </c>
      <c r="M960">
        <v>1</v>
      </c>
      <c r="O960" s="39"/>
      <c r="P960" s="15">
        <v>26498.59</v>
      </c>
      <c r="S960" s="17"/>
    </row>
    <row r="961" spans="1:19" x14ac:dyDescent="0.4">
      <c r="A961">
        <v>5467953</v>
      </c>
      <c r="B961" s="16">
        <v>49</v>
      </c>
      <c r="C961" s="12" t="s">
        <v>127</v>
      </c>
      <c r="D961" s="12" t="s">
        <v>137</v>
      </c>
      <c r="E961" s="12" t="s">
        <v>152</v>
      </c>
      <c r="F961" s="12" t="s">
        <v>159</v>
      </c>
      <c r="G961" s="14">
        <f t="shared" ca="1" si="14"/>
        <v>19636.339039190359</v>
      </c>
      <c r="H961" s="12" t="s">
        <v>172</v>
      </c>
      <c r="I961">
        <v>0</v>
      </c>
      <c r="J961">
        <v>40</v>
      </c>
      <c r="K961" s="12" t="s">
        <v>176</v>
      </c>
      <c r="L961">
        <v>14497</v>
      </c>
      <c r="M961">
        <v>1</v>
      </c>
      <c r="O961" s="39"/>
      <c r="P961" s="16">
        <v>16388.38</v>
      </c>
      <c r="S961" s="17"/>
    </row>
    <row r="962" spans="1:19" x14ac:dyDescent="0.4">
      <c r="A962">
        <v>5475265</v>
      </c>
      <c r="B962" s="15">
        <v>34</v>
      </c>
      <c r="C962" s="12" t="s">
        <v>123</v>
      </c>
      <c r="D962" s="12" t="s">
        <v>135</v>
      </c>
      <c r="E962" s="12" t="s">
        <v>152</v>
      </c>
      <c r="F962" s="12" t="s">
        <v>159</v>
      </c>
      <c r="G962" s="14">
        <f t="shared" ca="1" si="14"/>
        <v>25849.932058744525</v>
      </c>
      <c r="H962" s="12" t="s">
        <v>172</v>
      </c>
      <c r="I962">
        <v>0</v>
      </c>
      <c r="J962">
        <v>40</v>
      </c>
      <c r="K962" s="12" t="s">
        <v>176</v>
      </c>
      <c r="L962">
        <v>0</v>
      </c>
      <c r="M962">
        <v>0</v>
      </c>
      <c r="O962" s="39"/>
      <c r="P962" s="15">
        <v>16967.77</v>
      </c>
      <c r="S962" s="17"/>
    </row>
    <row r="963" spans="1:19" x14ac:dyDescent="0.4">
      <c r="A963">
        <v>5480800</v>
      </c>
      <c r="B963" s="16">
        <v>20</v>
      </c>
      <c r="C963" s="12" t="s">
        <v>122</v>
      </c>
      <c r="D963" s="12" t="s">
        <v>132</v>
      </c>
      <c r="E963" s="12" t="s">
        <v>150</v>
      </c>
      <c r="F963" s="12" t="s">
        <v>162</v>
      </c>
      <c r="G963" s="14">
        <f t="shared" ca="1" si="14"/>
        <v>229231.30110775903</v>
      </c>
      <c r="H963" s="12" t="s">
        <v>172</v>
      </c>
      <c r="I963">
        <v>0</v>
      </c>
      <c r="J963">
        <v>25</v>
      </c>
      <c r="K963" s="12" t="s">
        <v>176</v>
      </c>
      <c r="L963">
        <v>0</v>
      </c>
      <c r="M963">
        <v>0</v>
      </c>
      <c r="O963" s="39"/>
      <c r="P963" s="16">
        <v>121890.11</v>
      </c>
      <c r="S963" s="17"/>
    </row>
    <row r="964" spans="1:19" x14ac:dyDescent="0.4">
      <c r="A964">
        <v>5482289</v>
      </c>
      <c r="B964" s="15">
        <v>22</v>
      </c>
      <c r="C964" s="12" t="s">
        <v>122</v>
      </c>
      <c r="D964" s="12" t="s">
        <v>132</v>
      </c>
      <c r="E964" s="12" t="s">
        <v>150</v>
      </c>
      <c r="F964" s="12" t="s">
        <v>156</v>
      </c>
      <c r="G964" s="14">
        <f t="shared" ca="1" si="14"/>
        <v>238278.40490110774</v>
      </c>
      <c r="H964" s="12" t="s">
        <v>172</v>
      </c>
      <c r="I964">
        <v>0</v>
      </c>
      <c r="J964">
        <v>30</v>
      </c>
      <c r="K964" s="12" t="s">
        <v>176</v>
      </c>
      <c r="L964">
        <v>0</v>
      </c>
      <c r="M964">
        <v>0</v>
      </c>
      <c r="O964" s="39"/>
      <c r="P964" s="15">
        <v>194054.26</v>
      </c>
      <c r="S964" s="17"/>
    </row>
    <row r="965" spans="1:19" x14ac:dyDescent="0.4">
      <c r="A965">
        <v>5485578</v>
      </c>
      <c r="B965" s="16">
        <v>32</v>
      </c>
      <c r="C965" s="12" t="s">
        <v>129</v>
      </c>
      <c r="D965" s="12" t="s">
        <v>134</v>
      </c>
      <c r="E965" s="12" t="s">
        <v>152</v>
      </c>
      <c r="F965" s="12" t="s">
        <v>129</v>
      </c>
      <c r="G965" s="14">
        <f t="shared" ca="1" si="14"/>
        <v>70928.206682765405</v>
      </c>
      <c r="H965" s="12" t="s">
        <v>172</v>
      </c>
      <c r="I965">
        <v>0</v>
      </c>
      <c r="J965">
        <v>40</v>
      </c>
      <c r="K965" s="12" t="s">
        <v>129</v>
      </c>
      <c r="L965">
        <v>0</v>
      </c>
      <c r="M965">
        <v>0</v>
      </c>
      <c r="O965" s="39"/>
      <c r="P965" s="16">
        <v>46526.3</v>
      </c>
      <c r="S965" s="17"/>
    </row>
    <row r="966" spans="1:19" x14ac:dyDescent="0.4">
      <c r="A966">
        <v>5493168</v>
      </c>
      <c r="B966" s="15">
        <v>21</v>
      </c>
      <c r="C966" s="12" t="s">
        <v>126</v>
      </c>
      <c r="D966" s="12" t="s">
        <v>132</v>
      </c>
      <c r="E966" s="12" t="s">
        <v>150</v>
      </c>
      <c r="F966" s="12" t="s">
        <v>166</v>
      </c>
      <c r="G966" s="14">
        <f t="shared" ca="1" si="14"/>
        <v>49358.158159118117</v>
      </c>
      <c r="H966" s="12" t="s">
        <v>172</v>
      </c>
      <c r="I966">
        <v>0</v>
      </c>
      <c r="J966">
        <v>40</v>
      </c>
      <c r="K966" s="12" t="s">
        <v>176</v>
      </c>
      <c r="L966">
        <v>0</v>
      </c>
      <c r="M966">
        <v>0</v>
      </c>
      <c r="O966" s="39"/>
      <c r="P966" s="15">
        <v>26834.22</v>
      </c>
      <c r="S966" s="17"/>
    </row>
    <row r="967" spans="1:19" x14ac:dyDescent="0.4">
      <c r="A967">
        <v>5507697</v>
      </c>
      <c r="B967" s="16">
        <v>45</v>
      </c>
      <c r="C967" s="12" t="s">
        <v>125</v>
      </c>
      <c r="D967" s="12" t="s">
        <v>134</v>
      </c>
      <c r="E967" s="12" t="s">
        <v>151</v>
      </c>
      <c r="F967" s="12" t="s">
        <v>156</v>
      </c>
      <c r="G967" s="14">
        <f t="shared" ca="1" si="14"/>
        <v>346310.24224365829</v>
      </c>
      <c r="H967" s="12" t="s">
        <v>171</v>
      </c>
      <c r="I967">
        <v>0</v>
      </c>
      <c r="J967">
        <v>40</v>
      </c>
      <c r="K967" s="12" t="s">
        <v>176</v>
      </c>
      <c r="L967">
        <v>0</v>
      </c>
      <c r="M967">
        <v>0</v>
      </c>
      <c r="O967" s="39"/>
      <c r="P967" s="16">
        <v>243776.44</v>
      </c>
      <c r="S967" s="17"/>
    </row>
    <row r="968" spans="1:19" x14ac:dyDescent="0.4">
      <c r="A968">
        <v>5510960</v>
      </c>
      <c r="B968" s="15">
        <v>49</v>
      </c>
      <c r="C968" s="12" t="s">
        <v>124</v>
      </c>
      <c r="D968" s="12" t="s">
        <v>137</v>
      </c>
      <c r="E968" s="12" t="s">
        <v>151</v>
      </c>
      <c r="F968" s="12" t="s">
        <v>160</v>
      </c>
      <c r="G968" s="14">
        <f t="shared" ca="1" si="14"/>
        <v>132681.12441116592</v>
      </c>
      <c r="H968" s="12" t="s">
        <v>172</v>
      </c>
      <c r="I968">
        <v>0</v>
      </c>
      <c r="J968">
        <v>60</v>
      </c>
      <c r="K968" s="12" t="s">
        <v>176</v>
      </c>
      <c r="L968">
        <v>0</v>
      </c>
      <c r="M968">
        <v>0</v>
      </c>
      <c r="O968" s="39"/>
      <c r="P968" s="15">
        <v>100800.81</v>
      </c>
      <c r="S968" s="17"/>
    </row>
    <row r="969" spans="1:19" x14ac:dyDescent="0.4">
      <c r="A969">
        <v>5521101</v>
      </c>
      <c r="B969" s="16">
        <v>26</v>
      </c>
      <c r="C969" s="12" t="s">
        <v>129</v>
      </c>
      <c r="D969" s="12" t="s">
        <v>135</v>
      </c>
      <c r="E969" s="12" t="s">
        <v>150</v>
      </c>
      <c r="F969" s="12" t="s">
        <v>129</v>
      </c>
      <c r="G969" s="14">
        <f t="shared" ca="1" si="14"/>
        <v>164255.46704515169</v>
      </c>
      <c r="H969" s="12" t="s">
        <v>172</v>
      </c>
      <c r="I969">
        <v>0</v>
      </c>
      <c r="J969">
        <v>44</v>
      </c>
      <c r="K969" s="12" t="s">
        <v>176</v>
      </c>
      <c r="L969">
        <v>0</v>
      </c>
      <c r="M969">
        <v>0</v>
      </c>
      <c r="O969" s="39"/>
      <c r="P969" s="16">
        <v>96366.7</v>
      </c>
      <c r="S969" s="17"/>
    </row>
    <row r="970" spans="1:19" x14ac:dyDescent="0.4">
      <c r="A970">
        <v>5521114</v>
      </c>
      <c r="B970" s="15">
        <v>25</v>
      </c>
      <c r="C970" s="12" t="s">
        <v>126</v>
      </c>
      <c r="D970" s="12" t="s">
        <v>134</v>
      </c>
      <c r="E970" s="12" t="s">
        <v>150</v>
      </c>
      <c r="F970" s="12" t="s">
        <v>160</v>
      </c>
      <c r="G970" s="14">
        <f t="shared" ca="1" si="14"/>
        <v>51197.659244332826</v>
      </c>
      <c r="H970" s="12" t="s">
        <v>172</v>
      </c>
      <c r="I970">
        <v>0</v>
      </c>
      <c r="J970">
        <v>40</v>
      </c>
      <c r="K970" s="12" t="s">
        <v>176</v>
      </c>
      <c r="L970">
        <v>0</v>
      </c>
      <c r="M970">
        <v>0</v>
      </c>
      <c r="O970" s="39"/>
      <c r="P970" s="15">
        <v>41771.75</v>
      </c>
      <c r="S970" s="17"/>
    </row>
    <row r="971" spans="1:19" x14ac:dyDescent="0.4">
      <c r="A971">
        <v>5522201</v>
      </c>
      <c r="B971" s="16">
        <v>39</v>
      </c>
      <c r="C971" s="12" t="s">
        <v>122</v>
      </c>
      <c r="D971" s="12" t="s">
        <v>132</v>
      </c>
      <c r="E971" s="12" t="s">
        <v>152</v>
      </c>
      <c r="F971" s="12" t="s">
        <v>160</v>
      </c>
      <c r="G971" s="14">
        <f t="shared" ref="G971:G1034" ca="1" si="15">P971*(1+RAND())</f>
        <v>56260.922730239341</v>
      </c>
      <c r="H971" s="12" t="s">
        <v>172</v>
      </c>
      <c r="I971">
        <v>0</v>
      </c>
      <c r="J971">
        <v>50</v>
      </c>
      <c r="K971" s="12" t="s">
        <v>176</v>
      </c>
      <c r="L971">
        <v>5189</v>
      </c>
      <c r="M971">
        <v>1</v>
      </c>
      <c r="O971" s="39"/>
      <c r="P971" s="16">
        <v>53614.87</v>
      </c>
      <c r="S971" s="17"/>
    </row>
    <row r="972" spans="1:19" x14ac:dyDescent="0.4">
      <c r="A972">
        <v>5535163</v>
      </c>
      <c r="B972" s="15">
        <v>44</v>
      </c>
      <c r="C972" s="12" t="s">
        <v>127</v>
      </c>
      <c r="D972" s="12" t="s">
        <v>137</v>
      </c>
      <c r="E972" s="12" t="s">
        <v>152</v>
      </c>
      <c r="F972" s="12" t="s">
        <v>159</v>
      </c>
      <c r="G972" s="14">
        <f t="shared" ca="1" si="15"/>
        <v>34412.207304089199</v>
      </c>
      <c r="H972" s="12" t="s">
        <v>172</v>
      </c>
      <c r="I972">
        <v>0</v>
      </c>
      <c r="J972">
        <v>40</v>
      </c>
      <c r="K972" s="12" t="s">
        <v>176</v>
      </c>
      <c r="L972">
        <v>-41</v>
      </c>
      <c r="M972">
        <v>1</v>
      </c>
      <c r="O972" s="39"/>
      <c r="P972" s="15">
        <v>17748.54</v>
      </c>
      <c r="S972" s="17"/>
    </row>
    <row r="973" spans="1:19" x14ac:dyDescent="0.4">
      <c r="A973">
        <v>5539926</v>
      </c>
      <c r="B973" s="16">
        <v>66</v>
      </c>
      <c r="C973" s="12" t="s">
        <v>122</v>
      </c>
      <c r="D973" s="12" t="s">
        <v>135</v>
      </c>
      <c r="E973" s="12" t="s">
        <v>152</v>
      </c>
      <c r="F973" s="12" t="s">
        <v>144</v>
      </c>
      <c r="G973" s="14">
        <f t="shared" ca="1" si="15"/>
        <v>52037.138544146699</v>
      </c>
      <c r="H973" s="12" t="s">
        <v>172</v>
      </c>
      <c r="I973">
        <v>0</v>
      </c>
      <c r="J973">
        <v>45</v>
      </c>
      <c r="K973" s="12" t="s">
        <v>176</v>
      </c>
      <c r="L973">
        <v>0</v>
      </c>
      <c r="M973">
        <v>1</v>
      </c>
      <c r="O973" s="39"/>
      <c r="P973" s="16">
        <v>27410.54</v>
      </c>
      <c r="S973" s="17"/>
    </row>
    <row r="974" spans="1:19" x14ac:dyDescent="0.4">
      <c r="A974">
        <v>5542944</v>
      </c>
      <c r="B974" s="15">
        <v>47</v>
      </c>
      <c r="C974" s="12" t="s">
        <v>122</v>
      </c>
      <c r="D974" s="12" t="s">
        <v>134</v>
      </c>
      <c r="E974" s="12" t="s">
        <v>151</v>
      </c>
      <c r="F974" s="12" t="s">
        <v>156</v>
      </c>
      <c r="G974" s="14">
        <f t="shared" ca="1" si="15"/>
        <v>33270.762378602114</v>
      </c>
      <c r="H974" s="12" t="s">
        <v>172</v>
      </c>
      <c r="I974">
        <v>0</v>
      </c>
      <c r="J974">
        <v>32</v>
      </c>
      <c r="K974" s="12" t="s">
        <v>176</v>
      </c>
      <c r="L974">
        <v>0</v>
      </c>
      <c r="M974">
        <v>0</v>
      </c>
      <c r="O974" s="39"/>
      <c r="P974" s="15">
        <v>28176.12</v>
      </c>
      <c r="S974" s="17"/>
    </row>
    <row r="975" spans="1:19" x14ac:dyDescent="0.4">
      <c r="A975">
        <v>5543593</v>
      </c>
      <c r="B975" s="16">
        <v>30</v>
      </c>
      <c r="C975" s="12" t="s">
        <v>122</v>
      </c>
      <c r="D975" s="12" t="s">
        <v>135</v>
      </c>
      <c r="E975" s="12" t="s">
        <v>150</v>
      </c>
      <c r="F975" s="12" t="s">
        <v>159</v>
      </c>
      <c r="G975" s="14">
        <f t="shared" ca="1" si="15"/>
        <v>208636.59891373286</v>
      </c>
      <c r="H975" s="12" t="s">
        <v>172</v>
      </c>
      <c r="I975">
        <v>0</v>
      </c>
      <c r="J975">
        <v>10</v>
      </c>
      <c r="K975" s="12" t="s">
        <v>176</v>
      </c>
      <c r="L975">
        <v>0</v>
      </c>
      <c r="M975">
        <v>0</v>
      </c>
      <c r="O975" s="39"/>
      <c r="P975" s="16">
        <v>166349.59</v>
      </c>
      <c r="S975" s="17"/>
    </row>
    <row r="976" spans="1:19" x14ac:dyDescent="0.4">
      <c r="A976">
        <v>5543739</v>
      </c>
      <c r="B976" s="15">
        <v>50</v>
      </c>
      <c r="C976" s="12" t="s">
        <v>122</v>
      </c>
      <c r="D976" s="12" t="s">
        <v>134</v>
      </c>
      <c r="E976" s="12" t="s">
        <v>152</v>
      </c>
      <c r="F976" s="12" t="s">
        <v>159</v>
      </c>
      <c r="G976" s="14">
        <f t="shared" ca="1" si="15"/>
        <v>82714.346671106789</v>
      </c>
      <c r="H976" s="12" t="s">
        <v>172</v>
      </c>
      <c r="I976">
        <v>0</v>
      </c>
      <c r="J976">
        <v>40</v>
      </c>
      <c r="K976" s="12" t="s">
        <v>176</v>
      </c>
      <c r="L976">
        <v>3997</v>
      </c>
      <c r="M976">
        <v>1</v>
      </c>
      <c r="O976" s="39"/>
      <c r="P976" s="15">
        <v>47316.24</v>
      </c>
      <c r="S976" s="17"/>
    </row>
    <row r="977" spans="1:19" x14ac:dyDescent="0.4">
      <c r="A977">
        <v>5543793</v>
      </c>
      <c r="B977" s="16">
        <v>20</v>
      </c>
      <c r="C977" s="12" t="s">
        <v>122</v>
      </c>
      <c r="D977" s="12" t="s">
        <v>132</v>
      </c>
      <c r="E977" s="12" t="s">
        <v>150</v>
      </c>
      <c r="F977" s="12" t="s">
        <v>156</v>
      </c>
      <c r="G977" s="14">
        <f t="shared" ca="1" si="15"/>
        <v>197747.74699576679</v>
      </c>
      <c r="H977" s="12" t="s">
        <v>171</v>
      </c>
      <c r="I977">
        <v>0</v>
      </c>
      <c r="J977">
        <v>20</v>
      </c>
      <c r="K977" s="12" t="s">
        <v>176</v>
      </c>
      <c r="L977">
        <v>0</v>
      </c>
      <c r="M977">
        <v>0</v>
      </c>
      <c r="O977" s="39"/>
      <c r="P977" s="16">
        <v>185072.43</v>
      </c>
      <c r="S977" s="17"/>
    </row>
    <row r="978" spans="1:19" x14ac:dyDescent="0.4">
      <c r="A978">
        <v>5547769</v>
      </c>
      <c r="B978" s="15">
        <v>28</v>
      </c>
      <c r="C978" s="12" t="s">
        <v>122</v>
      </c>
      <c r="D978" s="12" t="s">
        <v>137</v>
      </c>
      <c r="E978" s="12" t="s">
        <v>152</v>
      </c>
      <c r="F978" s="12" t="s">
        <v>156</v>
      </c>
      <c r="G978" s="14">
        <f t="shared" ca="1" si="15"/>
        <v>84948.496980859563</v>
      </c>
      <c r="H978" s="12" t="s">
        <v>171</v>
      </c>
      <c r="I978">
        <v>0</v>
      </c>
      <c r="J978">
        <v>40</v>
      </c>
      <c r="K978" s="12" t="s">
        <v>176</v>
      </c>
      <c r="L978">
        <v>0</v>
      </c>
      <c r="M978">
        <v>0</v>
      </c>
      <c r="O978" s="39"/>
      <c r="P978" s="15">
        <v>79749.710000000006</v>
      </c>
      <c r="S978" s="17"/>
    </row>
    <row r="979" spans="1:19" x14ac:dyDescent="0.4">
      <c r="A979">
        <v>5549803</v>
      </c>
      <c r="B979" s="16">
        <v>54</v>
      </c>
      <c r="C979" s="12" t="s">
        <v>129</v>
      </c>
      <c r="D979" s="12" t="s">
        <v>138</v>
      </c>
      <c r="E979" s="12" t="s">
        <v>150</v>
      </c>
      <c r="F979" s="12" t="s">
        <v>129</v>
      </c>
      <c r="G979" s="14">
        <f t="shared" ca="1" si="15"/>
        <v>81472.706442576338</v>
      </c>
      <c r="H979" s="12" t="s">
        <v>171</v>
      </c>
      <c r="I979">
        <v>0</v>
      </c>
      <c r="J979">
        <v>40</v>
      </c>
      <c r="K979" s="12" t="s">
        <v>176</v>
      </c>
      <c r="L979">
        <v>0</v>
      </c>
      <c r="M979">
        <v>0</v>
      </c>
      <c r="O979" s="39"/>
      <c r="P979" s="16">
        <v>79612.990000000005</v>
      </c>
      <c r="S979" s="17"/>
    </row>
    <row r="980" spans="1:19" x14ac:dyDescent="0.4">
      <c r="A980">
        <v>5553113</v>
      </c>
      <c r="B980" s="15">
        <v>58</v>
      </c>
      <c r="C980" s="12" t="s">
        <v>122</v>
      </c>
      <c r="D980" s="12" t="s">
        <v>134</v>
      </c>
      <c r="E980" s="12" t="s">
        <v>151</v>
      </c>
      <c r="F980" s="12" t="s">
        <v>160</v>
      </c>
      <c r="G980" s="14">
        <f t="shared" ca="1" si="15"/>
        <v>308047.05480490398</v>
      </c>
      <c r="H980" s="12" t="s">
        <v>171</v>
      </c>
      <c r="I980">
        <v>0</v>
      </c>
      <c r="J980">
        <v>40</v>
      </c>
      <c r="K980" s="12" t="s">
        <v>176</v>
      </c>
      <c r="L980">
        <v>0</v>
      </c>
      <c r="M980">
        <v>0</v>
      </c>
      <c r="O980" s="39"/>
      <c r="P980" s="15">
        <v>204682.96</v>
      </c>
      <c r="S980" s="17"/>
    </row>
    <row r="981" spans="1:19" x14ac:dyDescent="0.4">
      <c r="A981">
        <v>5554606</v>
      </c>
      <c r="B981" s="16">
        <v>58</v>
      </c>
      <c r="C981" s="12" t="s">
        <v>122</v>
      </c>
      <c r="D981" s="12" t="s">
        <v>134</v>
      </c>
      <c r="E981" s="12" t="s">
        <v>151</v>
      </c>
      <c r="F981" s="12" t="s">
        <v>156</v>
      </c>
      <c r="G981" s="14">
        <f t="shared" ca="1" si="15"/>
        <v>254693.57837842888</v>
      </c>
      <c r="H981" s="12" t="s">
        <v>171</v>
      </c>
      <c r="I981">
        <v>0</v>
      </c>
      <c r="J981">
        <v>25</v>
      </c>
      <c r="K981" s="12" t="s">
        <v>176</v>
      </c>
      <c r="L981">
        <v>0</v>
      </c>
      <c r="M981">
        <v>0</v>
      </c>
      <c r="O981" s="39"/>
      <c r="P981" s="16">
        <v>193492.7</v>
      </c>
      <c r="S981" s="17"/>
    </row>
    <row r="982" spans="1:19" x14ac:dyDescent="0.4">
      <c r="A982">
        <v>5555403</v>
      </c>
      <c r="B982" s="15">
        <v>54</v>
      </c>
      <c r="C982" s="12" t="s">
        <v>122</v>
      </c>
      <c r="D982" s="12" t="s">
        <v>138</v>
      </c>
      <c r="E982" s="12" t="s">
        <v>152</v>
      </c>
      <c r="F982" s="12" t="s">
        <v>160</v>
      </c>
      <c r="G982" s="14">
        <f t="shared" ca="1" si="15"/>
        <v>64808.288495828616</v>
      </c>
      <c r="H982" s="12" t="s">
        <v>172</v>
      </c>
      <c r="I982">
        <v>0</v>
      </c>
      <c r="J982">
        <v>45</v>
      </c>
      <c r="K982" s="12" t="s">
        <v>176</v>
      </c>
      <c r="L982">
        <v>16270</v>
      </c>
      <c r="M982">
        <v>1</v>
      </c>
      <c r="O982" s="39"/>
      <c r="P982" s="15">
        <v>34550.160000000003</v>
      </c>
      <c r="S982" s="17"/>
    </row>
    <row r="983" spans="1:19" x14ac:dyDescent="0.4">
      <c r="A983">
        <v>5556926</v>
      </c>
      <c r="B983" s="16">
        <v>33</v>
      </c>
      <c r="C983" s="12" t="s">
        <v>123</v>
      </c>
      <c r="D983" s="12" t="s">
        <v>135</v>
      </c>
      <c r="E983" s="12" t="s">
        <v>152</v>
      </c>
      <c r="F983" s="12" t="s">
        <v>144</v>
      </c>
      <c r="G983" s="14">
        <f t="shared" ca="1" si="15"/>
        <v>220278.82565424484</v>
      </c>
      <c r="H983" s="12" t="s">
        <v>171</v>
      </c>
      <c r="I983">
        <v>0</v>
      </c>
      <c r="J983">
        <v>50</v>
      </c>
      <c r="K983" s="12" t="s">
        <v>176</v>
      </c>
      <c r="L983">
        <v>0</v>
      </c>
      <c r="M983">
        <v>1</v>
      </c>
      <c r="O983" s="39"/>
      <c r="P983" s="16">
        <v>126715.93</v>
      </c>
      <c r="S983" s="17"/>
    </row>
    <row r="984" spans="1:19" x14ac:dyDescent="0.4">
      <c r="A984">
        <v>5564122</v>
      </c>
      <c r="B984" s="15">
        <v>44</v>
      </c>
      <c r="C984" s="12" t="s">
        <v>125</v>
      </c>
      <c r="D984" s="12" t="s">
        <v>134</v>
      </c>
      <c r="E984" s="12" t="s">
        <v>152</v>
      </c>
      <c r="F984" s="12" t="s">
        <v>161</v>
      </c>
      <c r="G984" s="14">
        <f t="shared" ca="1" si="15"/>
        <v>56688.627578669504</v>
      </c>
      <c r="H984" s="12" t="s">
        <v>172</v>
      </c>
      <c r="I984">
        <v>0</v>
      </c>
      <c r="J984">
        <v>40</v>
      </c>
      <c r="K984" s="12" t="s">
        <v>176</v>
      </c>
      <c r="L984">
        <v>0</v>
      </c>
      <c r="M984">
        <v>0</v>
      </c>
      <c r="O984" s="39"/>
      <c r="P984" s="15">
        <v>30781.3</v>
      </c>
      <c r="S984" s="17"/>
    </row>
    <row r="985" spans="1:19" x14ac:dyDescent="0.4">
      <c r="A985">
        <v>5564641</v>
      </c>
      <c r="B985" s="16">
        <v>21</v>
      </c>
      <c r="C985" s="12" t="s">
        <v>129</v>
      </c>
      <c r="D985" s="12" t="s">
        <v>145</v>
      </c>
      <c r="E985" s="12" t="s">
        <v>150</v>
      </c>
      <c r="F985" s="12" t="s">
        <v>129</v>
      </c>
      <c r="G985" s="14">
        <f t="shared" ca="1" si="15"/>
        <v>346407.746264113</v>
      </c>
      <c r="H985" s="12" t="s">
        <v>172</v>
      </c>
      <c r="I985">
        <v>0</v>
      </c>
      <c r="J985">
        <v>40</v>
      </c>
      <c r="K985" s="12" t="s">
        <v>176</v>
      </c>
      <c r="L985">
        <v>0</v>
      </c>
      <c r="M985">
        <v>0</v>
      </c>
      <c r="O985" s="39"/>
      <c r="P985" s="16">
        <v>185594.22</v>
      </c>
      <c r="S985" s="17"/>
    </row>
    <row r="986" spans="1:19" x14ac:dyDescent="0.4">
      <c r="A986">
        <v>5570254</v>
      </c>
      <c r="B986" s="15">
        <v>27</v>
      </c>
      <c r="C986" s="12" t="s">
        <v>122</v>
      </c>
      <c r="D986" s="12" t="s">
        <v>143</v>
      </c>
      <c r="E986" s="12" t="s">
        <v>150</v>
      </c>
      <c r="F986" s="12" t="s">
        <v>165</v>
      </c>
      <c r="G986" s="14">
        <f t="shared" ca="1" si="15"/>
        <v>215697.76276241578</v>
      </c>
      <c r="H986" s="12" t="s">
        <v>172</v>
      </c>
      <c r="I986">
        <v>0</v>
      </c>
      <c r="J986">
        <v>48</v>
      </c>
      <c r="K986" s="12" t="s">
        <v>190</v>
      </c>
      <c r="L986">
        <v>0</v>
      </c>
      <c r="M986">
        <v>0</v>
      </c>
      <c r="O986" s="39"/>
      <c r="P986" s="15">
        <v>110499.57</v>
      </c>
      <c r="S986" s="17"/>
    </row>
    <row r="987" spans="1:19" x14ac:dyDescent="0.4">
      <c r="A987">
        <v>5577857</v>
      </c>
      <c r="B987" s="16">
        <v>37</v>
      </c>
      <c r="C987" s="12" t="s">
        <v>122</v>
      </c>
      <c r="D987" s="12" t="s">
        <v>132</v>
      </c>
      <c r="E987" s="12" t="s">
        <v>152</v>
      </c>
      <c r="F987" s="12" t="s">
        <v>160</v>
      </c>
      <c r="G987" s="14">
        <f t="shared" ca="1" si="15"/>
        <v>79982.342134751074</v>
      </c>
      <c r="H987" s="12" t="s">
        <v>172</v>
      </c>
      <c r="I987">
        <v>0</v>
      </c>
      <c r="J987">
        <v>60</v>
      </c>
      <c r="K987" s="12" t="s">
        <v>176</v>
      </c>
      <c r="L987">
        <v>0</v>
      </c>
      <c r="M987">
        <v>1</v>
      </c>
      <c r="O987" s="39"/>
      <c r="P987" s="16">
        <v>51634.23</v>
      </c>
      <c r="S987" s="17"/>
    </row>
    <row r="988" spans="1:19" x14ac:dyDescent="0.4">
      <c r="A988">
        <v>5577907</v>
      </c>
      <c r="B988" s="15">
        <v>48</v>
      </c>
      <c r="C988" s="12" t="s">
        <v>124</v>
      </c>
      <c r="D988" s="12" t="s">
        <v>132</v>
      </c>
      <c r="E988" s="12" t="s">
        <v>152</v>
      </c>
      <c r="F988" s="12" t="s">
        <v>162</v>
      </c>
      <c r="G988" s="14">
        <f t="shared" ca="1" si="15"/>
        <v>35463.430201027222</v>
      </c>
      <c r="H988" s="12" t="s">
        <v>172</v>
      </c>
      <c r="I988">
        <v>0</v>
      </c>
      <c r="J988">
        <v>38</v>
      </c>
      <c r="K988" s="12" t="s">
        <v>176</v>
      </c>
      <c r="L988">
        <v>1498</v>
      </c>
      <c r="M988">
        <v>1</v>
      </c>
      <c r="O988" s="39"/>
      <c r="P988" s="15">
        <v>26291.84</v>
      </c>
      <c r="S988" s="17"/>
    </row>
    <row r="989" spans="1:19" x14ac:dyDescent="0.4">
      <c r="A989">
        <v>5583018</v>
      </c>
      <c r="B989" s="16">
        <v>23</v>
      </c>
      <c r="C989" s="12" t="s">
        <v>127</v>
      </c>
      <c r="D989" s="12" t="s">
        <v>132</v>
      </c>
      <c r="E989" s="12" t="s">
        <v>150</v>
      </c>
      <c r="F989" s="12" t="s">
        <v>168</v>
      </c>
      <c r="G989" s="14">
        <f t="shared" ca="1" si="15"/>
        <v>146315.01615844824</v>
      </c>
      <c r="H989" s="12" t="s">
        <v>172</v>
      </c>
      <c r="I989">
        <v>0</v>
      </c>
      <c r="J989">
        <v>40</v>
      </c>
      <c r="K989" s="12" t="s">
        <v>176</v>
      </c>
      <c r="L989">
        <v>0</v>
      </c>
      <c r="M989">
        <v>0</v>
      </c>
      <c r="O989" s="39"/>
      <c r="P989" s="16">
        <v>104833.65</v>
      </c>
      <c r="S989" s="17"/>
    </row>
    <row r="990" spans="1:19" x14ac:dyDescent="0.4">
      <c r="A990">
        <v>5583524</v>
      </c>
      <c r="B990" s="15">
        <v>50</v>
      </c>
      <c r="C990" s="12" t="s">
        <v>122</v>
      </c>
      <c r="D990" s="12" t="s">
        <v>132</v>
      </c>
      <c r="E990" s="12" t="s">
        <v>151</v>
      </c>
      <c r="F990" s="12" t="s">
        <v>159</v>
      </c>
      <c r="G990" s="14">
        <f t="shared" ca="1" si="15"/>
        <v>10161.364442378625</v>
      </c>
      <c r="H990" s="12" t="s">
        <v>172</v>
      </c>
      <c r="I990">
        <v>0</v>
      </c>
      <c r="J990">
        <v>22</v>
      </c>
      <c r="K990" s="12" t="s">
        <v>176</v>
      </c>
      <c r="L990">
        <v>0</v>
      </c>
      <c r="M990">
        <v>0</v>
      </c>
      <c r="O990" s="39"/>
      <c r="P990" s="15">
        <v>5918.22</v>
      </c>
      <c r="S990" s="17"/>
    </row>
    <row r="991" spans="1:19" x14ac:dyDescent="0.4">
      <c r="A991">
        <v>5584507</v>
      </c>
      <c r="B991" s="16">
        <v>68</v>
      </c>
      <c r="C991" s="12" t="s">
        <v>122</v>
      </c>
      <c r="D991" s="12" t="s">
        <v>134</v>
      </c>
      <c r="E991" s="12" t="s">
        <v>152</v>
      </c>
      <c r="F991" s="12" t="s">
        <v>164</v>
      </c>
      <c r="G991" s="14">
        <f t="shared" ca="1" si="15"/>
        <v>35312.668690761871</v>
      </c>
      <c r="H991" s="12" t="s">
        <v>172</v>
      </c>
      <c r="I991">
        <v>0</v>
      </c>
      <c r="J991">
        <v>45</v>
      </c>
      <c r="K991" s="12" t="s">
        <v>176</v>
      </c>
      <c r="L991">
        <v>3044</v>
      </c>
      <c r="M991">
        <v>1</v>
      </c>
      <c r="O991" s="39"/>
      <c r="P991" s="16">
        <v>18759.099999999999</v>
      </c>
      <c r="S991" s="17"/>
    </row>
    <row r="992" spans="1:19" x14ac:dyDescent="0.4">
      <c r="A992">
        <v>5584551</v>
      </c>
      <c r="B992" s="15">
        <v>43</v>
      </c>
      <c r="C992" s="12" t="s">
        <v>122</v>
      </c>
      <c r="D992" s="12" t="s">
        <v>134</v>
      </c>
      <c r="E992" s="12" t="s">
        <v>152</v>
      </c>
      <c r="F992" s="12" t="s">
        <v>159</v>
      </c>
      <c r="G992" s="14">
        <f t="shared" ca="1" si="15"/>
        <v>487061.21097848366</v>
      </c>
      <c r="H992" s="12" t="s">
        <v>171</v>
      </c>
      <c r="I992">
        <v>0</v>
      </c>
      <c r="J992">
        <v>42</v>
      </c>
      <c r="K992" s="12" t="s">
        <v>176</v>
      </c>
      <c r="L992">
        <v>13944</v>
      </c>
      <c r="M992">
        <v>1</v>
      </c>
      <c r="O992" s="39"/>
      <c r="P992" s="15">
        <v>263647.11</v>
      </c>
      <c r="S992" s="17"/>
    </row>
    <row r="993" spans="1:19" x14ac:dyDescent="0.4">
      <c r="A993">
        <v>5585013</v>
      </c>
      <c r="B993" s="16">
        <v>40</v>
      </c>
      <c r="C993" s="12" t="s">
        <v>125</v>
      </c>
      <c r="D993" s="12" t="s">
        <v>134</v>
      </c>
      <c r="E993" s="12" t="s">
        <v>152</v>
      </c>
      <c r="F993" s="12" t="s">
        <v>156</v>
      </c>
      <c r="G993" s="14">
        <f t="shared" ca="1" si="15"/>
        <v>148833.99972456697</v>
      </c>
      <c r="H993" s="12" t="s">
        <v>172</v>
      </c>
      <c r="I993">
        <v>0</v>
      </c>
      <c r="J993">
        <v>40</v>
      </c>
      <c r="K993" s="12" t="s">
        <v>176</v>
      </c>
      <c r="L993">
        <v>0</v>
      </c>
      <c r="M993">
        <v>0</v>
      </c>
      <c r="O993" s="39"/>
      <c r="P993" s="16">
        <v>96688.71</v>
      </c>
      <c r="S993" s="17"/>
    </row>
    <row r="994" spans="1:19" x14ac:dyDescent="0.4">
      <c r="A994">
        <v>5586645</v>
      </c>
      <c r="B994" s="15">
        <v>18</v>
      </c>
      <c r="C994" s="12" t="s">
        <v>122</v>
      </c>
      <c r="D994" s="12" t="s">
        <v>132</v>
      </c>
      <c r="E994" s="12" t="s">
        <v>150</v>
      </c>
      <c r="F994" s="12" t="s">
        <v>156</v>
      </c>
      <c r="G994" s="14">
        <f t="shared" ca="1" si="15"/>
        <v>220723.35384723404</v>
      </c>
      <c r="H994" s="12" t="s">
        <v>172</v>
      </c>
      <c r="I994">
        <v>0</v>
      </c>
      <c r="J994">
        <v>16</v>
      </c>
      <c r="K994" s="12" t="s">
        <v>176</v>
      </c>
      <c r="L994">
        <v>0</v>
      </c>
      <c r="M994">
        <v>0</v>
      </c>
      <c r="O994" s="39"/>
      <c r="P994" s="15">
        <v>149844.73000000001</v>
      </c>
      <c r="S994" s="17"/>
    </row>
    <row r="995" spans="1:19" x14ac:dyDescent="0.4">
      <c r="A995">
        <v>5592627</v>
      </c>
      <c r="B995" s="16">
        <v>44</v>
      </c>
      <c r="C995" s="12" t="s">
        <v>122</v>
      </c>
      <c r="D995" s="12" t="s">
        <v>132</v>
      </c>
      <c r="E995" s="12" t="s">
        <v>152</v>
      </c>
      <c r="F995" s="12" t="s">
        <v>162</v>
      </c>
      <c r="G995" s="14">
        <f t="shared" ca="1" si="15"/>
        <v>57804.554865571015</v>
      </c>
      <c r="H995" s="12" t="s">
        <v>172</v>
      </c>
      <c r="I995">
        <v>0</v>
      </c>
      <c r="J995">
        <v>60</v>
      </c>
      <c r="K995" s="12" t="s">
        <v>176</v>
      </c>
      <c r="L995">
        <v>0</v>
      </c>
      <c r="M995">
        <v>0</v>
      </c>
      <c r="O995" s="39"/>
      <c r="P995" s="16">
        <v>50115.03</v>
      </c>
      <c r="S995" s="17"/>
    </row>
    <row r="996" spans="1:19" x14ac:dyDescent="0.4">
      <c r="A996">
        <v>5593596</v>
      </c>
      <c r="B996" s="15">
        <v>31</v>
      </c>
      <c r="C996" s="12" t="s">
        <v>122</v>
      </c>
      <c r="D996" s="12" t="s">
        <v>134</v>
      </c>
      <c r="E996" s="12" t="s">
        <v>150</v>
      </c>
      <c r="F996" s="12" t="s">
        <v>158</v>
      </c>
      <c r="G996" s="14">
        <f t="shared" ca="1" si="15"/>
        <v>59968.197559799046</v>
      </c>
      <c r="H996" s="12" t="s">
        <v>171</v>
      </c>
      <c r="I996">
        <v>0</v>
      </c>
      <c r="J996">
        <v>50</v>
      </c>
      <c r="K996" s="12" t="s">
        <v>176</v>
      </c>
      <c r="L996">
        <v>0</v>
      </c>
      <c r="M996">
        <v>0</v>
      </c>
      <c r="O996" s="39"/>
      <c r="P996" s="15">
        <v>51203.16</v>
      </c>
      <c r="S996" s="17"/>
    </row>
    <row r="997" spans="1:19" x14ac:dyDescent="0.4">
      <c r="A997">
        <v>5593943</v>
      </c>
      <c r="B997" s="16">
        <v>24</v>
      </c>
      <c r="C997" s="12" t="s">
        <v>122</v>
      </c>
      <c r="D997" s="12" t="s">
        <v>132</v>
      </c>
      <c r="E997" s="12" t="s">
        <v>150</v>
      </c>
      <c r="F997" s="12" t="s">
        <v>161</v>
      </c>
      <c r="G997" s="14">
        <f t="shared" ca="1" si="15"/>
        <v>32120.360443481717</v>
      </c>
      <c r="H997" s="12" t="s">
        <v>171</v>
      </c>
      <c r="I997">
        <v>0</v>
      </c>
      <c r="J997">
        <v>45</v>
      </c>
      <c r="K997" s="12" t="s">
        <v>176</v>
      </c>
      <c r="L997">
        <v>0</v>
      </c>
      <c r="M997">
        <v>0</v>
      </c>
      <c r="O997" s="39"/>
      <c r="P997" s="16">
        <v>27822.71</v>
      </c>
      <c r="S997" s="17"/>
    </row>
    <row r="998" spans="1:19" x14ac:dyDescent="0.4">
      <c r="A998">
        <v>5601444</v>
      </c>
      <c r="B998" s="15">
        <v>35</v>
      </c>
      <c r="C998" s="12" t="s">
        <v>122</v>
      </c>
      <c r="D998" s="12" t="s">
        <v>134</v>
      </c>
      <c r="E998" s="12" t="s">
        <v>152</v>
      </c>
      <c r="F998" s="12" t="s">
        <v>160</v>
      </c>
      <c r="G998" s="14">
        <f t="shared" ca="1" si="15"/>
        <v>63615.730487966815</v>
      </c>
      <c r="H998" s="12" t="s">
        <v>172</v>
      </c>
      <c r="I998">
        <v>0</v>
      </c>
      <c r="J998">
        <v>48</v>
      </c>
      <c r="K998" s="12" t="s">
        <v>176</v>
      </c>
      <c r="L998">
        <v>0</v>
      </c>
      <c r="M998">
        <v>0</v>
      </c>
      <c r="O998" s="39"/>
      <c r="P998" s="15">
        <v>60899.02</v>
      </c>
      <c r="S998" s="17"/>
    </row>
    <row r="999" spans="1:19" x14ac:dyDescent="0.4">
      <c r="A999">
        <v>5606961</v>
      </c>
      <c r="B999" s="16">
        <v>52</v>
      </c>
      <c r="C999" s="12" t="s">
        <v>122</v>
      </c>
      <c r="D999" s="12" t="s">
        <v>132</v>
      </c>
      <c r="E999" s="12" t="s">
        <v>152</v>
      </c>
      <c r="F999" s="12" t="s">
        <v>160</v>
      </c>
      <c r="G999" s="14">
        <f t="shared" ca="1" si="15"/>
        <v>42952.683027127219</v>
      </c>
      <c r="H999" s="12" t="s">
        <v>172</v>
      </c>
      <c r="I999">
        <v>0</v>
      </c>
      <c r="J999">
        <v>60</v>
      </c>
      <c r="K999" s="12" t="s">
        <v>176</v>
      </c>
      <c r="L999">
        <v>0</v>
      </c>
      <c r="M999">
        <v>0</v>
      </c>
      <c r="O999" s="39"/>
      <c r="P999" s="16">
        <v>39134.449999999997</v>
      </c>
      <c r="S999" s="17"/>
    </row>
    <row r="1000" spans="1:19" x14ac:dyDescent="0.4">
      <c r="A1000">
        <v>5607617</v>
      </c>
      <c r="B1000" s="15">
        <v>19</v>
      </c>
      <c r="C1000" s="12" t="s">
        <v>122</v>
      </c>
      <c r="D1000" s="12" t="s">
        <v>132</v>
      </c>
      <c r="E1000" s="12" t="s">
        <v>150</v>
      </c>
      <c r="F1000" s="12" t="s">
        <v>156</v>
      </c>
      <c r="G1000" s="14">
        <f t="shared" ca="1" si="15"/>
        <v>76392.90976991129</v>
      </c>
      <c r="H1000" s="12" t="s">
        <v>171</v>
      </c>
      <c r="I1000">
        <v>0</v>
      </c>
      <c r="J1000">
        <v>25</v>
      </c>
      <c r="K1000" s="12" t="s">
        <v>176</v>
      </c>
      <c r="L1000">
        <v>0</v>
      </c>
      <c r="M1000">
        <v>0</v>
      </c>
      <c r="O1000" s="39"/>
      <c r="P1000" s="15">
        <v>61766.53</v>
      </c>
      <c r="S1000" s="17"/>
    </row>
    <row r="1001" spans="1:19" x14ac:dyDescent="0.4">
      <c r="A1001">
        <v>5610373</v>
      </c>
      <c r="B1001" s="16">
        <v>29</v>
      </c>
      <c r="C1001" s="12" t="s">
        <v>122</v>
      </c>
      <c r="D1001" s="12" t="s">
        <v>134</v>
      </c>
      <c r="E1001" s="12" t="s">
        <v>150</v>
      </c>
      <c r="F1001" s="12" t="s">
        <v>165</v>
      </c>
      <c r="G1001" s="14">
        <f t="shared" ca="1" si="15"/>
        <v>134535.8491603001</v>
      </c>
      <c r="H1001" s="12" t="s">
        <v>172</v>
      </c>
      <c r="I1001">
        <v>0</v>
      </c>
      <c r="J1001">
        <v>50</v>
      </c>
      <c r="K1001" s="12" t="s">
        <v>129</v>
      </c>
      <c r="L1001">
        <v>0</v>
      </c>
      <c r="M1001">
        <v>0</v>
      </c>
      <c r="O1001" s="39"/>
      <c r="P1001" s="16">
        <v>84121.07</v>
      </c>
      <c r="S1001" s="17"/>
    </row>
    <row r="1002" spans="1:19" x14ac:dyDescent="0.4">
      <c r="A1002">
        <v>5619780</v>
      </c>
      <c r="B1002" s="15">
        <v>67</v>
      </c>
      <c r="C1002" s="12" t="s">
        <v>129</v>
      </c>
      <c r="D1002" s="12" t="s">
        <v>137</v>
      </c>
      <c r="E1002" s="12" t="s">
        <v>153</v>
      </c>
      <c r="F1002" s="12" t="s">
        <v>129</v>
      </c>
      <c r="G1002" s="14">
        <f t="shared" ca="1" si="15"/>
        <v>69487.713645492069</v>
      </c>
      <c r="H1002" s="12" t="s">
        <v>171</v>
      </c>
      <c r="I1002">
        <v>0</v>
      </c>
      <c r="J1002">
        <v>1</v>
      </c>
      <c r="K1002" s="12" t="s">
        <v>176</v>
      </c>
      <c r="L1002">
        <v>0</v>
      </c>
      <c r="M1002">
        <v>0</v>
      </c>
      <c r="O1002" s="39"/>
      <c r="P1002" s="15">
        <v>44659.18</v>
      </c>
      <c r="S1002" s="17"/>
    </row>
    <row r="1003" spans="1:19" x14ac:dyDescent="0.4">
      <c r="A1003">
        <v>5623955</v>
      </c>
      <c r="B1003" s="16">
        <v>27</v>
      </c>
      <c r="C1003" s="12" t="s">
        <v>127</v>
      </c>
      <c r="D1003" s="12" t="s">
        <v>134</v>
      </c>
      <c r="E1003" s="12" t="s">
        <v>152</v>
      </c>
      <c r="F1003" s="12" t="s">
        <v>156</v>
      </c>
      <c r="G1003" s="14">
        <f t="shared" ca="1" si="15"/>
        <v>78439.990927266481</v>
      </c>
      <c r="H1003" s="12" t="s">
        <v>172</v>
      </c>
      <c r="I1003">
        <v>0</v>
      </c>
      <c r="J1003">
        <v>40</v>
      </c>
      <c r="K1003" s="12" t="s">
        <v>176</v>
      </c>
      <c r="L1003">
        <v>0</v>
      </c>
      <c r="M1003">
        <v>0</v>
      </c>
      <c r="O1003" s="39"/>
      <c r="P1003" s="16">
        <v>66816.56</v>
      </c>
      <c r="S1003" s="17"/>
    </row>
    <row r="1004" spans="1:19" x14ac:dyDescent="0.4">
      <c r="A1004">
        <v>5624610</v>
      </c>
      <c r="B1004" s="15">
        <v>49</v>
      </c>
      <c r="C1004" s="12" t="s">
        <v>122</v>
      </c>
      <c r="D1004" s="12" t="s">
        <v>137</v>
      </c>
      <c r="E1004" s="12" t="s">
        <v>152</v>
      </c>
      <c r="F1004" s="12" t="s">
        <v>158</v>
      </c>
      <c r="G1004" s="14">
        <f t="shared" ca="1" si="15"/>
        <v>39462.292903141133</v>
      </c>
      <c r="H1004" s="12" t="s">
        <v>172</v>
      </c>
      <c r="I1004">
        <v>0</v>
      </c>
      <c r="J1004">
        <v>40</v>
      </c>
      <c r="K1004" s="12" t="s">
        <v>176</v>
      </c>
      <c r="L1004">
        <v>0</v>
      </c>
      <c r="M1004">
        <v>0</v>
      </c>
      <c r="O1004" s="39"/>
      <c r="P1004" s="15">
        <v>27486.02</v>
      </c>
      <c r="S1004" s="17"/>
    </row>
    <row r="1005" spans="1:19" x14ac:dyDescent="0.4">
      <c r="A1005">
        <v>5624618</v>
      </c>
      <c r="B1005" s="16">
        <v>21</v>
      </c>
      <c r="C1005" s="12" t="s">
        <v>122</v>
      </c>
      <c r="D1005" s="12" t="s">
        <v>132</v>
      </c>
      <c r="E1005" s="12" t="s">
        <v>150</v>
      </c>
      <c r="F1005" s="12" t="s">
        <v>156</v>
      </c>
      <c r="G1005" s="14">
        <f t="shared" ca="1" si="15"/>
        <v>113499.70137766474</v>
      </c>
      <c r="H1005" s="12" t="s">
        <v>172</v>
      </c>
      <c r="I1005">
        <v>0</v>
      </c>
      <c r="J1005">
        <v>30</v>
      </c>
      <c r="K1005" s="12" t="s">
        <v>176</v>
      </c>
      <c r="L1005">
        <v>0</v>
      </c>
      <c r="M1005">
        <v>0</v>
      </c>
      <c r="O1005" s="39"/>
      <c r="P1005" s="16">
        <v>68020.600000000006</v>
      </c>
      <c r="S1005" s="17"/>
    </row>
    <row r="1006" spans="1:19" x14ac:dyDescent="0.4">
      <c r="A1006">
        <v>5629492</v>
      </c>
      <c r="B1006" s="15">
        <v>54</v>
      </c>
      <c r="C1006" s="12" t="s">
        <v>122</v>
      </c>
      <c r="D1006" s="12" t="s">
        <v>147</v>
      </c>
      <c r="E1006" s="12" t="s">
        <v>152</v>
      </c>
      <c r="F1006" s="12" t="s">
        <v>156</v>
      </c>
      <c r="G1006" s="14">
        <f t="shared" ca="1" si="15"/>
        <v>67580.051636458447</v>
      </c>
      <c r="H1006" s="12" t="s">
        <v>172</v>
      </c>
      <c r="I1006">
        <v>0</v>
      </c>
      <c r="J1006">
        <v>35</v>
      </c>
      <c r="K1006" s="12" t="s">
        <v>179</v>
      </c>
      <c r="L1006">
        <v>0</v>
      </c>
      <c r="M1006">
        <v>0</v>
      </c>
      <c r="O1006" s="39"/>
      <c r="P1006" s="15">
        <v>51084.22</v>
      </c>
      <c r="S1006" s="17"/>
    </row>
    <row r="1007" spans="1:19" x14ac:dyDescent="0.4">
      <c r="A1007">
        <v>5629741</v>
      </c>
      <c r="B1007" s="16">
        <v>75</v>
      </c>
      <c r="C1007" s="12" t="s">
        <v>124</v>
      </c>
      <c r="D1007" s="12" t="s">
        <v>134</v>
      </c>
      <c r="E1007" s="12" t="s">
        <v>152</v>
      </c>
      <c r="F1007" s="12" t="s">
        <v>158</v>
      </c>
      <c r="G1007" s="14">
        <f t="shared" ca="1" si="15"/>
        <v>37854.81888235412</v>
      </c>
      <c r="H1007" s="12" t="s">
        <v>172</v>
      </c>
      <c r="I1007">
        <v>0</v>
      </c>
      <c r="J1007">
        <v>26</v>
      </c>
      <c r="K1007" s="12" t="s">
        <v>176</v>
      </c>
      <c r="L1007">
        <v>0</v>
      </c>
      <c r="M1007">
        <v>0</v>
      </c>
      <c r="O1007" s="39"/>
      <c r="P1007" s="16">
        <v>26317.48</v>
      </c>
      <c r="S1007" s="17"/>
    </row>
    <row r="1008" spans="1:19" x14ac:dyDescent="0.4">
      <c r="A1008">
        <v>5629974</v>
      </c>
      <c r="B1008" s="15">
        <v>30</v>
      </c>
      <c r="C1008" s="12" t="s">
        <v>122</v>
      </c>
      <c r="D1008" s="12" t="s">
        <v>146</v>
      </c>
      <c r="E1008" s="12" t="s">
        <v>150</v>
      </c>
      <c r="F1008" s="12" t="s">
        <v>165</v>
      </c>
      <c r="G1008" s="14">
        <f t="shared" ca="1" si="15"/>
        <v>50638.618113096614</v>
      </c>
      <c r="H1008" s="12" t="s">
        <v>172</v>
      </c>
      <c r="I1008">
        <v>0</v>
      </c>
      <c r="J1008">
        <v>40</v>
      </c>
      <c r="K1008" s="12" t="s">
        <v>179</v>
      </c>
      <c r="L1008">
        <v>0</v>
      </c>
      <c r="M1008">
        <v>0</v>
      </c>
      <c r="O1008" s="39"/>
      <c r="P1008" s="15">
        <v>45892.78</v>
      </c>
      <c r="S1008" s="17"/>
    </row>
    <row r="1009" spans="1:19" x14ac:dyDescent="0.4">
      <c r="A1009">
        <v>5634257</v>
      </c>
      <c r="B1009" s="16">
        <v>44</v>
      </c>
      <c r="C1009" s="12" t="s">
        <v>126</v>
      </c>
      <c r="D1009" s="12" t="s">
        <v>141</v>
      </c>
      <c r="E1009" s="12" t="s">
        <v>152</v>
      </c>
      <c r="F1009" s="12" t="s">
        <v>144</v>
      </c>
      <c r="G1009" s="14">
        <f t="shared" ca="1" si="15"/>
        <v>73100.238754450722</v>
      </c>
      <c r="H1009" s="12" t="s">
        <v>172</v>
      </c>
      <c r="I1009">
        <v>1902</v>
      </c>
      <c r="J1009">
        <v>40</v>
      </c>
      <c r="K1009" s="12" t="s">
        <v>176</v>
      </c>
      <c r="L1009">
        <v>2582</v>
      </c>
      <c r="M1009">
        <v>1</v>
      </c>
      <c r="O1009" s="39"/>
      <c r="P1009" s="16">
        <v>60894.18</v>
      </c>
      <c r="S1009" s="17"/>
    </row>
    <row r="1010" spans="1:19" x14ac:dyDescent="0.4">
      <c r="A1010">
        <v>5637157</v>
      </c>
      <c r="B1010" s="15">
        <v>18</v>
      </c>
      <c r="C1010" s="12" t="s">
        <v>122</v>
      </c>
      <c r="D1010" s="12" t="s">
        <v>132</v>
      </c>
      <c r="E1010" s="12" t="s">
        <v>150</v>
      </c>
      <c r="F1010" s="12" t="s">
        <v>156</v>
      </c>
      <c r="G1010" s="14">
        <f t="shared" ca="1" si="15"/>
        <v>217132.98017327697</v>
      </c>
      <c r="H1010" s="12" t="s">
        <v>171</v>
      </c>
      <c r="I1010">
        <v>0</v>
      </c>
      <c r="J1010">
        <v>25</v>
      </c>
      <c r="K1010" s="12" t="s">
        <v>176</v>
      </c>
      <c r="L1010">
        <v>0</v>
      </c>
      <c r="M1010">
        <v>0</v>
      </c>
      <c r="O1010" s="39"/>
      <c r="P1010" s="15">
        <v>157404.51</v>
      </c>
      <c r="S1010" s="17"/>
    </row>
    <row r="1011" spans="1:19" x14ac:dyDescent="0.4">
      <c r="A1011">
        <v>5639745</v>
      </c>
      <c r="B1011" s="16">
        <v>48</v>
      </c>
      <c r="C1011" s="12" t="s">
        <v>122</v>
      </c>
      <c r="D1011" s="12" t="s">
        <v>134</v>
      </c>
      <c r="E1011" s="12" t="s">
        <v>151</v>
      </c>
      <c r="F1011" s="12" t="s">
        <v>158</v>
      </c>
      <c r="G1011" s="14">
        <f t="shared" ca="1" si="15"/>
        <v>439881.04612422152</v>
      </c>
      <c r="H1011" s="12" t="s">
        <v>171</v>
      </c>
      <c r="I1011">
        <v>0</v>
      </c>
      <c r="J1011">
        <v>37</v>
      </c>
      <c r="K1011" s="12" t="s">
        <v>176</v>
      </c>
      <c r="L1011">
        <v>0</v>
      </c>
      <c r="M1011">
        <v>0</v>
      </c>
      <c r="O1011" s="39"/>
      <c r="P1011" s="16">
        <v>239767.24</v>
      </c>
      <c r="S1011" s="17"/>
    </row>
    <row r="1012" spans="1:19" x14ac:dyDescent="0.4">
      <c r="A1012">
        <v>5649072</v>
      </c>
      <c r="B1012" s="15">
        <v>30</v>
      </c>
      <c r="C1012" s="12" t="s">
        <v>124</v>
      </c>
      <c r="D1012" s="12" t="s">
        <v>134</v>
      </c>
      <c r="E1012" s="12" t="s">
        <v>152</v>
      </c>
      <c r="F1012" s="12" t="s">
        <v>159</v>
      </c>
      <c r="G1012" s="14">
        <f t="shared" ca="1" si="15"/>
        <v>66329.78337613956</v>
      </c>
      <c r="H1012" s="12" t="s">
        <v>172</v>
      </c>
      <c r="I1012">
        <v>1887</v>
      </c>
      <c r="J1012">
        <v>48</v>
      </c>
      <c r="K1012" s="12" t="s">
        <v>176</v>
      </c>
      <c r="L1012">
        <v>7978</v>
      </c>
      <c r="M1012">
        <v>1</v>
      </c>
      <c r="O1012" s="39"/>
      <c r="P1012" s="15">
        <v>50969.27</v>
      </c>
      <c r="S1012" s="17"/>
    </row>
    <row r="1013" spans="1:19" x14ac:dyDescent="0.4">
      <c r="A1013">
        <v>5649375</v>
      </c>
      <c r="B1013" s="16">
        <v>37</v>
      </c>
      <c r="C1013" s="12" t="s">
        <v>122</v>
      </c>
      <c r="D1013" s="12" t="s">
        <v>135</v>
      </c>
      <c r="E1013" s="12" t="s">
        <v>150</v>
      </c>
      <c r="F1013" s="12" t="s">
        <v>160</v>
      </c>
      <c r="G1013" s="14">
        <f t="shared" ca="1" si="15"/>
        <v>112343.19184797027</v>
      </c>
      <c r="H1013" s="12" t="s">
        <v>172</v>
      </c>
      <c r="I1013">
        <v>0</v>
      </c>
      <c r="J1013">
        <v>60</v>
      </c>
      <c r="K1013" s="12" t="s">
        <v>176</v>
      </c>
      <c r="L1013">
        <v>0</v>
      </c>
      <c r="M1013">
        <v>1</v>
      </c>
      <c r="O1013" s="39"/>
      <c r="P1013" s="16">
        <v>79468.38</v>
      </c>
      <c r="S1013" s="17"/>
    </row>
    <row r="1014" spans="1:19" x14ac:dyDescent="0.4">
      <c r="A1014">
        <v>5649712</v>
      </c>
      <c r="B1014" s="15">
        <v>33</v>
      </c>
      <c r="C1014" s="12" t="s">
        <v>122</v>
      </c>
      <c r="D1014" s="12" t="s">
        <v>135</v>
      </c>
      <c r="E1014" s="12" t="s">
        <v>152</v>
      </c>
      <c r="F1014" s="12" t="s">
        <v>160</v>
      </c>
      <c r="G1014" s="14">
        <f t="shared" ca="1" si="15"/>
        <v>81250.575656229703</v>
      </c>
      <c r="H1014" s="12" t="s">
        <v>172</v>
      </c>
      <c r="I1014">
        <v>0</v>
      </c>
      <c r="J1014">
        <v>50</v>
      </c>
      <c r="K1014" s="12" t="s">
        <v>182</v>
      </c>
      <c r="L1014">
        <v>0</v>
      </c>
      <c r="M1014">
        <v>1</v>
      </c>
      <c r="O1014" s="39"/>
      <c r="P1014" s="15">
        <v>66616.759999999995</v>
      </c>
      <c r="S1014" s="17"/>
    </row>
    <row r="1015" spans="1:19" x14ac:dyDescent="0.4">
      <c r="A1015">
        <v>5651378</v>
      </c>
      <c r="B1015" s="16">
        <v>36</v>
      </c>
      <c r="C1015" s="12" t="s">
        <v>122</v>
      </c>
      <c r="D1015" s="12" t="s">
        <v>134</v>
      </c>
      <c r="E1015" s="12" t="s">
        <v>150</v>
      </c>
      <c r="F1015" s="12" t="s">
        <v>159</v>
      </c>
      <c r="G1015" s="14">
        <f t="shared" ca="1" si="15"/>
        <v>168483.96767375138</v>
      </c>
      <c r="H1015" s="12" t="s">
        <v>172</v>
      </c>
      <c r="I1015">
        <v>0</v>
      </c>
      <c r="J1015">
        <v>65</v>
      </c>
      <c r="K1015" s="12" t="s">
        <v>176</v>
      </c>
      <c r="L1015">
        <v>0</v>
      </c>
      <c r="M1015">
        <v>0</v>
      </c>
      <c r="O1015" s="39"/>
      <c r="P1015" s="16">
        <v>100171.69</v>
      </c>
      <c r="S1015" s="17"/>
    </row>
    <row r="1016" spans="1:19" x14ac:dyDescent="0.4">
      <c r="A1016">
        <v>5656173</v>
      </c>
      <c r="B1016" s="15">
        <v>33</v>
      </c>
      <c r="C1016" s="12" t="s">
        <v>122</v>
      </c>
      <c r="D1016" s="12" t="s">
        <v>132</v>
      </c>
      <c r="E1016" s="12" t="s">
        <v>149</v>
      </c>
      <c r="F1016" s="12" t="s">
        <v>158</v>
      </c>
      <c r="G1016" s="14">
        <f t="shared" ca="1" si="15"/>
        <v>144355.19304979869</v>
      </c>
      <c r="H1016" s="12" t="s">
        <v>171</v>
      </c>
      <c r="I1016">
        <v>0</v>
      </c>
      <c r="J1016">
        <v>40</v>
      </c>
      <c r="K1016" s="12" t="s">
        <v>176</v>
      </c>
      <c r="L1016">
        <v>0</v>
      </c>
      <c r="M1016">
        <v>0</v>
      </c>
      <c r="O1016" s="39"/>
      <c r="P1016" s="15">
        <v>110517.33</v>
      </c>
      <c r="S1016" s="17"/>
    </row>
    <row r="1017" spans="1:19" x14ac:dyDescent="0.4">
      <c r="A1017">
        <v>5660878</v>
      </c>
      <c r="B1017" s="16">
        <v>33</v>
      </c>
      <c r="C1017" s="12" t="s">
        <v>122</v>
      </c>
      <c r="D1017" s="12" t="s">
        <v>135</v>
      </c>
      <c r="E1017" s="12" t="s">
        <v>152</v>
      </c>
      <c r="F1017" s="12" t="s">
        <v>144</v>
      </c>
      <c r="G1017" s="14">
        <f t="shared" ca="1" si="15"/>
        <v>62315.578765009901</v>
      </c>
      <c r="H1017" s="12" t="s">
        <v>172</v>
      </c>
      <c r="I1017">
        <v>0</v>
      </c>
      <c r="J1017">
        <v>75</v>
      </c>
      <c r="K1017" s="12" t="s">
        <v>176</v>
      </c>
      <c r="L1017">
        <v>15024</v>
      </c>
      <c r="M1017">
        <v>1</v>
      </c>
      <c r="O1017" s="39"/>
      <c r="P1017" s="16">
        <v>43867.42</v>
      </c>
      <c r="S1017" s="17"/>
    </row>
    <row r="1018" spans="1:19" x14ac:dyDescent="0.4">
      <c r="A1018">
        <v>5667613</v>
      </c>
      <c r="B1018" s="15">
        <v>37</v>
      </c>
      <c r="C1018" s="12" t="s">
        <v>123</v>
      </c>
      <c r="D1018" s="12" t="s">
        <v>139</v>
      </c>
      <c r="E1018" s="12" t="s">
        <v>150</v>
      </c>
      <c r="F1018" s="12" t="s">
        <v>165</v>
      </c>
      <c r="G1018" s="14">
        <f t="shared" ca="1" si="15"/>
        <v>297864.34014002437</v>
      </c>
      <c r="H1018" s="12" t="s">
        <v>172</v>
      </c>
      <c r="I1018">
        <v>0</v>
      </c>
      <c r="J1018">
        <v>37</v>
      </c>
      <c r="K1018" s="12" t="s">
        <v>176</v>
      </c>
      <c r="L1018">
        <v>0</v>
      </c>
      <c r="M1018">
        <v>0</v>
      </c>
      <c r="O1018" s="39"/>
      <c r="P1018" s="15">
        <v>154025.31</v>
      </c>
      <c r="S1018" s="17"/>
    </row>
    <row r="1019" spans="1:19" x14ac:dyDescent="0.4">
      <c r="A1019">
        <v>5676649</v>
      </c>
      <c r="B1019" s="16">
        <v>47</v>
      </c>
      <c r="C1019" s="12" t="s">
        <v>123</v>
      </c>
      <c r="D1019" s="12" t="s">
        <v>139</v>
      </c>
      <c r="E1019" s="12" t="s">
        <v>151</v>
      </c>
      <c r="F1019" s="12" t="s">
        <v>160</v>
      </c>
      <c r="G1019" s="14">
        <f t="shared" ca="1" si="15"/>
        <v>144676.39764168506</v>
      </c>
      <c r="H1019" s="12" t="s">
        <v>171</v>
      </c>
      <c r="I1019">
        <v>0</v>
      </c>
      <c r="J1019">
        <v>55</v>
      </c>
      <c r="K1019" s="12" t="s">
        <v>176</v>
      </c>
      <c r="L1019">
        <v>0</v>
      </c>
      <c r="M1019">
        <v>0</v>
      </c>
      <c r="O1019" s="39"/>
      <c r="P1019" s="16">
        <v>123669.96</v>
      </c>
      <c r="S1019" s="17"/>
    </row>
    <row r="1020" spans="1:19" x14ac:dyDescent="0.4">
      <c r="A1020">
        <v>5682046</v>
      </c>
      <c r="B1020" s="15">
        <v>56</v>
      </c>
      <c r="C1020" s="12" t="s">
        <v>122</v>
      </c>
      <c r="D1020" s="12" t="s">
        <v>134</v>
      </c>
      <c r="E1020" s="12" t="s">
        <v>150</v>
      </c>
      <c r="F1020" s="12" t="s">
        <v>158</v>
      </c>
      <c r="G1020" s="14">
        <f t="shared" ca="1" si="15"/>
        <v>45668.611108696285</v>
      </c>
      <c r="H1020" s="12" t="s">
        <v>171</v>
      </c>
      <c r="I1020">
        <v>0</v>
      </c>
      <c r="J1020">
        <v>38</v>
      </c>
      <c r="K1020" s="12" t="s">
        <v>176</v>
      </c>
      <c r="L1020">
        <v>0</v>
      </c>
      <c r="M1020">
        <v>0</v>
      </c>
      <c r="O1020" s="39"/>
      <c r="P1020" s="15">
        <v>36985.480000000003</v>
      </c>
      <c r="S1020" s="17"/>
    </row>
    <row r="1021" spans="1:19" x14ac:dyDescent="0.4">
      <c r="A1021">
        <v>5689746</v>
      </c>
      <c r="B1021" s="16">
        <v>48</v>
      </c>
      <c r="C1021" s="12" t="s">
        <v>125</v>
      </c>
      <c r="D1021" s="12" t="s">
        <v>134</v>
      </c>
      <c r="E1021" s="12" t="s">
        <v>152</v>
      </c>
      <c r="F1021" s="12" t="s">
        <v>160</v>
      </c>
      <c r="G1021" s="14">
        <f t="shared" ca="1" si="15"/>
        <v>34293.121260036889</v>
      </c>
      <c r="H1021" s="12" t="s">
        <v>172</v>
      </c>
      <c r="I1021">
        <v>0</v>
      </c>
      <c r="J1021">
        <v>38</v>
      </c>
      <c r="K1021" s="12" t="s">
        <v>176</v>
      </c>
      <c r="L1021">
        <v>7298</v>
      </c>
      <c r="M1021">
        <v>1</v>
      </c>
      <c r="O1021" s="39"/>
      <c r="P1021" s="16">
        <v>23457.66</v>
      </c>
      <c r="S1021" s="17"/>
    </row>
    <row r="1022" spans="1:19" x14ac:dyDescent="0.4">
      <c r="A1022">
        <v>5692322</v>
      </c>
      <c r="B1022" s="15">
        <v>23</v>
      </c>
      <c r="C1022" s="12" t="s">
        <v>122</v>
      </c>
      <c r="D1022" s="12" t="s">
        <v>135</v>
      </c>
      <c r="E1022" s="12" t="s">
        <v>150</v>
      </c>
      <c r="F1022" s="12" t="s">
        <v>163</v>
      </c>
      <c r="G1022" s="14">
        <f t="shared" ca="1" si="15"/>
        <v>175049.17700487707</v>
      </c>
      <c r="H1022" s="12" t="s">
        <v>171</v>
      </c>
      <c r="I1022">
        <v>0</v>
      </c>
      <c r="J1022">
        <v>40</v>
      </c>
      <c r="K1022" s="12" t="s">
        <v>176</v>
      </c>
      <c r="L1022">
        <v>0</v>
      </c>
      <c r="M1022">
        <v>0</v>
      </c>
      <c r="O1022" s="39"/>
      <c r="P1022" s="15">
        <v>99024.29</v>
      </c>
      <c r="S1022" s="17"/>
    </row>
    <row r="1023" spans="1:19" x14ac:dyDescent="0.4">
      <c r="A1023">
        <v>5694516</v>
      </c>
      <c r="B1023" s="16">
        <v>51</v>
      </c>
      <c r="C1023" s="12" t="s">
        <v>127</v>
      </c>
      <c r="D1023" s="12" t="s">
        <v>141</v>
      </c>
      <c r="E1023" s="12" t="s">
        <v>152</v>
      </c>
      <c r="F1023" s="12" t="s">
        <v>144</v>
      </c>
      <c r="G1023" s="14">
        <f t="shared" ca="1" si="15"/>
        <v>68803.090166577676</v>
      </c>
      <c r="H1023" s="12" t="s">
        <v>172</v>
      </c>
      <c r="I1023">
        <v>0</v>
      </c>
      <c r="J1023">
        <v>40</v>
      </c>
      <c r="K1023" s="12" t="s">
        <v>183</v>
      </c>
      <c r="L1023">
        <v>15024</v>
      </c>
      <c r="M1023">
        <v>1</v>
      </c>
      <c r="O1023" s="39"/>
      <c r="P1023" s="16">
        <v>35189.660000000003</v>
      </c>
      <c r="S1023" s="17"/>
    </row>
    <row r="1024" spans="1:19" x14ac:dyDescent="0.4">
      <c r="A1024">
        <v>5695998</v>
      </c>
      <c r="B1024" s="15">
        <v>42</v>
      </c>
      <c r="C1024" s="12" t="s">
        <v>122</v>
      </c>
      <c r="D1024" s="12" t="s">
        <v>134</v>
      </c>
      <c r="E1024" s="12" t="s">
        <v>152</v>
      </c>
      <c r="F1024" s="12" t="s">
        <v>160</v>
      </c>
      <c r="G1024" s="14">
        <f t="shared" ca="1" si="15"/>
        <v>34298.940092918951</v>
      </c>
      <c r="H1024" s="12" t="s">
        <v>172</v>
      </c>
      <c r="I1024">
        <v>0</v>
      </c>
      <c r="J1024">
        <v>48</v>
      </c>
      <c r="K1024" s="12" t="s">
        <v>176</v>
      </c>
      <c r="L1024">
        <v>0</v>
      </c>
      <c r="M1024">
        <v>0</v>
      </c>
      <c r="O1024" s="39"/>
      <c r="P1024" s="15">
        <v>23637.85</v>
      </c>
      <c r="S1024" s="17"/>
    </row>
    <row r="1025" spans="1:19" x14ac:dyDescent="0.4">
      <c r="A1025">
        <v>5699057</v>
      </c>
      <c r="B1025" s="16">
        <v>37</v>
      </c>
      <c r="C1025" s="12" t="s">
        <v>122</v>
      </c>
      <c r="D1025" s="12" t="s">
        <v>133</v>
      </c>
      <c r="E1025" s="12" t="s">
        <v>152</v>
      </c>
      <c r="F1025" s="12" t="s">
        <v>158</v>
      </c>
      <c r="G1025" s="14">
        <f t="shared" ca="1" si="15"/>
        <v>87839.659741648065</v>
      </c>
      <c r="H1025" s="12" t="s">
        <v>172</v>
      </c>
      <c r="I1025">
        <v>0</v>
      </c>
      <c r="J1025">
        <v>40</v>
      </c>
      <c r="K1025" s="12" t="s">
        <v>176</v>
      </c>
      <c r="L1025">
        <v>0</v>
      </c>
      <c r="M1025">
        <v>0</v>
      </c>
      <c r="O1025" s="39"/>
      <c r="P1025" s="16">
        <v>50264.74</v>
      </c>
      <c r="S1025" s="17"/>
    </row>
    <row r="1026" spans="1:19" x14ac:dyDescent="0.4">
      <c r="A1026">
        <v>5724484</v>
      </c>
      <c r="B1026" s="15">
        <v>33</v>
      </c>
      <c r="C1026" s="12" t="s">
        <v>122</v>
      </c>
      <c r="D1026" s="12" t="s">
        <v>135</v>
      </c>
      <c r="E1026" s="12" t="s">
        <v>152</v>
      </c>
      <c r="F1026" s="12" t="s">
        <v>160</v>
      </c>
      <c r="G1026" s="14">
        <f t="shared" ca="1" si="15"/>
        <v>66478.558792744967</v>
      </c>
      <c r="H1026" s="12" t="s">
        <v>172</v>
      </c>
      <c r="I1026">
        <v>0</v>
      </c>
      <c r="J1026">
        <v>45</v>
      </c>
      <c r="K1026" s="12" t="s">
        <v>176</v>
      </c>
      <c r="L1026">
        <v>11236</v>
      </c>
      <c r="M1026">
        <v>1</v>
      </c>
      <c r="O1026" s="39"/>
      <c r="P1026" s="15">
        <v>49895.96</v>
      </c>
      <c r="S1026" s="17"/>
    </row>
    <row r="1027" spans="1:19" x14ac:dyDescent="0.4">
      <c r="A1027">
        <v>5725170</v>
      </c>
      <c r="B1027" s="16">
        <v>26</v>
      </c>
      <c r="C1027" s="12" t="s">
        <v>122</v>
      </c>
      <c r="D1027" s="12" t="s">
        <v>132</v>
      </c>
      <c r="E1027" s="12" t="s">
        <v>150</v>
      </c>
      <c r="F1027" s="12" t="s">
        <v>144</v>
      </c>
      <c r="G1027" s="14">
        <f t="shared" ca="1" si="15"/>
        <v>96701.246713219676</v>
      </c>
      <c r="H1027" s="12" t="s">
        <v>171</v>
      </c>
      <c r="I1027">
        <v>0</v>
      </c>
      <c r="J1027">
        <v>35</v>
      </c>
      <c r="K1027" s="12" t="s">
        <v>176</v>
      </c>
      <c r="L1027">
        <v>0</v>
      </c>
      <c r="M1027">
        <v>0</v>
      </c>
      <c r="O1027" s="39"/>
      <c r="P1027" s="16">
        <v>66656.23</v>
      </c>
      <c r="S1027" s="17"/>
    </row>
    <row r="1028" spans="1:19" x14ac:dyDescent="0.4">
      <c r="A1028">
        <v>5731876</v>
      </c>
      <c r="B1028" s="15">
        <v>35</v>
      </c>
      <c r="C1028" s="12" t="s">
        <v>122</v>
      </c>
      <c r="D1028" s="12" t="s">
        <v>135</v>
      </c>
      <c r="E1028" s="12" t="s">
        <v>151</v>
      </c>
      <c r="F1028" s="12" t="s">
        <v>160</v>
      </c>
      <c r="G1028" s="14">
        <f t="shared" ca="1" si="15"/>
        <v>119259.38712139482</v>
      </c>
      <c r="H1028" s="12" t="s">
        <v>171</v>
      </c>
      <c r="I1028">
        <v>0</v>
      </c>
      <c r="J1028">
        <v>40</v>
      </c>
      <c r="K1028" s="12" t="s">
        <v>176</v>
      </c>
      <c r="L1028">
        <v>0</v>
      </c>
      <c r="M1028">
        <v>0</v>
      </c>
      <c r="O1028" s="39"/>
      <c r="P1028" s="15">
        <v>76610.289999999994</v>
      </c>
      <c r="S1028" s="17"/>
    </row>
    <row r="1029" spans="1:19" x14ac:dyDescent="0.4">
      <c r="A1029">
        <v>5732672</v>
      </c>
      <c r="B1029" s="16">
        <v>57</v>
      </c>
      <c r="C1029" s="12" t="s">
        <v>127</v>
      </c>
      <c r="D1029" s="12" t="s">
        <v>132</v>
      </c>
      <c r="E1029" s="12" t="s">
        <v>151</v>
      </c>
      <c r="F1029" s="12" t="s">
        <v>156</v>
      </c>
      <c r="G1029" s="14">
        <f t="shared" ca="1" si="15"/>
        <v>70866.89807323963</v>
      </c>
      <c r="H1029" s="12" t="s">
        <v>172</v>
      </c>
      <c r="I1029">
        <v>0</v>
      </c>
      <c r="J1029">
        <v>40</v>
      </c>
      <c r="K1029" s="12" t="s">
        <v>176</v>
      </c>
      <c r="L1029">
        <v>0</v>
      </c>
      <c r="M1029">
        <v>0</v>
      </c>
      <c r="O1029" s="39"/>
      <c r="P1029" s="16">
        <v>52295.23</v>
      </c>
      <c r="S1029" s="17"/>
    </row>
    <row r="1030" spans="1:19" x14ac:dyDescent="0.4">
      <c r="A1030">
        <v>5733981</v>
      </c>
      <c r="B1030" s="15">
        <v>28</v>
      </c>
      <c r="C1030" s="12" t="s">
        <v>122</v>
      </c>
      <c r="D1030" s="12" t="s">
        <v>134</v>
      </c>
      <c r="E1030" s="12" t="s">
        <v>152</v>
      </c>
      <c r="F1030" s="12" t="s">
        <v>157</v>
      </c>
      <c r="G1030" s="14">
        <f t="shared" ca="1" si="15"/>
        <v>96464.682370978102</v>
      </c>
      <c r="H1030" s="12" t="s">
        <v>172</v>
      </c>
      <c r="I1030">
        <v>0</v>
      </c>
      <c r="J1030">
        <v>45</v>
      </c>
      <c r="K1030" s="12" t="s">
        <v>176</v>
      </c>
      <c r="L1030">
        <v>4626</v>
      </c>
      <c r="M1030">
        <v>1</v>
      </c>
      <c r="O1030" s="39"/>
      <c r="P1030" s="15">
        <v>64633.82</v>
      </c>
      <c r="S1030" s="17"/>
    </row>
    <row r="1031" spans="1:19" x14ac:dyDescent="0.4">
      <c r="A1031">
        <v>5737573</v>
      </c>
      <c r="B1031" s="16">
        <v>33</v>
      </c>
      <c r="C1031" s="12" t="s">
        <v>122</v>
      </c>
      <c r="D1031" s="12" t="s">
        <v>134</v>
      </c>
      <c r="E1031" s="12" t="s">
        <v>150</v>
      </c>
      <c r="F1031" s="12" t="s">
        <v>156</v>
      </c>
      <c r="G1031" s="14">
        <f t="shared" ca="1" si="15"/>
        <v>67783.563500350705</v>
      </c>
      <c r="H1031" s="12" t="s">
        <v>172</v>
      </c>
      <c r="I1031">
        <v>0</v>
      </c>
      <c r="J1031">
        <v>40</v>
      </c>
      <c r="K1031" s="12" t="s">
        <v>176</v>
      </c>
      <c r="L1031">
        <v>0</v>
      </c>
      <c r="M1031">
        <v>0</v>
      </c>
      <c r="O1031" s="39"/>
      <c r="P1031" s="16">
        <v>61253.63</v>
      </c>
      <c r="S1031" s="17"/>
    </row>
    <row r="1032" spans="1:19" x14ac:dyDescent="0.4">
      <c r="A1032">
        <v>5739472</v>
      </c>
      <c r="B1032" s="15">
        <v>42</v>
      </c>
      <c r="C1032" s="12" t="s">
        <v>126</v>
      </c>
      <c r="D1032" s="12" t="s">
        <v>133</v>
      </c>
      <c r="E1032" s="12" t="s">
        <v>151</v>
      </c>
      <c r="F1032" s="12" t="s">
        <v>144</v>
      </c>
      <c r="G1032" s="14">
        <f t="shared" ca="1" si="15"/>
        <v>43139.625159890245</v>
      </c>
      <c r="H1032" s="12" t="s">
        <v>172</v>
      </c>
      <c r="I1032">
        <v>0</v>
      </c>
      <c r="J1032">
        <v>40</v>
      </c>
      <c r="K1032" s="12" t="s">
        <v>176</v>
      </c>
      <c r="L1032">
        <v>0</v>
      </c>
      <c r="M1032">
        <v>0</v>
      </c>
      <c r="O1032" s="39"/>
      <c r="P1032" s="15">
        <v>42782.43</v>
      </c>
      <c r="S1032" s="17"/>
    </row>
    <row r="1033" spans="1:19" x14ac:dyDescent="0.4">
      <c r="A1033">
        <v>5743147</v>
      </c>
      <c r="B1033" s="16">
        <v>22</v>
      </c>
      <c r="C1033" s="12" t="s">
        <v>122</v>
      </c>
      <c r="D1033" s="12" t="s">
        <v>132</v>
      </c>
      <c r="E1033" s="12" t="s">
        <v>150</v>
      </c>
      <c r="F1033" s="12" t="s">
        <v>156</v>
      </c>
      <c r="G1033" s="14">
        <f t="shared" ca="1" si="15"/>
        <v>99840.408566632977</v>
      </c>
      <c r="H1033" s="12" t="s">
        <v>172</v>
      </c>
      <c r="I1033">
        <v>0</v>
      </c>
      <c r="J1033">
        <v>50</v>
      </c>
      <c r="K1033" s="12" t="s">
        <v>176</v>
      </c>
      <c r="L1033">
        <v>0</v>
      </c>
      <c r="M1033">
        <v>0</v>
      </c>
      <c r="O1033" s="39"/>
      <c r="P1033" s="16">
        <v>65127.040000000001</v>
      </c>
      <c r="S1033" s="17"/>
    </row>
    <row r="1034" spans="1:19" x14ac:dyDescent="0.4">
      <c r="A1034">
        <v>5747351</v>
      </c>
      <c r="B1034" s="15">
        <v>33</v>
      </c>
      <c r="C1034" s="12" t="s">
        <v>122</v>
      </c>
      <c r="D1034" s="12" t="s">
        <v>138</v>
      </c>
      <c r="E1034" s="12" t="s">
        <v>152</v>
      </c>
      <c r="F1034" s="12" t="s">
        <v>163</v>
      </c>
      <c r="G1034" s="14">
        <f t="shared" ca="1" si="15"/>
        <v>81445.506402817933</v>
      </c>
      <c r="H1034" s="12" t="s">
        <v>172</v>
      </c>
      <c r="I1034">
        <v>0</v>
      </c>
      <c r="J1034">
        <v>15</v>
      </c>
      <c r="K1034" s="12" t="s">
        <v>176</v>
      </c>
      <c r="L1034">
        <v>0</v>
      </c>
      <c r="M1034">
        <v>0</v>
      </c>
      <c r="O1034" s="39"/>
      <c r="P1034" s="15">
        <v>44356.81</v>
      </c>
      <c r="S1034" s="17"/>
    </row>
    <row r="1035" spans="1:19" x14ac:dyDescent="0.4">
      <c r="A1035">
        <v>5756084</v>
      </c>
      <c r="B1035" s="16">
        <v>78</v>
      </c>
      <c r="C1035" s="12" t="s">
        <v>129</v>
      </c>
      <c r="D1035" s="12" t="s">
        <v>133</v>
      </c>
      <c r="E1035" s="12" t="s">
        <v>153</v>
      </c>
      <c r="F1035" s="12" t="s">
        <v>129</v>
      </c>
      <c r="G1035" s="14">
        <f t="shared" ref="G1035:G1098" ca="1" si="16">P1035*(1+RAND())</f>
        <v>96222.110028957453</v>
      </c>
      <c r="H1035" s="12" t="s">
        <v>171</v>
      </c>
      <c r="I1035">
        <v>0</v>
      </c>
      <c r="J1035">
        <v>4</v>
      </c>
      <c r="K1035" s="12" t="s">
        <v>176</v>
      </c>
      <c r="L1035">
        <v>0</v>
      </c>
      <c r="M1035">
        <v>0</v>
      </c>
      <c r="O1035" s="39"/>
      <c r="P1035" s="16">
        <v>87209.25</v>
      </c>
      <c r="S1035" s="17"/>
    </row>
    <row r="1036" spans="1:19" x14ac:dyDescent="0.4">
      <c r="A1036">
        <v>5761158</v>
      </c>
      <c r="B1036" s="15">
        <v>41</v>
      </c>
      <c r="C1036" s="12" t="s">
        <v>122</v>
      </c>
      <c r="D1036" s="12" t="s">
        <v>134</v>
      </c>
      <c r="E1036" s="12" t="s">
        <v>152</v>
      </c>
      <c r="F1036" s="12" t="s">
        <v>159</v>
      </c>
      <c r="G1036" s="14">
        <f t="shared" ca="1" si="16"/>
        <v>89950.977288857146</v>
      </c>
      <c r="H1036" s="12" t="s">
        <v>172</v>
      </c>
      <c r="I1036">
        <v>0</v>
      </c>
      <c r="J1036">
        <v>40</v>
      </c>
      <c r="K1036" s="12" t="s">
        <v>199</v>
      </c>
      <c r="L1036">
        <v>0</v>
      </c>
      <c r="M1036">
        <v>0</v>
      </c>
      <c r="O1036" s="39"/>
      <c r="P1036" s="15">
        <v>59515.360000000001</v>
      </c>
      <c r="S1036" s="17"/>
    </row>
    <row r="1037" spans="1:19" x14ac:dyDescent="0.4">
      <c r="A1037">
        <v>5774108</v>
      </c>
      <c r="B1037" s="16">
        <v>20</v>
      </c>
      <c r="C1037" s="12" t="s">
        <v>122</v>
      </c>
      <c r="D1037" s="12" t="s">
        <v>132</v>
      </c>
      <c r="E1037" s="12" t="s">
        <v>150</v>
      </c>
      <c r="F1037" s="12" t="s">
        <v>159</v>
      </c>
      <c r="G1037" s="14">
        <f t="shared" ca="1" si="16"/>
        <v>193537.2185587628</v>
      </c>
      <c r="H1037" s="12" t="s">
        <v>172</v>
      </c>
      <c r="I1037">
        <v>0</v>
      </c>
      <c r="J1037">
        <v>40</v>
      </c>
      <c r="K1037" s="12" t="s">
        <v>176</v>
      </c>
      <c r="L1037">
        <v>0</v>
      </c>
      <c r="M1037">
        <v>0</v>
      </c>
      <c r="O1037" s="39"/>
      <c r="P1037" s="16">
        <v>97111.81</v>
      </c>
      <c r="S1037" s="17"/>
    </row>
    <row r="1038" spans="1:19" x14ac:dyDescent="0.4">
      <c r="A1038">
        <v>5775093</v>
      </c>
      <c r="B1038" s="15">
        <v>41</v>
      </c>
      <c r="C1038" s="12" t="s">
        <v>122</v>
      </c>
      <c r="D1038" s="12" t="s">
        <v>135</v>
      </c>
      <c r="E1038" s="12" t="s">
        <v>152</v>
      </c>
      <c r="F1038" s="12" t="s">
        <v>144</v>
      </c>
      <c r="G1038" s="14">
        <f t="shared" ca="1" si="16"/>
        <v>51330.983863125111</v>
      </c>
      <c r="H1038" s="12" t="s">
        <v>172</v>
      </c>
      <c r="I1038">
        <v>0</v>
      </c>
      <c r="J1038">
        <v>60</v>
      </c>
      <c r="K1038" s="12" t="s">
        <v>176</v>
      </c>
      <c r="L1038">
        <v>0</v>
      </c>
      <c r="M1038">
        <v>0</v>
      </c>
      <c r="O1038" s="39"/>
      <c r="P1038" s="15">
        <v>45246.6</v>
      </c>
      <c r="S1038" s="17"/>
    </row>
    <row r="1039" spans="1:19" x14ac:dyDescent="0.4">
      <c r="A1039">
        <v>5777238</v>
      </c>
      <c r="B1039" s="16">
        <v>24</v>
      </c>
      <c r="C1039" s="12" t="s">
        <v>126</v>
      </c>
      <c r="D1039" s="12" t="s">
        <v>138</v>
      </c>
      <c r="E1039" s="12" t="s">
        <v>150</v>
      </c>
      <c r="F1039" s="12" t="s">
        <v>144</v>
      </c>
      <c r="G1039" s="14">
        <f t="shared" ca="1" si="16"/>
        <v>109027.57180683338</v>
      </c>
      <c r="H1039" s="12" t="s">
        <v>172</v>
      </c>
      <c r="I1039">
        <v>0</v>
      </c>
      <c r="J1039">
        <v>20</v>
      </c>
      <c r="K1039" s="12" t="s">
        <v>184</v>
      </c>
      <c r="L1039">
        <v>0</v>
      </c>
      <c r="M1039">
        <v>0</v>
      </c>
      <c r="O1039" s="39"/>
      <c r="P1039" s="16">
        <v>65624.31</v>
      </c>
      <c r="S1039" s="17"/>
    </row>
    <row r="1040" spans="1:19" x14ac:dyDescent="0.4">
      <c r="A1040">
        <v>5781174</v>
      </c>
      <c r="B1040" s="15">
        <v>41</v>
      </c>
      <c r="C1040" s="12" t="s">
        <v>127</v>
      </c>
      <c r="D1040" s="12" t="s">
        <v>138</v>
      </c>
      <c r="E1040" s="12" t="s">
        <v>151</v>
      </c>
      <c r="F1040" s="12" t="s">
        <v>144</v>
      </c>
      <c r="G1040" s="14">
        <f t="shared" ca="1" si="16"/>
        <v>162528.63302489559</v>
      </c>
      <c r="H1040" s="12" t="s">
        <v>171</v>
      </c>
      <c r="I1040">
        <v>0</v>
      </c>
      <c r="J1040">
        <v>40</v>
      </c>
      <c r="K1040" s="12" t="s">
        <v>176</v>
      </c>
      <c r="L1040">
        <v>0</v>
      </c>
      <c r="M1040">
        <v>0</v>
      </c>
      <c r="O1040" s="39"/>
      <c r="P1040" s="15">
        <v>122572.32</v>
      </c>
      <c r="S1040" s="17"/>
    </row>
    <row r="1041" spans="1:19" x14ac:dyDescent="0.4">
      <c r="A1041">
        <v>5781339</v>
      </c>
      <c r="B1041" s="16">
        <v>48</v>
      </c>
      <c r="C1041" s="12" t="s">
        <v>122</v>
      </c>
      <c r="D1041" s="12" t="s">
        <v>132</v>
      </c>
      <c r="E1041" s="12" t="s">
        <v>152</v>
      </c>
      <c r="F1041" s="12" t="s">
        <v>157</v>
      </c>
      <c r="G1041" s="14">
        <f t="shared" ca="1" si="16"/>
        <v>48235.575449597862</v>
      </c>
      <c r="H1041" s="12" t="s">
        <v>172</v>
      </c>
      <c r="I1041">
        <v>0</v>
      </c>
      <c r="J1041">
        <v>45</v>
      </c>
      <c r="K1041" s="12" t="s">
        <v>176</v>
      </c>
      <c r="L1041">
        <v>1418</v>
      </c>
      <c r="M1041">
        <v>1</v>
      </c>
      <c r="O1041" s="39"/>
      <c r="P1041" s="16">
        <v>42012.18</v>
      </c>
      <c r="S1041" s="17"/>
    </row>
    <row r="1042" spans="1:19" x14ac:dyDescent="0.4">
      <c r="A1042">
        <v>5785387</v>
      </c>
      <c r="B1042" s="15">
        <v>40</v>
      </c>
      <c r="C1042" s="12" t="s">
        <v>123</v>
      </c>
      <c r="D1042" s="12" t="s">
        <v>138</v>
      </c>
      <c r="E1042" s="12" t="s">
        <v>149</v>
      </c>
      <c r="F1042" s="12" t="s">
        <v>160</v>
      </c>
      <c r="G1042" s="14">
        <f t="shared" ca="1" si="16"/>
        <v>174005.90408908177</v>
      </c>
      <c r="H1042" s="12" t="s">
        <v>171</v>
      </c>
      <c r="I1042">
        <v>0</v>
      </c>
      <c r="J1042">
        <v>20</v>
      </c>
      <c r="K1042" s="12" t="s">
        <v>176</v>
      </c>
      <c r="L1042">
        <v>0</v>
      </c>
      <c r="M1042">
        <v>0</v>
      </c>
      <c r="O1042" s="39"/>
      <c r="P1042" s="15">
        <v>136067.1</v>
      </c>
      <c r="S1042" s="17"/>
    </row>
    <row r="1043" spans="1:19" x14ac:dyDescent="0.4">
      <c r="A1043">
        <v>5789633</v>
      </c>
      <c r="B1043" s="16">
        <v>57</v>
      </c>
      <c r="C1043" s="12" t="s">
        <v>122</v>
      </c>
      <c r="D1043" s="12" t="s">
        <v>134</v>
      </c>
      <c r="E1043" s="12" t="s">
        <v>152</v>
      </c>
      <c r="F1043" s="12" t="s">
        <v>160</v>
      </c>
      <c r="G1043" s="14">
        <f t="shared" ca="1" si="16"/>
        <v>61706.976587267134</v>
      </c>
      <c r="H1043" s="12" t="s">
        <v>172</v>
      </c>
      <c r="I1043">
        <v>0</v>
      </c>
      <c r="J1043">
        <v>40</v>
      </c>
      <c r="K1043" s="12" t="s">
        <v>176</v>
      </c>
      <c r="L1043">
        <v>0</v>
      </c>
      <c r="M1043">
        <v>0</v>
      </c>
      <c r="O1043" s="39"/>
      <c r="P1043" s="16">
        <v>35210.769999999997</v>
      </c>
      <c r="S1043" s="17"/>
    </row>
    <row r="1044" spans="1:19" x14ac:dyDescent="0.4">
      <c r="A1044">
        <v>5803773</v>
      </c>
      <c r="B1044" s="15">
        <v>24</v>
      </c>
      <c r="C1044" s="12" t="s">
        <v>122</v>
      </c>
      <c r="D1044" s="12" t="s">
        <v>132</v>
      </c>
      <c r="E1044" s="12" t="s">
        <v>150</v>
      </c>
      <c r="F1044" s="12" t="s">
        <v>161</v>
      </c>
      <c r="G1044" s="14">
        <f t="shared" ca="1" si="16"/>
        <v>96770.38995776941</v>
      </c>
      <c r="H1044" s="12" t="s">
        <v>172</v>
      </c>
      <c r="I1044">
        <v>0</v>
      </c>
      <c r="J1044">
        <v>40</v>
      </c>
      <c r="K1044" s="12" t="s">
        <v>176</v>
      </c>
      <c r="L1044">
        <v>0</v>
      </c>
      <c r="M1044">
        <v>0</v>
      </c>
      <c r="O1044" s="39"/>
      <c r="P1044" s="15">
        <v>87199.48</v>
      </c>
      <c r="S1044" s="17"/>
    </row>
    <row r="1045" spans="1:19" x14ac:dyDescent="0.4">
      <c r="A1045">
        <v>5804397</v>
      </c>
      <c r="B1045" s="16">
        <v>37</v>
      </c>
      <c r="C1045" s="12" t="s">
        <v>122</v>
      </c>
      <c r="D1045" s="12" t="s">
        <v>134</v>
      </c>
      <c r="E1045" s="12" t="s">
        <v>151</v>
      </c>
      <c r="F1045" s="12" t="s">
        <v>158</v>
      </c>
      <c r="G1045" s="14">
        <f t="shared" ca="1" si="16"/>
        <v>169833.01522023653</v>
      </c>
      <c r="H1045" s="12" t="s">
        <v>171</v>
      </c>
      <c r="I1045">
        <v>0</v>
      </c>
      <c r="J1045">
        <v>45</v>
      </c>
      <c r="K1045" s="12" t="s">
        <v>176</v>
      </c>
      <c r="L1045">
        <v>0</v>
      </c>
      <c r="M1045">
        <v>0</v>
      </c>
      <c r="O1045" s="39"/>
      <c r="P1045" s="16">
        <v>162411.79999999999</v>
      </c>
      <c r="S1045" s="17"/>
    </row>
    <row r="1046" spans="1:19" x14ac:dyDescent="0.4">
      <c r="A1046">
        <v>5806158</v>
      </c>
      <c r="B1046" s="15">
        <v>34</v>
      </c>
      <c r="C1046" s="12" t="s">
        <v>123</v>
      </c>
      <c r="D1046" s="12" t="s">
        <v>132</v>
      </c>
      <c r="E1046" s="12" t="s">
        <v>151</v>
      </c>
      <c r="F1046" s="12" t="s">
        <v>158</v>
      </c>
      <c r="G1046" s="14">
        <f t="shared" ca="1" si="16"/>
        <v>221220.29606948141</v>
      </c>
      <c r="H1046" s="12" t="s">
        <v>171</v>
      </c>
      <c r="I1046">
        <v>0</v>
      </c>
      <c r="J1046">
        <v>50</v>
      </c>
      <c r="K1046" s="12" t="s">
        <v>176</v>
      </c>
      <c r="L1046">
        <v>0</v>
      </c>
      <c r="M1046">
        <v>0</v>
      </c>
      <c r="O1046" s="39"/>
      <c r="P1046" s="15">
        <v>201606.08</v>
      </c>
      <c r="S1046" s="17"/>
    </row>
    <row r="1047" spans="1:19" x14ac:dyDescent="0.4">
      <c r="A1047">
        <v>5808981</v>
      </c>
      <c r="B1047" s="16">
        <v>53</v>
      </c>
      <c r="C1047" s="12" t="s">
        <v>122</v>
      </c>
      <c r="D1047" s="12" t="s">
        <v>132</v>
      </c>
      <c r="E1047" s="12" t="s">
        <v>152</v>
      </c>
      <c r="F1047" s="12" t="s">
        <v>158</v>
      </c>
      <c r="G1047" s="14">
        <f t="shared" ca="1" si="16"/>
        <v>52579.191689431973</v>
      </c>
      <c r="H1047" s="12" t="s">
        <v>172</v>
      </c>
      <c r="I1047">
        <v>0</v>
      </c>
      <c r="J1047">
        <v>50</v>
      </c>
      <c r="K1047" s="12" t="s">
        <v>176</v>
      </c>
      <c r="L1047">
        <v>5815</v>
      </c>
      <c r="M1047">
        <v>1</v>
      </c>
      <c r="O1047" s="39"/>
      <c r="P1047" s="16">
        <v>31969.17</v>
      </c>
      <c r="S1047" s="17"/>
    </row>
    <row r="1048" spans="1:19" x14ac:dyDescent="0.4">
      <c r="A1048">
        <v>5810743</v>
      </c>
      <c r="B1048" s="15">
        <v>25</v>
      </c>
      <c r="C1048" s="12" t="s">
        <v>122</v>
      </c>
      <c r="D1048" s="12" t="s">
        <v>132</v>
      </c>
      <c r="E1048" s="12" t="s">
        <v>149</v>
      </c>
      <c r="F1048" s="12" t="s">
        <v>158</v>
      </c>
      <c r="G1048" s="14">
        <f t="shared" ca="1" si="16"/>
        <v>120155.44436701224</v>
      </c>
      <c r="H1048" s="12" t="s">
        <v>172</v>
      </c>
      <c r="I1048">
        <v>0</v>
      </c>
      <c r="J1048">
        <v>40</v>
      </c>
      <c r="K1048" s="12" t="s">
        <v>176</v>
      </c>
      <c r="L1048">
        <v>0</v>
      </c>
      <c r="M1048">
        <v>0</v>
      </c>
      <c r="O1048" s="39"/>
      <c r="P1048" s="15">
        <v>98744.639999999999</v>
      </c>
      <c r="S1048" s="17"/>
    </row>
    <row r="1049" spans="1:19" x14ac:dyDescent="0.4">
      <c r="A1049">
        <v>5811179</v>
      </c>
      <c r="B1049" s="16">
        <v>45</v>
      </c>
      <c r="C1049" s="12" t="s">
        <v>126</v>
      </c>
      <c r="D1049" s="12" t="s">
        <v>138</v>
      </c>
      <c r="E1049" s="12" t="s">
        <v>152</v>
      </c>
      <c r="F1049" s="12" t="s">
        <v>144</v>
      </c>
      <c r="G1049" s="14">
        <f t="shared" ca="1" si="16"/>
        <v>61093.035581100892</v>
      </c>
      <c r="H1049" s="12" t="s">
        <v>172</v>
      </c>
      <c r="I1049">
        <v>0</v>
      </c>
      <c r="J1049">
        <v>60</v>
      </c>
      <c r="K1049" s="12" t="s">
        <v>176</v>
      </c>
      <c r="L1049">
        <v>9853</v>
      </c>
      <c r="M1049">
        <v>1</v>
      </c>
      <c r="O1049" s="39"/>
      <c r="P1049" s="16">
        <v>31682.89</v>
      </c>
      <c r="S1049" s="17"/>
    </row>
    <row r="1050" spans="1:19" x14ac:dyDescent="0.4">
      <c r="A1050">
        <v>5814172</v>
      </c>
      <c r="B1050" s="15">
        <v>57</v>
      </c>
      <c r="C1050" s="12" t="s">
        <v>122</v>
      </c>
      <c r="D1050" s="12" t="s">
        <v>142</v>
      </c>
      <c r="E1050" s="12" t="s">
        <v>153</v>
      </c>
      <c r="F1050" s="12" t="s">
        <v>156</v>
      </c>
      <c r="G1050" s="14">
        <f t="shared" ca="1" si="16"/>
        <v>510553.95119674591</v>
      </c>
      <c r="H1050" s="12" t="s">
        <v>172</v>
      </c>
      <c r="I1050">
        <v>0</v>
      </c>
      <c r="J1050">
        <v>52</v>
      </c>
      <c r="K1050" s="12" t="s">
        <v>129</v>
      </c>
      <c r="L1050">
        <v>0</v>
      </c>
      <c r="M1050">
        <v>0</v>
      </c>
      <c r="O1050" s="39"/>
      <c r="P1050" s="15">
        <v>299857.24</v>
      </c>
      <c r="S1050" s="17"/>
    </row>
    <row r="1051" spans="1:19" x14ac:dyDescent="0.4">
      <c r="A1051">
        <v>5815613</v>
      </c>
      <c r="B1051" s="16">
        <v>39</v>
      </c>
      <c r="C1051" s="12" t="s">
        <v>122</v>
      </c>
      <c r="D1051" s="12" t="s">
        <v>134</v>
      </c>
      <c r="E1051" s="12" t="s">
        <v>149</v>
      </c>
      <c r="F1051" s="12" t="s">
        <v>158</v>
      </c>
      <c r="G1051" s="14">
        <f t="shared" ca="1" si="16"/>
        <v>156914.7390465881</v>
      </c>
      <c r="H1051" s="12" t="s">
        <v>171</v>
      </c>
      <c r="I1051">
        <v>0</v>
      </c>
      <c r="J1051">
        <v>20</v>
      </c>
      <c r="K1051" s="12" t="s">
        <v>176</v>
      </c>
      <c r="L1051">
        <v>0</v>
      </c>
      <c r="M1051">
        <v>0</v>
      </c>
      <c r="O1051" s="39"/>
      <c r="P1051" s="16">
        <v>82367.92</v>
      </c>
      <c r="S1051" s="17"/>
    </row>
    <row r="1052" spans="1:19" x14ac:dyDescent="0.4">
      <c r="A1052">
        <v>5816381</v>
      </c>
      <c r="B1052" s="15">
        <v>45</v>
      </c>
      <c r="C1052" s="12" t="s">
        <v>123</v>
      </c>
      <c r="D1052" s="12" t="s">
        <v>132</v>
      </c>
      <c r="E1052" s="12" t="s">
        <v>152</v>
      </c>
      <c r="F1052" s="12" t="s">
        <v>160</v>
      </c>
      <c r="G1052" s="14">
        <f t="shared" ca="1" si="16"/>
        <v>36440.505885911036</v>
      </c>
      <c r="H1052" s="12" t="s">
        <v>172</v>
      </c>
      <c r="I1052">
        <v>0</v>
      </c>
      <c r="J1052">
        <v>80</v>
      </c>
      <c r="K1052" s="12" t="s">
        <v>176</v>
      </c>
      <c r="L1052">
        <v>0</v>
      </c>
      <c r="M1052">
        <v>0</v>
      </c>
      <c r="O1052" s="39"/>
      <c r="P1052" s="15">
        <v>27896.05</v>
      </c>
      <c r="S1052" s="17"/>
    </row>
    <row r="1053" spans="1:19" x14ac:dyDescent="0.4">
      <c r="A1053">
        <v>5820306</v>
      </c>
      <c r="B1053" s="16">
        <v>62</v>
      </c>
      <c r="C1053" s="12" t="s">
        <v>129</v>
      </c>
      <c r="D1053" s="12" t="s">
        <v>142</v>
      </c>
      <c r="E1053" s="12" t="s">
        <v>150</v>
      </c>
      <c r="F1053" s="12" t="s">
        <v>129</v>
      </c>
      <c r="G1053" s="14">
        <f t="shared" ca="1" si="16"/>
        <v>367280.5064363383</v>
      </c>
      <c r="H1053" s="12" t="s">
        <v>171</v>
      </c>
      <c r="I1053">
        <v>0</v>
      </c>
      <c r="J1053">
        <v>40</v>
      </c>
      <c r="K1053" s="12" t="s">
        <v>200</v>
      </c>
      <c r="L1053">
        <v>0</v>
      </c>
      <c r="M1053">
        <v>0</v>
      </c>
      <c r="O1053" s="39"/>
      <c r="P1053" s="16">
        <v>302520.43</v>
      </c>
      <c r="S1053" s="17"/>
    </row>
    <row r="1054" spans="1:19" x14ac:dyDescent="0.4">
      <c r="A1054">
        <v>5836240</v>
      </c>
      <c r="B1054" s="15">
        <v>43</v>
      </c>
      <c r="C1054" s="12" t="s">
        <v>122</v>
      </c>
      <c r="D1054" s="12" t="s">
        <v>138</v>
      </c>
      <c r="E1054" s="12" t="s">
        <v>152</v>
      </c>
      <c r="F1054" s="12" t="s">
        <v>160</v>
      </c>
      <c r="G1054" s="14">
        <f t="shared" ca="1" si="16"/>
        <v>563381.45407770458</v>
      </c>
      <c r="H1054" s="12" t="s">
        <v>171</v>
      </c>
      <c r="I1054">
        <v>0</v>
      </c>
      <c r="J1054">
        <v>32</v>
      </c>
      <c r="K1054" s="12" t="s">
        <v>176</v>
      </c>
      <c r="L1054">
        <v>15024</v>
      </c>
      <c r="M1054">
        <v>1</v>
      </c>
      <c r="O1054" s="39"/>
      <c r="P1054" s="15">
        <v>326956.83</v>
      </c>
      <c r="S1054" s="17"/>
    </row>
    <row r="1055" spans="1:19" x14ac:dyDescent="0.4">
      <c r="A1055">
        <v>5837028</v>
      </c>
      <c r="B1055" s="16">
        <v>21</v>
      </c>
      <c r="C1055" s="12" t="s">
        <v>122</v>
      </c>
      <c r="D1055" s="12" t="s">
        <v>132</v>
      </c>
      <c r="E1055" s="12" t="s">
        <v>150</v>
      </c>
      <c r="F1055" s="12" t="s">
        <v>162</v>
      </c>
      <c r="G1055" s="14">
        <f t="shared" ca="1" si="16"/>
        <v>497447.15983211418</v>
      </c>
      <c r="H1055" s="12" t="s">
        <v>171</v>
      </c>
      <c r="I1055">
        <v>0</v>
      </c>
      <c r="J1055">
        <v>20</v>
      </c>
      <c r="K1055" s="12" t="s">
        <v>176</v>
      </c>
      <c r="L1055">
        <v>0</v>
      </c>
      <c r="M1055">
        <v>0</v>
      </c>
      <c r="O1055" s="39"/>
      <c r="P1055" s="16">
        <v>290175.87</v>
      </c>
      <c r="S1055" s="17"/>
    </row>
    <row r="1056" spans="1:19" x14ac:dyDescent="0.4">
      <c r="A1056">
        <v>5841031</v>
      </c>
      <c r="B1056" s="15">
        <v>46</v>
      </c>
      <c r="C1056" s="12" t="s">
        <v>122</v>
      </c>
      <c r="D1056" s="12" t="s">
        <v>137</v>
      </c>
      <c r="E1056" s="12" t="s">
        <v>151</v>
      </c>
      <c r="F1056" s="12" t="s">
        <v>161</v>
      </c>
      <c r="G1056" s="14">
        <f t="shared" ca="1" si="16"/>
        <v>370352.89100063569</v>
      </c>
      <c r="H1056" s="12" t="s">
        <v>172</v>
      </c>
      <c r="I1056">
        <v>0</v>
      </c>
      <c r="J1056">
        <v>40</v>
      </c>
      <c r="K1056" s="12" t="s">
        <v>176</v>
      </c>
      <c r="L1056">
        <v>0</v>
      </c>
      <c r="M1056">
        <v>0</v>
      </c>
      <c r="O1056" s="39"/>
      <c r="P1056" s="15">
        <v>216606.07</v>
      </c>
      <c r="S1056" s="17"/>
    </row>
    <row r="1057" spans="1:19" x14ac:dyDescent="0.4">
      <c r="A1057">
        <v>5841146</v>
      </c>
      <c r="B1057" s="16">
        <v>64</v>
      </c>
      <c r="C1057" s="12" t="s">
        <v>129</v>
      </c>
      <c r="D1057" s="12" t="s">
        <v>139</v>
      </c>
      <c r="E1057" s="12" t="s">
        <v>153</v>
      </c>
      <c r="F1057" s="12" t="s">
        <v>129</v>
      </c>
      <c r="G1057" s="14">
        <f t="shared" ca="1" si="16"/>
        <v>149625.8444094607</v>
      </c>
      <c r="H1057" s="12" t="s">
        <v>171</v>
      </c>
      <c r="I1057">
        <v>0</v>
      </c>
      <c r="J1057">
        <v>35</v>
      </c>
      <c r="K1057" s="12" t="s">
        <v>176</v>
      </c>
      <c r="L1057">
        <v>0</v>
      </c>
      <c r="M1057">
        <v>0</v>
      </c>
      <c r="O1057" s="39"/>
      <c r="P1057" s="16">
        <v>83849.61</v>
      </c>
      <c r="S1057" s="17"/>
    </row>
    <row r="1058" spans="1:19" x14ac:dyDescent="0.4">
      <c r="A1058">
        <v>5848103</v>
      </c>
      <c r="B1058" s="15">
        <v>50</v>
      </c>
      <c r="C1058" s="12" t="s">
        <v>122</v>
      </c>
      <c r="D1058" s="12" t="s">
        <v>134</v>
      </c>
      <c r="E1058" s="12" t="s">
        <v>152</v>
      </c>
      <c r="F1058" s="12" t="s">
        <v>164</v>
      </c>
      <c r="G1058" s="14">
        <f t="shared" ca="1" si="16"/>
        <v>23793.941655890001</v>
      </c>
      <c r="H1058" s="12" t="s">
        <v>172</v>
      </c>
      <c r="I1058">
        <v>0</v>
      </c>
      <c r="J1058">
        <v>45</v>
      </c>
      <c r="K1058" s="12" t="s">
        <v>176</v>
      </c>
      <c r="L1058">
        <v>0</v>
      </c>
      <c r="M1058">
        <v>0</v>
      </c>
      <c r="O1058" s="39"/>
      <c r="P1058" s="15">
        <v>15828.78</v>
      </c>
      <c r="S1058" s="17"/>
    </row>
    <row r="1059" spans="1:19" x14ac:dyDescent="0.4">
      <c r="A1059">
        <v>5848478</v>
      </c>
      <c r="B1059" s="16">
        <v>26</v>
      </c>
      <c r="C1059" s="12" t="s">
        <v>122</v>
      </c>
      <c r="D1059" s="12" t="s">
        <v>137</v>
      </c>
      <c r="E1059" s="12" t="s">
        <v>150</v>
      </c>
      <c r="F1059" s="12" t="s">
        <v>159</v>
      </c>
      <c r="G1059" s="14">
        <f t="shared" ca="1" si="16"/>
        <v>112476.34323933198</v>
      </c>
      <c r="H1059" s="12" t="s">
        <v>172</v>
      </c>
      <c r="I1059">
        <v>0</v>
      </c>
      <c r="J1059">
        <v>48</v>
      </c>
      <c r="K1059" s="12" t="s">
        <v>176</v>
      </c>
      <c r="L1059">
        <v>0</v>
      </c>
      <c r="M1059">
        <v>0</v>
      </c>
      <c r="O1059" s="39"/>
      <c r="P1059" s="16">
        <v>105608.42</v>
      </c>
      <c r="S1059" s="17"/>
    </row>
    <row r="1060" spans="1:19" x14ac:dyDescent="0.4">
      <c r="A1060">
        <v>5853392</v>
      </c>
      <c r="B1060" s="15">
        <v>56</v>
      </c>
      <c r="C1060" s="12" t="s">
        <v>122</v>
      </c>
      <c r="D1060" s="12" t="s">
        <v>138</v>
      </c>
      <c r="E1060" s="12" t="s">
        <v>152</v>
      </c>
      <c r="F1060" s="12" t="s">
        <v>144</v>
      </c>
      <c r="G1060" s="14">
        <f t="shared" ca="1" si="16"/>
        <v>45822.514059423956</v>
      </c>
      <c r="H1060" s="12" t="s">
        <v>172</v>
      </c>
      <c r="I1060">
        <v>0</v>
      </c>
      <c r="J1060">
        <v>40</v>
      </c>
      <c r="K1060" s="12" t="s">
        <v>176</v>
      </c>
      <c r="L1060">
        <v>5885</v>
      </c>
      <c r="M1060">
        <v>1</v>
      </c>
      <c r="O1060" s="39"/>
      <c r="P1060" s="15">
        <v>44065.89</v>
      </c>
      <c r="S1060" s="17"/>
    </row>
    <row r="1061" spans="1:19" x14ac:dyDescent="0.4">
      <c r="A1061">
        <v>5854012</v>
      </c>
      <c r="B1061" s="16">
        <v>44</v>
      </c>
      <c r="C1061" s="12" t="s">
        <v>122</v>
      </c>
      <c r="D1061" s="12" t="s">
        <v>135</v>
      </c>
      <c r="E1061" s="12" t="s">
        <v>152</v>
      </c>
      <c r="F1061" s="12" t="s">
        <v>163</v>
      </c>
      <c r="G1061" s="14">
        <f t="shared" ca="1" si="16"/>
        <v>26938.600694545938</v>
      </c>
      <c r="H1061" s="12" t="s">
        <v>172</v>
      </c>
      <c r="I1061">
        <v>0</v>
      </c>
      <c r="J1061">
        <v>40</v>
      </c>
      <c r="K1061" s="12" t="s">
        <v>176</v>
      </c>
      <c r="L1061">
        <v>0</v>
      </c>
      <c r="M1061">
        <v>0</v>
      </c>
      <c r="O1061" s="39"/>
      <c r="P1061" s="16">
        <v>25134.57</v>
      </c>
      <c r="S1061" s="17"/>
    </row>
    <row r="1062" spans="1:19" x14ac:dyDescent="0.4">
      <c r="A1062">
        <v>5866998</v>
      </c>
      <c r="B1062" s="15">
        <v>42</v>
      </c>
      <c r="C1062" s="12" t="s">
        <v>122</v>
      </c>
      <c r="D1062" s="12" t="s">
        <v>140</v>
      </c>
      <c r="E1062" s="12" t="s">
        <v>150</v>
      </c>
      <c r="F1062" s="12" t="s">
        <v>157</v>
      </c>
      <c r="G1062" s="14">
        <f t="shared" ca="1" si="16"/>
        <v>73043.924243129382</v>
      </c>
      <c r="H1062" s="12" t="s">
        <v>172</v>
      </c>
      <c r="I1062">
        <v>0</v>
      </c>
      <c r="J1062">
        <v>40</v>
      </c>
      <c r="K1062" s="12" t="s">
        <v>176</v>
      </c>
      <c r="L1062">
        <v>0</v>
      </c>
      <c r="M1062">
        <v>0</v>
      </c>
      <c r="O1062" s="39"/>
      <c r="P1062" s="15">
        <v>70018.350000000006</v>
      </c>
      <c r="S1062" s="17"/>
    </row>
    <row r="1063" spans="1:19" x14ac:dyDescent="0.4">
      <c r="A1063">
        <v>5867705</v>
      </c>
      <c r="B1063" s="16">
        <v>40</v>
      </c>
      <c r="C1063" s="12" t="s">
        <v>123</v>
      </c>
      <c r="D1063" s="12" t="s">
        <v>135</v>
      </c>
      <c r="E1063" s="12" t="s">
        <v>152</v>
      </c>
      <c r="F1063" s="12" t="s">
        <v>159</v>
      </c>
      <c r="G1063" s="14">
        <f t="shared" ca="1" si="16"/>
        <v>90690.622628628378</v>
      </c>
      <c r="H1063" s="12" t="s">
        <v>172</v>
      </c>
      <c r="I1063">
        <v>0</v>
      </c>
      <c r="J1063">
        <v>30</v>
      </c>
      <c r="K1063" s="12" t="s">
        <v>176</v>
      </c>
      <c r="L1063">
        <v>0</v>
      </c>
      <c r="M1063">
        <v>0</v>
      </c>
      <c r="O1063" s="39"/>
      <c r="P1063" s="16">
        <v>49315.87</v>
      </c>
      <c r="S1063" s="17"/>
    </row>
    <row r="1064" spans="1:19" x14ac:dyDescent="0.4">
      <c r="A1064">
        <v>5872618</v>
      </c>
      <c r="B1064" s="15">
        <v>18</v>
      </c>
      <c r="C1064" s="12" t="s">
        <v>129</v>
      </c>
      <c r="D1064" s="12" t="s">
        <v>132</v>
      </c>
      <c r="E1064" s="12" t="s">
        <v>150</v>
      </c>
      <c r="F1064" s="12" t="s">
        <v>129</v>
      </c>
      <c r="G1064" s="14">
        <f t="shared" ca="1" si="16"/>
        <v>45390.351448843649</v>
      </c>
      <c r="H1064" s="12" t="s">
        <v>171</v>
      </c>
      <c r="I1064">
        <v>0</v>
      </c>
      <c r="J1064">
        <v>30</v>
      </c>
      <c r="K1064" s="12" t="s">
        <v>176</v>
      </c>
      <c r="L1064">
        <v>0</v>
      </c>
      <c r="M1064">
        <v>0</v>
      </c>
      <c r="O1064" s="39"/>
      <c r="P1064" s="15">
        <v>33319.519999999997</v>
      </c>
      <c r="S1064" s="17"/>
    </row>
    <row r="1065" spans="1:19" x14ac:dyDescent="0.4">
      <c r="A1065">
        <v>5875221</v>
      </c>
      <c r="B1065" s="16">
        <v>20</v>
      </c>
      <c r="C1065" s="12" t="s">
        <v>122</v>
      </c>
      <c r="D1065" s="12" t="s">
        <v>132</v>
      </c>
      <c r="E1065" s="12" t="s">
        <v>150</v>
      </c>
      <c r="F1065" s="12" t="s">
        <v>158</v>
      </c>
      <c r="G1065" s="14">
        <f t="shared" ca="1" si="16"/>
        <v>347397.07868996472</v>
      </c>
      <c r="H1065" s="12" t="s">
        <v>171</v>
      </c>
      <c r="I1065">
        <v>0</v>
      </c>
      <c r="J1065">
        <v>35</v>
      </c>
      <c r="K1065" s="12" t="s">
        <v>176</v>
      </c>
      <c r="L1065">
        <v>0</v>
      </c>
      <c r="M1065">
        <v>0</v>
      </c>
      <c r="O1065" s="39"/>
      <c r="P1065" s="16">
        <v>176057.51</v>
      </c>
      <c r="S1065" s="17"/>
    </row>
    <row r="1066" spans="1:19" x14ac:dyDescent="0.4">
      <c r="A1066">
        <v>5877064</v>
      </c>
      <c r="B1066" s="15">
        <v>55</v>
      </c>
      <c r="C1066" s="12" t="s">
        <v>122</v>
      </c>
      <c r="D1066" s="12" t="s">
        <v>134</v>
      </c>
      <c r="E1066" s="12" t="s">
        <v>151</v>
      </c>
      <c r="F1066" s="12" t="s">
        <v>158</v>
      </c>
      <c r="G1066" s="14">
        <f t="shared" ca="1" si="16"/>
        <v>62903.010831652267</v>
      </c>
      <c r="H1066" s="12" t="s">
        <v>171</v>
      </c>
      <c r="I1066">
        <v>0</v>
      </c>
      <c r="J1066">
        <v>40</v>
      </c>
      <c r="K1066" s="12" t="s">
        <v>176</v>
      </c>
      <c r="L1066">
        <v>0</v>
      </c>
      <c r="M1066">
        <v>0</v>
      </c>
      <c r="O1066" s="39"/>
      <c r="P1066" s="15">
        <v>53682.58</v>
      </c>
      <c r="S1066" s="17"/>
    </row>
    <row r="1067" spans="1:19" x14ac:dyDescent="0.4">
      <c r="A1067">
        <v>5887435</v>
      </c>
      <c r="B1067" s="16">
        <v>35</v>
      </c>
      <c r="C1067" s="12" t="s">
        <v>122</v>
      </c>
      <c r="D1067" s="12" t="s">
        <v>134</v>
      </c>
      <c r="E1067" s="12" t="s">
        <v>151</v>
      </c>
      <c r="F1067" s="12" t="s">
        <v>159</v>
      </c>
      <c r="G1067" s="14">
        <f t="shared" ca="1" si="16"/>
        <v>326854.09216502431</v>
      </c>
      <c r="H1067" s="12" t="s">
        <v>171</v>
      </c>
      <c r="I1067">
        <v>0</v>
      </c>
      <c r="J1067">
        <v>48</v>
      </c>
      <c r="K1067" s="12" t="s">
        <v>176</v>
      </c>
      <c r="L1067">
        <v>0</v>
      </c>
      <c r="M1067">
        <v>0</v>
      </c>
      <c r="O1067" s="39"/>
      <c r="P1067" s="16">
        <v>255402.74</v>
      </c>
      <c r="S1067" s="17"/>
    </row>
    <row r="1068" spans="1:19" x14ac:dyDescent="0.4">
      <c r="A1068">
        <v>5891316</v>
      </c>
      <c r="B1068" s="15">
        <v>42</v>
      </c>
      <c r="C1068" s="12" t="s">
        <v>125</v>
      </c>
      <c r="D1068" s="12" t="s">
        <v>140</v>
      </c>
      <c r="E1068" s="12" t="s">
        <v>152</v>
      </c>
      <c r="F1068" s="12" t="s">
        <v>164</v>
      </c>
      <c r="G1068" s="14">
        <f t="shared" ca="1" si="16"/>
        <v>49666.550714187157</v>
      </c>
      <c r="H1068" s="12" t="s">
        <v>172</v>
      </c>
      <c r="I1068">
        <v>0</v>
      </c>
      <c r="J1068">
        <v>40</v>
      </c>
      <c r="K1068" s="12" t="s">
        <v>176</v>
      </c>
      <c r="L1068">
        <v>99999</v>
      </c>
      <c r="M1068">
        <v>1</v>
      </c>
      <c r="O1068" s="39"/>
      <c r="P1068" s="15">
        <v>29954.32</v>
      </c>
      <c r="S1068" s="17"/>
    </row>
    <row r="1069" spans="1:19" x14ac:dyDescent="0.4">
      <c r="A1069">
        <v>5896520</v>
      </c>
      <c r="B1069" s="16">
        <v>48</v>
      </c>
      <c r="C1069" s="12" t="s">
        <v>123</v>
      </c>
      <c r="D1069" s="12" t="s">
        <v>132</v>
      </c>
      <c r="E1069" s="12" t="s">
        <v>152</v>
      </c>
      <c r="F1069" s="12" t="s">
        <v>159</v>
      </c>
      <c r="G1069" s="14">
        <f t="shared" ca="1" si="16"/>
        <v>37038.275592918857</v>
      </c>
      <c r="H1069" s="12" t="s">
        <v>172</v>
      </c>
      <c r="I1069">
        <v>0</v>
      </c>
      <c r="J1069">
        <v>40</v>
      </c>
      <c r="K1069" s="12" t="s">
        <v>176</v>
      </c>
      <c r="L1069">
        <v>7688</v>
      </c>
      <c r="M1069">
        <v>1</v>
      </c>
      <c r="O1069" s="39"/>
      <c r="P1069" s="16">
        <v>20470.36</v>
      </c>
      <c r="S1069" s="17"/>
    </row>
    <row r="1070" spans="1:19" x14ac:dyDescent="0.4">
      <c r="A1070">
        <v>5899148</v>
      </c>
      <c r="B1070" s="15">
        <v>41</v>
      </c>
      <c r="C1070" s="12" t="s">
        <v>126</v>
      </c>
      <c r="D1070" s="12" t="s">
        <v>134</v>
      </c>
      <c r="E1070" s="12" t="s">
        <v>151</v>
      </c>
      <c r="F1070" s="12" t="s">
        <v>166</v>
      </c>
      <c r="G1070" s="14">
        <f t="shared" ca="1" si="16"/>
        <v>132553.33637534518</v>
      </c>
      <c r="H1070" s="12" t="s">
        <v>172</v>
      </c>
      <c r="I1070">
        <v>0</v>
      </c>
      <c r="J1070">
        <v>40</v>
      </c>
      <c r="K1070" s="12" t="s">
        <v>176</v>
      </c>
      <c r="L1070">
        <v>7854</v>
      </c>
      <c r="M1070">
        <v>1</v>
      </c>
      <c r="O1070" s="39"/>
      <c r="P1070" s="15">
        <v>67000.929999999993</v>
      </c>
      <c r="S1070" s="17"/>
    </row>
    <row r="1071" spans="1:19" x14ac:dyDescent="0.4">
      <c r="A1071">
        <v>5904305</v>
      </c>
      <c r="B1071" s="16">
        <v>26</v>
      </c>
      <c r="C1071" s="12" t="s">
        <v>122</v>
      </c>
      <c r="D1071" s="12" t="s">
        <v>145</v>
      </c>
      <c r="E1071" s="12" t="s">
        <v>150</v>
      </c>
      <c r="F1071" s="12" t="s">
        <v>164</v>
      </c>
      <c r="G1071" s="14">
        <f t="shared" ca="1" si="16"/>
        <v>441796.47372559359</v>
      </c>
      <c r="H1071" s="12" t="s">
        <v>172</v>
      </c>
      <c r="I1071">
        <v>0</v>
      </c>
      <c r="J1071">
        <v>40</v>
      </c>
      <c r="K1071" s="12" t="s">
        <v>190</v>
      </c>
      <c r="L1071">
        <v>0</v>
      </c>
      <c r="M1071">
        <v>0</v>
      </c>
      <c r="O1071" s="39"/>
      <c r="P1071" s="16">
        <v>320098.09999999998</v>
      </c>
      <c r="S1071" s="17"/>
    </row>
    <row r="1072" spans="1:19" x14ac:dyDescent="0.4">
      <c r="A1072">
        <v>5928257</v>
      </c>
      <c r="B1072" s="15">
        <v>17</v>
      </c>
      <c r="C1072" s="12" t="s">
        <v>122</v>
      </c>
      <c r="D1072" s="12" t="s">
        <v>139</v>
      </c>
      <c r="E1072" s="12" t="s">
        <v>150</v>
      </c>
      <c r="F1072" s="12" t="s">
        <v>159</v>
      </c>
      <c r="G1072" s="14">
        <f t="shared" ca="1" si="16"/>
        <v>235030.99639489912</v>
      </c>
      <c r="H1072" s="12" t="s">
        <v>172</v>
      </c>
      <c r="I1072">
        <v>0</v>
      </c>
      <c r="J1072">
        <v>40</v>
      </c>
      <c r="K1072" s="12" t="s">
        <v>176</v>
      </c>
      <c r="L1072">
        <v>0</v>
      </c>
      <c r="M1072">
        <v>0</v>
      </c>
      <c r="O1072" s="39"/>
      <c r="P1072" s="15">
        <v>152721.29</v>
      </c>
      <c r="S1072" s="17"/>
    </row>
    <row r="1073" spans="1:19" x14ac:dyDescent="0.4">
      <c r="A1073">
        <v>5929239</v>
      </c>
      <c r="B1073" s="16">
        <v>50</v>
      </c>
      <c r="C1073" s="12" t="s">
        <v>122</v>
      </c>
      <c r="D1073" s="12" t="s">
        <v>137</v>
      </c>
      <c r="E1073" s="12" t="s">
        <v>152</v>
      </c>
      <c r="F1073" s="12" t="s">
        <v>163</v>
      </c>
      <c r="G1073" s="14">
        <f t="shared" ca="1" si="16"/>
        <v>56802.476943509391</v>
      </c>
      <c r="H1073" s="12" t="s">
        <v>172</v>
      </c>
      <c r="I1073">
        <v>0</v>
      </c>
      <c r="J1073">
        <v>38</v>
      </c>
      <c r="K1073" s="12" t="s">
        <v>176</v>
      </c>
      <c r="L1073">
        <v>12879</v>
      </c>
      <c r="M1073">
        <v>1</v>
      </c>
      <c r="O1073" s="39"/>
      <c r="P1073" s="16">
        <v>32743.27</v>
      </c>
      <c r="S1073" s="17"/>
    </row>
    <row r="1074" spans="1:19" x14ac:dyDescent="0.4">
      <c r="A1074">
        <v>5929365</v>
      </c>
      <c r="B1074" s="15">
        <v>32</v>
      </c>
      <c r="C1074" s="12" t="s">
        <v>122</v>
      </c>
      <c r="D1074" s="12" t="s">
        <v>134</v>
      </c>
      <c r="E1074" s="12" t="s">
        <v>152</v>
      </c>
      <c r="F1074" s="12" t="s">
        <v>163</v>
      </c>
      <c r="G1074" s="14">
        <f t="shared" ca="1" si="16"/>
        <v>53647.184202543751</v>
      </c>
      <c r="H1074" s="12" t="s">
        <v>171</v>
      </c>
      <c r="I1074">
        <v>0</v>
      </c>
      <c r="J1074">
        <v>36</v>
      </c>
      <c r="K1074" s="12" t="s">
        <v>176</v>
      </c>
      <c r="L1074">
        <v>0</v>
      </c>
      <c r="M1074">
        <v>0</v>
      </c>
      <c r="O1074" s="39"/>
      <c r="P1074" s="15">
        <v>31291.31</v>
      </c>
      <c r="S1074" s="17"/>
    </row>
    <row r="1075" spans="1:19" x14ac:dyDescent="0.4">
      <c r="A1075">
        <v>5929761</v>
      </c>
      <c r="B1075" s="16">
        <v>49</v>
      </c>
      <c r="C1075" s="12" t="s">
        <v>126</v>
      </c>
      <c r="D1075" s="12" t="s">
        <v>134</v>
      </c>
      <c r="E1075" s="12" t="s">
        <v>152</v>
      </c>
      <c r="F1075" s="12" t="s">
        <v>144</v>
      </c>
      <c r="G1075" s="14">
        <f t="shared" ca="1" si="16"/>
        <v>44382.084806654697</v>
      </c>
      <c r="H1075" s="12" t="s">
        <v>172</v>
      </c>
      <c r="I1075">
        <v>0</v>
      </c>
      <c r="J1075">
        <v>40</v>
      </c>
      <c r="K1075" s="12" t="s">
        <v>176</v>
      </c>
      <c r="L1075">
        <v>16624</v>
      </c>
      <c r="M1075">
        <v>1</v>
      </c>
      <c r="O1075" s="39"/>
      <c r="P1075" s="16">
        <v>22596.58</v>
      </c>
      <c r="S1075" s="17"/>
    </row>
    <row r="1076" spans="1:19" x14ac:dyDescent="0.4">
      <c r="A1076">
        <v>5931627</v>
      </c>
      <c r="B1076" s="15">
        <v>26</v>
      </c>
      <c r="C1076" s="12" t="s">
        <v>122</v>
      </c>
      <c r="D1076" s="12" t="s">
        <v>132</v>
      </c>
      <c r="E1076" s="12" t="s">
        <v>152</v>
      </c>
      <c r="F1076" s="12" t="s">
        <v>163</v>
      </c>
      <c r="G1076" s="14">
        <f t="shared" ca="1" si="16"/>
        <v>70637.818029542046</v>
      </c>
      <c r="H1076" s="12" t="s">
        <v>172</v>
      </c>
      <c r="I1076">
        <v>0</v>
      </c>
      <c r="J1076">
        <v>40</v>
      </c>
      <c r="K1076" s="12" t="s">
        <v>176</v>
      </c>
      <c r="L1076">
        <v>3103</v>
      </c>
      <c r="M1076">
        <v>1</v>
      </c>
      <c r="O1076" s="39"/>
      <c r="P1076" s="15">
        <v>64051.32</v>
      </c>
      <c r="S1076" s="17"/>
    </row>
    <row r="1077" spans="1:19" x14ac:dyDescent="0.4">
      <c r="A1077">
        <v>5942012</v>
      </c>
      <c r="B1077" s="16">
        <v>21</v>
      </c>
      <c r="C1077" s="12" t="s">
        <v>122</v>
      </c>
      <c r="D1077" s="12" t="s">
        <v>134</v>
      </c>
      <c r="E1077" s="12" t="s">
        <v>150</v>
      </c>
      <c r="F1077" s="12" t="s">
        <v>156</v>
      </c>
      <c r="G1077" s="14">
        <f t="shared" ca="1" si="16"/>
        <v>177453.68119534684</v>
      </c>
      <c r="H1077" s="12" t="s">
        <v>172</v>
      </c>
      <c r="I1077">
        <v>0</v>
      </c>
      <c r="J1077">
        <v>40</v>
      </c>
      <c r="K1077" s="12" t="s">
        <v>176</v>
      </c>
      <c r="L1077">
        <v>0</v>
      </c>
      <c r="M1077">
        <v>0</v>
      </c>
      <c r="O1077" s="39"/>
      <c r="P1077" s="16">
        <v>107175.8</v>
      </c>
      <c r="S1077" s="17"/>
    </row>
    <row r="1078" spans="1:19" x14ac:dyDescent="0.4">
      <c r="A1078">
        <v>5948701</v>
      </c>
      <c r="B1078" s="15">
        <v>55</v>
      </c>
      <c r="C1078" s="12" t="s">
        <v>127</v>
      </c>
      <c r="D1078" s="12" t="s">
        <v>138</v>
      </c>
      <c r="E1078" s="12" t="s">
        <v>152</v>
      </c>
      <c r="F1078" s="12" t="s">
        <v>160</v>
      </c>
      <c r="G1078" s="14">
        <f t="shared" ca="1" si="16"/>
        <v>99571.306570190369</v>
      </c>
      <c r="H1078" s="12" t="s">
        <v>172</v>
      </c>
      <c r="I1078">
        <v>0</v>
      </c>
      <c r="J1078">
        <v>60</v>
      </c>
      <c r="K1078" s="12" t="s">
        <v>176</v>
      </c>
      <c r="L1078">
        <v>716</v>
      </c>
      <c r="M1078">
        <v>1</v>
      </c>
      <c r="O1078" s="39"/>
      <c r="P1078" s="15">
        <v>51108.26</v>
      </c>
      <c r="S1078" s="17"/>
    </row>
    <row r="1079" spans="1:19" x14ac:dyDescent="0.4">
      <c r="A1079">
        <v>5958246</v>
      </c>
      <c r="B1079" s="16">
        <v>24</v>
      </c>
      <c r="C1079" s="12" t="s">
        <v>122</v>
      </c>
      <c r="D1079" s="12" t="s">
        <v>134</v>
      </c>
      <c r="E1079" s="12" t="s">
        <v>149</v>
      </c>
      <c r="F1079" s="12" t="s">
        <v>161</v>
      </c>
      <c r="G1079" s="14">
        <f t="shared" ca="1" si="16"/>
        <v>366586.79294730717</v>
      </c>
      <c r="H1079" s="12" t="s">
        <v>171</v>
      </c>
      <c r="I1079">
        <v>0</v>
      </c>
      <c r="J1079">
        <v>40</v>
      </c>
      <c r="K1079" s="12" t="s">
        <v>176</v>
      </c>
      <c r="L1079">
        <v>0</v>
      </c>
      <c r="M1079">
        <v>0</v>
      </c>
      <c r="O1079" s="39"/>
      <c r="P1079" s="16">
        <v>219602.18</v>
      </c>
      <c r="S1079" s="17"/>
    </row>
    <row r="1080" spans="1:19" x14ac:dyDescent="0.4">
      <c r="A1080">
        <v>5962521</v>
      </c>
      <c r="B1080" s="15">
        <v>32</v>
      </c>
      <c r="C1080" s="12" t="s">
        <v>122</v>
      </c>
      <c r="D1080" s="12" t="s">
        <v>142</v>
      </c>
      <c r="E1080" s="12" t="s">
        <v>152</v>
      </c>
      <c r="F1080" s="12" t="s">
        <v>157</v>
      </c>
      <c r="G1080" s="14">
        <f t="shared" ca="1" si="16"/>
        <v>49908.003106476186</v>
      </c>
      <c r="H1080" s="12" t="s">
        <v>172</v>
      </c>
      <c r="I1080">
        <v>0</v>
      </c>
      <c r="J1080">
        <v>50</v>
      </c>
      <c r="K1080" s="12" t="s">
        <v>176</v>
      </c>
      <c r="L1080">
        <v>0</v>
      </c>
      <c r="M1080">
        <v>0</v>
      </c>
      <c r="O1080" s="39"/>
      <c r="P1080" s="15">
        <v>30080.78</v>
      </c>
      <c r="S1080" s="17"/>
    </row>
    <row r="1081" spans="1:19" x14ac:dyDescent="0.4">
      <c r="A1081">
        <v>5962648</v>
      </c>
      <c r="B1081" s="16">
        <v>39</v>
      </c>
      <c r="C1081" s="12" t="s">
        <v>122</v>
      </c>
      <c r="D1081" s="12" t="s">
        <v>135</v>
      </c>
      <c r="E1081" s="12" t="s">
        <v>152</v>
      </c>
      <c r="F1081" s="12" t="s">
        <v>144</v>
      </c>
      <c r="G1081" s="14">
        <f t="shared" ca="1" si="16"/>
        <v>267652.32132805866</v>
      </c>
      <c r="H1081" s="12" t="s">
        <v>171</v>
      </c>
      <c r="I1081">
        <v>0</v>
      </c>
      <c r="J1081">
        <v>32</v>
      </c>
      <c r="K1081" s="12" t="s">
        <v>176</v>
      </c>
      <c r="L1081">
        <v>7688</v>
      </c>
      <c r="M1081">
        <v>1</v>
      </c>
      <c r="O1081" s="39"/>
      <c r="P1081" s="16">
        <v>205185.99</v>
      </c>
      <c r="S1081" s="17"/>
    </row>
    <row r="1082" spans="1:19" x14ac:dyDescent="0.4">
      <c r="A1082">
        <v>5974099</v>
      </c>
      <c r="B1082" s="15">
        <v>46</v>
      </c>
      <c r="C1082" s="12" t="s">
        <v>122</v>
      </c>
      <c r="D1082" s="12" t="s">
        <v>135</v>
      </c>
      <c r="E1082" s="12" t="s">
        <v>150</v>
      </c>
      <c r="F1082" s="12" t="s">
        <v>162</v>
      </c>
      <c r="G1082" s="14">
        <f t="shared" ca="1" si="16"/>
        <v>109019.38018673433</v>
      </c>
      <c r="H1082" s="12" t="s">
        <v>172</v>
      </c>
      <c r="I1082">
        <v>1002.66666666667</v>
      </c>
      <c r="J1082">
        <v>40</v>
      </c>
      <c r="K1082" s="12" t="s">
        <v>176</v>
      </c>
      <c r="L1082">
        <v>0</v>
      </c>
      <c r="M1082">
        <v>0</v>
      </c>
      <c r="O1082" s="39"/>
      <c r="P1082" s="15">
        <v>73276.12</v>
      </c>
      <c r="S1082" s="17"/>
    </row>
    <row r="1083" spans="1:19" x14ac:dyDescent="0.4">
      <c r="A1083">
        <v>5977157</v>
      </c>
      <c r="B1083" s="16">
        <v>44</v>
      </c>
      <c r="C1083" s="12" t="s">
        <v>122</v>
      </c>
      <c r="D1083" s="12" t="s">
        <v>145</v>
      </c>
      <c r="E1083" s="12" t="s">
        <v>151</v>
      </c>
      <c r="F1083" s="12" t="s">
        <v>164</v>
      </c>
      <c r="G1083" s="14">
        <f t="shared" ca="1" si="16"/>
        <v>103747.77925879198</v>
      </c>
      <c r="H1083" s="12" t="s">
        <v>172</v>
      </c>
      <c r="I1083">
        <v>0</v>
      </c>
      <c r="J1083">
        <v>48</v>
      </c>
      <c r="K1083" s="12" t="s">
        <v>176</v>
      </c>
      <c r="L1083">
        <v>0</v>
      </c>
      <c r="M1083">
        <v>0</v>
      </c>
      <c r="O1083" s="39"/>
      <c r="P1083" s="16">
        <v>80946.05</v>
      </c>
      <c r="S1083" s="17"/>
    </row>
    <row r="1084" spans="1:19" x14ac:dyDescent="0.4">
      <c r="A1084">
        <v>5994090</v>
      </c>
      <c r="B1084" s="15">
        <v>47</v>
      </c>
      <c r="C1084" s="12" t="s">
        <v>122</v>
      </c>
      <c r="D1084" s="12" t="s">
        <v>135</v>
      </c>
      <c r="E1084" s="12" t="s">
        <v>151</v>
      </c>
      <c r="F1084" s="12" t="s">
        <v>160</v>
      </c>
      <c r="G1084" s="14">
        <f t="shared" ca="1" si="16"/>
        <v>18308.799954441074</v>
      </c>
      <c r="H1084" s="12" t="s">
        <v>172</v>
      </c>
      <c r="I1084">
        <v>2258</v>
      </c>
      <c r="J1084">
        <v>40</v>
      </c>
      <c r="K1084" s="12" t="s">
        <v>176</v>
      </c>
      <c r="L1084">
        <v>153</v>
      </c>
      <c r="M1084">
        <v>1</v>
      </c>
      <c r="O1084" s="39"/>
      <c r="P1084" s="15">
        <v>14774.29</v>
      </c>
      <c r="S1084" s="17"/>
    </row>
    <row r="1085" spans="1:19" x14ac:dyDescent="0.4">
      <c r="A1085">
        <v>5995267</v>
      </c>
      <c r="B1085" s="16">
        <v>19</v>
      </c>
      <c r="C1085" s="12" t="s">
        <v>129</v>
      </c>
      <c r="D1085" s="12" t="s">
        <v>132</v>
      </c>
      <c r="E1085" s="12" t="s">
        <v>150</v>
      </c>
      <c r="F1085" s="12" t="s">
        <v>129</v>
      </c>
      <c r="G1085" s="14">
        <f t="shared" ca="1" si="16"/>
        <v>192334.50985858278</v>
      </c>
      <c r="H1085" s="12" t="s">
        <v>172</v>
      </c>
      <c r="I1085">
        <v>0</v>
      </c>
      <c r="J1085">
        <v>40</v>
      </c>
      <c r="K1085" s="12" t="s">
        <v>176</v>
      </c>
      <c r="L1085">
        <v>0</v>
      </c>
      <c r="M1085">
        <v>0</v>
      </c>
      <c r="O1085" s="39"/>
      <c r="P1085" s="16">
        <v>97296.29</v>
      </c>
      <c r="S1085" s="17"/>
    </row>
    <row r="1086" spans="1:19" x14ac:dyDescent="0.4">
      <c r="A1086">
        <v>5995733</v>
      </c>
      <c r="B1086" s="15">
        <v>49</v>
      </c>
      <c r="C1086" s="12" t="s">
        <v>122</v>
      </c>
      <c r="D1086" s="12" t="s">
        <v>134</v>
      </c>
      <c r="E1086" s="12" t="s">
        <v>152</v>
      </c>
      <c r="F1086" s="12" t="s">
        <v>161</v>
      </c>
      <c r="G1086" s="14">
        <f t="shared" ca="1" si="16"/>
        <v>41913.114509577135</v>
      </c>
      <c r="H1086" s="12" t="s">
        <v>172</v>
      </c>
      <c r="I1086">
        <v>0</v>
      </c>
      <c r="J1086">
        <v>50</v>
      </c>
      <c r="K1086" s="12" t="s">
        <v>176</v>
      </c>
      <c r="L1086">
        <v>0</v>
      </c>
      <c r="M1086">
        <v>0</v>
      </c>
      <c r="O1086" s="39"/>
      <c r="P1086" s="15">
        <v>28082.43</v>
      </c>
      <c r="S1086" s="17"/>
    </row>
    <row r="1087" spans="1:19" x14ac:dyDescent="0.4">
      <c r="A1087">
        <v>5996374</v>
      </c>
      <c r="B1087" s="16">
        <v>45</v>
      </c>
      <c r="C1087" s="12" t="s">
        <v>122</v>
      </c>
      <c r="D1087" s="12" t="s">
        <v>142</v>
      </c>
      <c r="E1087" s="12" t="s">
        <v>149</v>
      </c>
      <c r="F1087" s="12" t="s">
        <v>156</v>
      </c>
      <c r="G1087" s="14">
        <f t="shared" ca="1" si="16"/>
        <v>198227.78871003355</v>
      </c>
      <c r="H1087" s="12" t="s">
        <v>171</v>
      </c>
      <c r="I1087">
        <v>0</v>
      </c>
      <c r="J1087">
        <v>40</v>
      </c>
      <c r="K1087" s="12" t="s">
        <v>185</v>
      </c>
      <c r="L1087">
        <v>0</v>
      </c>
      <c r="M1087">
        <v>0</v>
      </c>
      <c r="O1087" s="39"/>
      <c r="P1087" s="16">
        <v>125594.01</v>
      </c>
      <c r="S1087" s="17"/>
    </row>
    <row r="1088" spans="1:19" x14ac:dyDescent="0.4">
      <c r="A1088">
        <v>6000482</v>
      </c>
      <c r="B1088" s="15">
        <v>47</v>
      </c>
      <c r="C1088" s="12" t="s">
        <v>125</v>
      </c>
      <c r="D1088" s="12" t="s">
        <v>132</v>
      </c>
      <c r="E1088" s="12" t="s">
        <v>152</v>
      </c>
      <c r="F1088" s="12" t="s">
        <v>157</v>
      </c>
      <c r="G1088" s="14">
        <f t="shared" ca="1" si="16"/>
        <v>53634.159942965016</v>
      </c>
      <c r="H1088" s="12" t="s">
        <v>172</v>
      </c>
      <c r="I1088">
        <v>1887</v>
      </c>
      <c r="J1088">
        <v>40</v>
      </c>
      <c r="K1088" s="12" t="s">
        <v>176</v>
      </c>
      <c r="L1088">
        <v>0</v>
      </c>
      <c r="M1088">
        <v>1</v>
      </c>
      <c r="O1088" s="39"/>
      <c r="P1088" s="15">
        <v>31008.6</v>
      </c>
      <c r="S1088" s="17"/>
    </row>
    <row r="1089" spans="1:19" x14ac:dyDescent="0.4">
      <c r="A1089">
        <v>6004884</v>
      </c>
      <c r="B1089" s="16">
        <v>29</v>
      </c>
      <c r="C1089" s="12" t="s">
        <v>122</v>
      </c>
      <c r="D1089" s="12" t="s">
        <v>140</v>
      </c>
      <c r="E1089" s="12" t="s">
        <v>151</v>
      </c>
      <c r="F1089" s="12" t="s">
        <v>161</v>
      </c>
      <c r="G1089" s="14">
        <f t="shared" ca="1" si="16"/>
        <v>218664.0730696127</v>
      </c>
      <c r="H1089" s="12" t="s">
        <v>171</v>
      </c>
      <c r="I1089">
        <v>0</v>
      </c>
      <c r="J1089">
        <v>25</v>
      </c>
      <c r="K1089" s="12" t="s">
        <v>176</v>
      </c>
      <c r="L1089">
        <v>0</v>
      </c>
      <c r="M1089">
        <v>0</v>
      </c>
      <c r="O1089" s="39"/>
      <c r="P1089" s="16">
        <v>109341.58</v>
      </c>
      <c r="S1089" s="17"/>
    </row>
    <row r="1090" spans="1:19" x14ac:dyDescent="0.4">
      <c r="A1090">
        <v>6010946</v>
      </c>
      <c r="B1090" s="15">
        <v>56</v>
      </c>
      <c r="C1090" s="12" t="s">
        <v>125</v>
      </c>
      <c r="D1090" s="12" t="s">
        <v>132</v>
      </c>
      <c r="E1090" s="12" t="s">
        <v>153</v>
      </c>
      <c r="F1090" s="12" t="s">
        <v>158</v>
      </c>
      <c r="G1090" s="14">
        <f t="shared" ca="1" si="16"/>
        <v>177116.15862393571</v>
      </c>
      <c r="H1090" s="12" t="s">
        <v>171</v>
      </c>
      <c r="I1090">
        <v>0</v>
      </c>
      <c r="J1090">
        <v>40</v>
      </c>
      <c r="K1090" s="12" t="s">
        <v>176</v>
      </c>
      <c r="L1090">
        <v>0</v>
      </c>
      <c r="M1090">
        <v>0</v>
      </c>
      <c r="O1090" s="39"/>
      <c r="P1090" s="15">
        <v>91953.88</v>
      </c>
      <c r="S1090" s="17"/>
    </row>
    <row r="1091" spans="1:19" x14ac:dyDescent="0.4">
      <c r="A1091">
        <v>6015309</v>
      </c>
      <c r="B1091" s="16">
        <v>33</v>
      </c>
      <c r="C1091" s="12" t="s">
        <v>122</v>
      </c>
      <c r="D1091" s="12" t="s">
        <v>138</v>
      </c>
      <c r="E1091" s="12" t="s">
        <v>150</v>
      </c>
      <c r="F1091" s="12" t="s">
        <v>144</v>
      </c>
      <c r="G1091" s="14">
        <f t="shared" ca="1" si="16"/>
        <v>175278.93228869649</v>
      </c>
      <c r="H1091" s="12" t="s">
        <v>171</v>
      </c>
      <c r="I1091">
        <v>0</v>
      </c>
      <c r="J1091">
        <v>40</v>
      </c>
      <c r="K1091" s="12" t="s">
        <v>176</v>
      </c>
      <c r="L1091">
        <v>0</v>
      </c>
      <c r="M1091">
        <v>0</v>
      </c>
      <c r="O1091" s="39"/>
      <c r="P1091" s="16">
        <v>106946.9</v>
      </c>
      <c r="S1091" s="17"/>
    </row>
    <row r="1092" spans="1:19" x14ac:dyDescent="0.4">
      <c r="A1092">
        <v>6019216</v>
      </c>
      <c r="B1092" s="15">
        <v>24</v>
      </c>
      <c r="C1092" s="12" t="s">
        <v>122</v>
      </c>
      <c r="D1092" s="12" t="s">
        <v>133</v>
      </c>
      <c r="E1092" s="12" t="s">
        <v>152</v>
      </c>
      <c r="F1092" s="12" t="s">
        <v>158</v>
      </c>
      <c r="G1092" s="14">
        <f t="shared" ca="1" si="16"/>
        <v>353109.11411639827</v>
      </c>
      <c r="H1092" s="12" t="s">
        <v>171</v>
      </c>
      <c r="I1092">
        <v>0</v>
      </c>
      <c r="J1092">
        <v>40</v>
      </c>
      <c r="K1092" s="12" t="s">
        <v>176</v>
      </c>
      <c r="L1092">
        <v>0</v>
      </c>
      <c r="M1092">
        <v>0</v>
      </c>
      <c r="O1092" s="39"/>
      <c r="P1092" s="15">
        <v>324427.42</v>
      </c>
      <c r="S1092" s="17"/>
    </row>
    <row r="1093" spans="1:19" x14ac:dyDescent="0.4">
      <c r="A1093">
        <v>6031385</v>
      </c>
      <c r="B1093" s="16">
        <v>42</v>
      </c>
      <c r="C1093" s="12" t="s">
        <v>122</v>
      </c>
      <c r="D1093" s="12" t="s">
        <v>135</v>
      </c>
      <c r="E1093" s="12" t="s">
        <v>150</v>
      </c>
      <c r="F1093" s="12" t="s">
        <v>160</v>
      </c>
      <c r="G1093" s="14">
        <f t="shared" ca="1" si="16"/>
        <v>67019.373670052883</v>
      </c>
      <c r="H1093" s="12" t="s">
        <v>172</v>
      </c>
      <c r="I1093">
        <v>0</v>
      </c>
      <c r="J1093">
        <v>55</v>
      </c>
      <c r="K1093" s="12" t="s">
        <v>176</v>
      </c>
      <c r="L1093">
        <v>0</v>
      </c>
      <c r="M1093">
        <v>1</v>
      </c>
      <c r="O1093" s="39"/>
      <c r="P1093" s="16">
        <v>59071.62</v>
      </c>
      <c r="S1093" s="17"/>
    </row>
    <row r="1094" spans="1:19" x14ac:dyDescent="0.4">
      <c r="A1094">
        <v>6031535</v>
      </c>
      <c r="B1094" s="15">
        <v>46</v>
      </c>
      <c r="C1094" s="12" t="s">
        <v>122</v>
      </c>
      <c r="D1094" s="12" t="s">
        <v>137</v>
      </c>
      <c r="E1094" s="12" t="s">
        <v>151</v>
      </c>
      <c r="F1094" s="12" t="s">
        <v>160</v>
      </c>
      <c r="G1094" s="14">
        <f t="shared" ca="1" si="16"/>
        <v>371427.82978203008</v>
      </c>
      <c r="H1094" s="12" t="s">
        <v>171</v>
      </c>
      <c r="I1094">
        <v>0</v>
      </c>
      <c r="J1094">
        <v>45</v>
      </c>
      <c r="K1094" s="12" t="s">
        <v>176</v>
      </c>
      <c r="L1094">
        <v>0</v>
      </c>
      <c r="M1094">
        <v>0</v>
      </c>
      <c r="O1094" s="39"/>
      <c r="P1094" s="15">
        <v>248376.07</v>
      </c>
      <c r="S1094" s="17"/>
    </row>
    <row r="1095" spans="1:19" x14ac:dyDescent="0.4">
      <c r="A1095">
        <v>6035110</v>
      </c>
      <c r="B1095" s="16">
        <v>23</v>
      </c>
      <c r="C1095" s="12" t="s">
        <v>122</v>
      </c>
      <c r="D1095" s="12" t="s">
        <v>135</v>
      </c>
      <c r="E1095" s="12" t="s">
        <v>150</v>
      </c>
      <c r="F1095" s="12" t="s">
        <v>158</v>
      </c>
      <c r="G1095" s="14">
        <f t="shared" ca="1" si="16"/>
        <v>75899.158907592326</v>
      </c>
      <c r="H1095" s="12" t="s">
        <v>171</v>
      </c>
      <c r="I1095">
        <v>0</v>
      </c>
      <c r="J1095">
        <v>40</v>
      </c>
      <c r="K1095" s="12" t="s">
        <v>176</v>
      </c>
      <c r="L1095">
        <v>0</v>
      </c>
      <c r="M1095">
        <v>0</v>
      </c>
      <c r="O1095" s="39"/>
      <c r="P1095" s="16">
        <v>39308.660000000003</v>
      </c>
      <c r="S1095" s="17"/>
    </row>
    <row r="1096" spans="1:19" x14ac:dyDescent="0.4">
      <c r="A1096">
        <v>6041187</v>
      </c>
      <c r="B1096" s="15">
        <v>54</v>
      </c>
      <c r="C1096" s="12" t="s">
        <v>122</v>
      </c>
      <c r="D1096" s="12" t="s">
        <v>134</v>
      </c>
      <c r="E1096" s="12" t="s">
        <v>151</v>
      </c>
      <c r="F1096" s="12" t="s">
        <v>162</v>
      </c>
      <c r="G1096" s="14">
        <f t="shared" ca="1" si="16"/>
        <v>369226.71878185344</v>
      </c>
      <c r="H1096" s="12" t="s">
        <v>171</v>
      </c>
      <c r="I1096">
        <v>0</v>
      </c>
      <c r="J1096">
        <v>35</v>
      </c>
      <c r="K1096" s="12" t="s">
        <v>176</v>
      </c>
      <c r="L1096">
        <v>0</v>
      </c>
      <c r="M1096">
        <v>0</v>
      </c>
      <c r="O1096" s="39"/>
      <c r="P1096" s="15">
        <v>218259.97</v>
      </c>
      <c r="S1096" s="17"/>
    </row>
    <row r="1097" spans="1:19" x14ac:dyDescent="0.4">
      <c r="A1097">
        <v>6051891</v>
      </c>
      <c r="B1097" s="16">
        <v>51</v>
      </c>
      <c r="C1097" s="12" t="s">
        <v>125</v>
      </c>
      <c r="D1097" s="12" t="s">
        <v>134</v>
      </c>
      <c r="E1097" s="12" t="s">
        <v>151</v>
      </c>
      <c r="F1097" s="12" t="s">
        <v>166</v>
      </c>
      <c r="G1097" s="14">
        <f t="shared" ca="1" si="16"/>
        <v>455726.94238008949</v>
      </c>
      <c r="H1097" s="12" t="s">
        <v>172</v>
      </c>
      <c r="I1097">
        <v>0</v>
      </c>
      <c r="J1097">
        <v>52</v>
      </c>
      <c r="K1097" s="12" t="s">
        <v>176</v>
      </c>
      <c r="L1097">
        <v>0</v>
      </c>
      <c r="M1097">
        <v>0</v>
      </c>
      <c r="O1097" s="39"/>
      <c r="P1097" s="16">
        <v>274195.24</v>
      </c>
      <c r="S1097" s="17"/>
    </row>
    <row r="1098" spans="1:19" x14ac:dyDescent="0.4">
      <c r="A1098">
        <v>6061095</v>
      </c>
      <c r="B1098" s="15">
        <v>59</v>
      </c>
      <c r="C1098" s="12" t="s">
        <v>122</v>
      </c>
      <c r="D1098" s="12" t="s">
        <v>132</v>
      </c>
      <c r="E1098" s="12" t="s">
        <v>152</v>
      </c>
      <c r="F1098" s="12" t="s">
        <v>166</v>
      </c>
      <c r="G1098" s="14">
        <f t="shared" ca="1" si="16"/>
        <v>56108.00697219932</v>
      </c>
      <c r="H1098" s="12" t="s">
        <v>172</v>
      </c>
      <c r="I1098">
        <v>0</v>
      </c>
      <c r="J1098">
        <v>56</v>
      </c>
      <c r="K1098" s="12" t="s">
        <v>176</v>
      </c>
      <c r="L1098">
        <v>0</v>
      </c>
      <c r="M1098">
        <v>0</v>
      </c>
      <c r="O1098" s="39"/>
      <c r="P1098" s="15">
        <v>34268.74</v>
      </c>
      <c r="S1098" s="17"/>
    </row>
    <row r="1099" spans="1:19" x14ac:dyDescent="0.4">
      <c r="A1099">
        <v>6070900</v>
      </c>
      <c r="B1099" s="16">
        <v>40</v>
      </c>
      <c r="C1099" s="12" t="s">
        <v>126</v>
      </c>
      <c r="D1099" s="12" t="s">
        <v>135</v>
      </c>
      <c r="E1099" s="12" t="s">
        <v>152</v>
      </c>
      <c r="F1099" s="12" t="s">
        <v>160</v>
      </c>
      <c r="G1099" s="14">
        <f t="shared" ref="G1099:G1162" ca="1" si="17">P1099*(1+RAND())</f>
        <v>59950.952060917945</v>
      </c>
      <c r="H1099" s="12" t="s">
        <v>171</v>
      </c>
      <c r="I1099">
        <v>0</v>
      </c>
      <c r="J1099">
        <v>20</v>
      </c>
      <c r="K1099" s="12" t="s">
        <v>176</v>
      </c>
      <c r="L1099">
        <v>0</v>
      </c>
      <c r="M1099">
        <v>0</v>
      </c>
      <c r="O1099" s="39"/>
      <c r="P1099" s="16">
        <v>45738.2</v>
      </c>
      <c r="S1099" s="17"/>
    </row>
    <row r="1100" spans="1:19" x14ac:dyDescent="0.4">
      <c r="A1100">
        <v>6078926</v>
      </c>
      <c r="B1100" s="15">
        <v>44</v>
      </c>
      <c r="C1100" s="12" t="s">
        <v>122</v>
      </c>
      <c r="D1100" s="12" t="s">
        <v>132</v>
      </c>
      <c r="E1100" s="12" t="s">
        <v>152</v>
      </c>
      <c r="F1100" s="12" t="s">
        <v>158</v>
      </c>
      <c r="G1100" s="14">
        <f t="shared" ca="1" si="17"/>
        <v>804103.20534954651</v>
      </c>
      <c r="H1100" s="12" t="s">
        <v>171</v>
      </c>
      <c r="I1100">
        <v>2415</v>
      </c>
      <c r="J1100">
        <v>6</v>
      </c>
      <c r="K1100" s="12" t="s">
        <v>176</v>
      </c>
      <c r="L1100">
        <v>3636</v>
      </c>
      <c r="M1100">
        <v>1</v>
      </c>
      <c r="O1100" s="39"/>
      <c r="P1100" s="15">
        <v>411783.25</v>
      </c>
      <c r="S1100" s="17"/>
    </row>
    <row r="1101" spans="1:19" x14ac:dyDescent="0.4">
      <c r="A1101">
        <v>6085798</v>
      </c>
      <c r="B1101" s="16">
        <v>30</v>
      </c>
      <c r="C1101" s="12" t="s">
        <v>127</v>
      </c>
      <c r="D1101" s="12" t="s">
        <v>135</v>
      </c>
      <c r="E1101" s="12" t="s">
        <v>150</v>
      </c>
      <c r="F1101" s="12" t="s">
        <v>158</v>
      </c>
      <c r="G1101" s="14">
        <f t="shared" ca="1" si="17"/>
        <v>18186.932175927275</v>
      </c>
      <c r="H1101" s="12" t="s">
        <v>171</v>
      </c>
      <c r="I1101">
        <v>0</v>
      </c>
      <c r="J1101">
        <v>35</v>
      </c>
      <c r="K1101" s="12" t="s">
        <v>176</v>
      </c>
      <c r="L1101">
        <v>0</v>
      </c>
      <c r="M1101">
        <v>0</v>
      </c>
      <c r="O1101" s="39"/>
      <c r="P1101" s="16">
        <v>14717.12</v>
      </c>
      <c r="S1101" s="17"/>
    </row>
    <row r="1102" spans="1:19" x14ac:dyDescent="0.4">
      <c r="A1102">
        <v>6087204</v>
      </c>
      <c r="B1102" s="15">
        <v>49</v>
      </c>
      <c r="C1102" s="12" t="s">
        <v>122</v>
      </c>
      <c r="D1102" s="12" t="s">
        <v>135</v>
      </c>
      <c r="E1102" s="12" t="s">
        <v>151</v>
      </c>
      <c r="F1102" s="12" t="s">
        <v>160</v>
      </c>
      <c r="G1102" s="14">
        <f t="shared" ca="1" si="17"/>
        <v>41580.074613149962</v>
      </c>
      <c r="H1102" s="12" t="s">
        <v>171</v>
      </c>
      <c r="I1102">
        <v>0</v>
      </c>
      <c r="J1102">
        <v>40</v>
      </c>
      <c r="K1102" s="12" t="s">
        <v>176</v>
      </c>
      <c r="L1102">
        <v>0</v>
      </c>
      <c r="M1102">
        <v>0</v>
      </c>
      <c r="O1102" s="39"/>
      <c r="P1102" s="15">
        <v>37328.800000000003</v>
      </c>
      <c r="S1102" s="17"/>
    </row>
    <row r="1103" spans="1:19" x14ac:dyDescent="0.4">
      <c r="A1103">
        <v>6089024</v>
      </c>
      <c r="B1103" s="16">
        <v>34</v>
      </c>
      <c r="C1103" s="12" t="s">
        <v>122</v>
      </c>
      <c r="D1103" s="12" t="s">
        <v>141</v>
      </c>
      <c r="E1103" s="12" t="s">
        <v>152</v>
      </c>
      <c r="F1103" s="12" t="s">
        <v>144</v>
      </c>
      <c r="G1103" s="14">
        <f t="shared" ca="1" si="17"/>
        <v>24302.378432977541</v>
      </c>
      <c r="H1103" s="12" t="s">
        <v>172</v>
      </c>
      <c r="I1103">
        <v>0</v>
      </c>
      <c r="J1103">
        <v>45</v>
      </c>
      <c r="K1103" s="12" t="s">
        <v>176</v>
      </c>
      <c r="L1103">
        <v>7218</v>
      </c>
      <c r="M1103">
        <v>1</v>
      </c>
      <c r="O1103" s="39"/>
      <c r="P1103" s="16">
        <v>19430.060000000001</v>
      </c>
      <c r="S1103" s="17"/>
    </row>
    <row r="1104" spans="1:19" x14ac:dyDescent="0.4">
      <c r="A1104">
        <v>6093447</v>
      </c>
      <c r="B1104" s="15">
        <v>36</v>
      </c>
      <c r="C1104" s="12" t="s">
        <v>122</v>
      </c>
      <c r="D1104" s="12" t="s">
        <v>134</v>
      </c>
      <c r="E1104" s="12" t="s">
        <v>151</v>
      </c>
      <c r="F1104" s="12" t="s">
        <v>161</v>
      </c>
      <c r="G1104" s="14">
        <f t="shared" ca="1" si="17"/>
        <v>515130.64438666921</v>
      </c>
      <c r="H1104" s="12" t="s">
        <v>172</v>
      </c>
      <c r="I1104">
        <v>0</v>
      </c>
      <c r="J1104">
        <v>40</v>
      </c>
      <c r="K1104" s="12" t="s">
        <v>176</v>
      </c>
      <c r="L1104">
        <v>0</v>
      </c>
      <c r="M1104">
        <v>0</v>
      </c>
      <c r="O1104" s="39"/>
      <c r="P1104" s="15">
        <v>273806.89</v>
      </c>
      <c r="S1104" s="17"/>
    </row>
    <row r="1105" spans="1:19" x14ac:dyDescent="0.4">
      <c r="A1105">
        <v>6095275</v>
      </c>
      <c r="B1105" s="16">
        <v>31</v>
      </c>
      <c r="C1105" s="12" t="s">
        <v>122</v>
      </c>
      <c r="D1105" s="12" t="s">
        <v>135</v>
      </c>
      <c r="E1105" s="12" t="s">
        <v>150</v>
      </c>
      <c r="F1105" s="12" t="s">
        <v>144</v>
      </c>
      <c r="G1105" s="14">
        <f t="shared" ca="1" si="17"/>
        <v>284175.28582690435</v>
      </c>
      <c r="H1105" s="12" t="s">
        <v>172</v>
      </c>
      <c r="I1105">
        <v>0</v>
      </c>
      <c r="J1105">
        <v>25</v>
      </c>
      <c r="K1105" s="12" t="s">
        <v>176</v>
      </c>
      <c r="L1105">
        <v>0</v>
      </c>
      <c r="M1105">
        <v>0</v>
      </c>
      <c r="O1105" s="39"/>
      <c r="P1105" s="16">
        <v>186734</v>
      </c>
      <c r="S1105" s="17"/>
    </row>
    <row r="1106" spans="1:19" x14ac:dyDescent="0.4">
      <c r="A1106">
        <v>6105722</v>
      </c>
      <c r="B1106" s="15">
        <v>33</v>
      </c>
      <c r="C1106" s="12" t="s">
        <v>122</v>
      </c>
      <c r="D1106" s="12" t="s">
        <v>135</v>
      </c>
      <c r="E1106" s="12" t="s">
        <v>149</v>
      </c>
      <c r="F1106" s="12" t="s">
        <v>162</v>
      </c>
      <c r="G1106" s="14">
        <f t="shared" ca="1" si="17"/>
        <v>44845.086985990383</v>
      </c>
      <c r="H1106" s="12" t="s">
        <v>171</v>
      </c>
      <c r="I1106">
        <v>0</v>
      </c>
      <c r="J1106">
        <v>50</v>
      </c>
      <c r="K1106" s="12" t="s">
        <v>176</v>
      </c>
      <c r="L1106">
        <v>23364</v>
      </c>
      <c r="M1106">
        <v>1</v>
      </c>
      <c r="O1106" s="39"/>
      <c r="P1106" s="15">
        <v>27040.44</v>
      </c>
      <c r="S1106" s="17"/>
    </row>
    <row r="1107" spans="1:19" x14ac:dyDescent="0.4">
      <c r="A1107">
        <v>6109853</v>
      </c>
      <c r="B1107" s="16">
        <v>22</v>
      </c>
      <c r="C1107" s="12" t="s">
        <v>122</v>
      </c>
      <c r="D1107" s="12" t="s">
        <v>140</v>
      </c>
      <c r="E1107" s="12" t="s">
        <v>152</v>
      </c>
      <c r="F1107" s="12" t="s">
        <v>161</v>
      </c>
      <c r="G1107" s="14">
        <f t="shared" ca="1" si="17"/>
        <v>71333.499670153062</v>
      </c>
      <c r="H1107" s="12" t="s">
        <v>171</v>
      </c>
      <c r="I1107">
        <v>0</v>
      </c>
      <c r="J1107">
        <v>40</v>
      </c>
      <c r="K1107" s="12" t="s">
        <v>176</v>
      </c>
      <c r="L1107">
        <v>0</v>
      </c>
      <c r="M1107">
        <v>0</v>
      </c>
      <c r="O1107" s="39"/>
      <c r="P1107" s="16">
        <v>37129.410000000003</v>
      </c>
      <c r="S1107" s="17"/>
    </row>
    <row r="1108" spans="1:19" x14ac:dyDescent="0.4">
      <c r="A1108">
        <v>6117508</v>
      </c>
      <c r="B1108" s="15">
        <v>44</v>
      </c>
      <c r="C1108" s="12" t="s">
        <v>124</v>
      </c>
      <c r="D1108" s="12" t="s">
        <v>132</v>
      </c>
      <c r="E1108" s="12" t="s">
        <v>152</v>
      </c>
      <c r="F1108" s="12" t="s">
        <v>160</v>
      </c>
      <c r="G1108" s="14">
        <f t="shared" ca="1" si="17"/>
        <v>42608.371207269709</v>
      </c>
      <c r="H1108" s="12" t="s">
        <v>172</v>
      </c>
      <c r="I1108">
        <v>0</v>
      </c>
      <c r="J1108">
        <v>50</v>
      </c>
      <c r="K1108" s="12" t="s">
        <v>176</v>
      </c>
      <c r="L1108">
        <v>0</v>
      </c>
      <c r="M1108">
        <v>0</v>
      </c>
      <c r="O1108" s="39"/>
      <c r="P1108" s="15">
        <v>26368.58</v>
      </c>
      <c r="S1108" s="17"/>
    </row>
    <row r="1109" spans="1:19" x14ac:dyDescent="0.4">
      <c r="A1109">
        <v>6143355</v>
      </c>
      <c r="B1109" s="16">
        <v>51</v>
      </c>
      <c r="C1109" s="12" t="s">
        <v>122</v>
      </c>
      <c r="D1109" s="12" t="s">
        <v>134</v>
      </c>
      <c r="E1109" s="12" t="s">
        <v>151</v>
      </c>
      <c r="F1109" s="12" t="s">
        <v>156</v>
      </c>
      <c r="G1109" s="14">
        <f t="shared" ca="1" si="17"/>
        <v>116948.11437322132</v>
      </c>
      <c r="H1109" s="12" t="s">
        <v>171</v>
      </c>
      <c r="I1109">
        <v>0</v>
      </c>
      <c r="J1109">
        <v>40</v>
      </c>
      <c r="K1109" s="12" t="s">
        <v>176</v>
      </c>
      <c r="L1109">
        <v>0</v>
      </c>
      <c r="M1109">
        <v>0</v>
      </c>
      <c r="O1109" s="39"/>
      <c r="P1109" s="16">
        <v>80149.55</v>
      </c>
      <c r="S1109" s="17"/>
    </row>
    <row r="1110" spans="1:19" x14ac:dyDescent="0.4">
      <c r="A1110">
        <v>6145953</v>
      </c>
      <c r="B1110" s="15">
        <v>25</v>
      </c>
      <c r="C1110" s="12" t="s">
        <v>123</v>
      </c>
      <c r="D1110" s="12" t="s">
        <v>134</v>
      </c>
      <c r="E1110" s="12" t="s">
        <v>150</v>
      </c>
      <c r="F1110" s="12" t="s">
        <v>165</v>
      </c>
      <c r="G1110" s="14">
        <f t="shared" ca="1" si="17"/>
        <v>120047.72241172999</v>
      </c>
      <c r="H1110" s="12" t="s">
        <v>172</v>
      </c>
      <c r="I1110">
        <v>0</v>
      </c>
      <c r="J1110">
        <v>35</v>
      </c>
      <c r="K1110" s="12" t="s">
        <v>176</v>
      </c>
      <c r="L1110">
        <v>0</v>
      </c>
      <c r="M1110">
        <v>0</v>
      </c>
      <c r="O1110" s="39"/>
      <c r="P1110" s="15">
        <v>86818.55</v>
      </c>
      <c r="S1110" s="17"/>
    </row>
    <row r="1111" spans="1:19" x14ac:dyDescent="0.4">
      <c r="A1111">
        <v>6148007</v>
      </c>
      <c r="B1111" s="16">
        <v>28</v>
      </c>
      <c r="C1111" s="12" t="s">
        <v>122</v>
      </c>
      <c r="D1111" s="12" t="s">
        <v>132</v>
      </c>
      <c r="E1111" s="12" t="s">
        <v>152</v>
      </c>
      <c r="F1111" s="12" t="s">
        <v>160</v>
      </c>
      <c r="G1111" s="14">
        <f t="shared" ca="1" si="17"/>
        <v>60879.612763988232</v>
      </c>
      <c r="H1111" s="12" t="s">
        <v>172</v>
      </c>
      <c r="I1111">
        <v>0</v>
      </c>
      <c r="J1111">
        <v>40</v>
      </c>
      <c r="K1111" s="12" t="s">
        <v>178</v>
      </c>
      <c r="L1111">
        <v>0</v>
      </c>
      <c r="M1111">
        <v>0</v>
      </c>
      <c r="O1111" s="39"/>
      <c r="P1111" s="16">
        <v>40040.97</v>
      </c>
      <c r="S1111" s="17"/>
    </row>
    <row r="1112" spans="1:19" x14ac:dyDescent="0.4">
      <c r="A1112">
        <v>6150789</v>
      </c>
      <c r="B1112" s="15">
        <v>46</v>
      </c>
      <c r="C1112" s="12" t="s">
        <v>127</v>
      </c>
      <c r="D1112" s="12" t="s">
        <v>135</v>
      </c>
      <c r="E1112" s="12" t="s">
        <v>151</v>
      </c>
      <c r="F1112" s="12" t="s">
        <v>144</v>
      </c>
      <c r="G1112" s="14">
        <f t="shared" ca="1" si="17"/>
        <v>127458.85194076016</v>
      </c>
      <c r="H1112" s="12" t="s">
        <v>172</v>
      </c>
      <c r="I1112">
        <v>0</v>
      </c>
      <c r="J1112">
        <v>40</v>
      </c>
      <c r="K1112" s="12" t="s">
        <v>176</v>
      </c>
      <c r="L1112">
        <v>0</v>
      </c>
      <c r="M1112">
        <v>0</v>
      </c>
      <c r="O1112" s="39"/>
      <c r="P1112" s="15">
        <v>79516.72</v>
      </c>
      <c r="S1112" s="17"/>
    </row>
    <row r="1113" spans="1:19" x14ac:dyDescent="0.4">
      <c r="A1113">
        <v>6156010</v>
      </c>
      <c r="B1113" s="16">
        <v>32</v>
      </c>
      <c r="C1113" s="12" t="s">
        <v>122</v>
      </c>
      <c r="D1113" s="12" t="s">
        <v>139</v>
      </c>
      <c r="E1113" s="12" t="s">
        <v>150</v>
      </c>
      <c r="F1113" s="12" t="s">
        <v>156</v>
      </c>
      <c r="G1113" s="14">
        <f t="shared" ca="1" si="17"/>
        <v>195998.27152476023</v>
      </c>
      <c r="H1113" s="12" t="s">
        <v>172</v>
      </c>
      <c r="I1113">
        <v>0</v>
      </c>
      <c r="J1113">
        <v>40</v>
      </c>
      <c r="K1113" s="12" t="s">
        <v>176</v>
      </c>
      <c r="L1113">
        <v>0</v>
      </c>
      <c r="M1113">
        <v>0</v>
      </c>
      <c r="O1113" s="39"/>
      <c r="P1113" s="16">
        <v>108352.29</v>
      </c>
      <c r="S1113" s="17"/>
    </row>
    <row r="1114" spans="1:19" x14ac:dyDescent="0.4">
      <c r="A1114">
        <v>6163508</v>
      </c>
      <c r="B1114" s="15">
        <v>22</v>
      </c>
      <c r="C1114" s="12" t="s">
        <v>122</v>
      </c>
      <c r="D1114" s="12" t="s">
        <v>137</v>
      </c>
      <c r="E1114" s="12" t="s">
        <v>150</v>
      </c>
      <c r="F1114" s="12" t="s">
        <v>144</v>
      </c>
      <c r="G1114" s="14">
        <f t="shared" ca="1" si="17"/>
        <v>280517.31947824766</v>
      </c>
      <c r="H1114" s="12" t="s">
        <v>171</v>
      </c>
      <c r="I1114">
        <v>0</v>
      </c>
      <c r="J1114">
        <v>35</v>
      </c>
      <c r="K1114" s="12" t="s">
        <v>176</v>
      </c>
      <c r="L1114">
        <v>0</v>
      </c>
      <c r="M1114">
        <v>0</v>
      </c>
      <c r="O1114" s="39"/>
      <c r="P1114" s="15">
        <v>211440.82</v>
      </c>
      <c r="S1114" s="17"/>
    </row>
    <row r="1115" spans="1:19" x14ac:dyDescent="0.4">
      <c r="A1115">
        <v>6164260</v>
      </c>
      <c r="B1115" s="16">
        <v>21</v>
      </c>
      <c r="C1115" s="12" t="s">
        <v>126</v>
      </c>
      <c r="D1115" s="12" t="s">
        <v>132</v>
      </c>
      <c r="E1115" s="12" t="s">
        <v>150</v>
      </c>
      <c r="F1115" s="12" t="s">
        <v>158</v>
      </c>
      <c r="G1115" s="14">
        <f t="shared" ca="1" si="17"/>
        <v>405901.27345604694</v>
      </c>
      <c r="H1115" s="12" t="s">
        <v>171</v>
      </c>
      <c r="I1115">
        <v>0</v>
      </c>
      <c r="J1115">
        <v>35</v>
      </c>
      <c r="K1115" s="12" t="s">
        <v>176</v>
      </c>
      <c r="L1115">
        <v>0</v>
      </c>
      <c r="M1115">
        <v>0</v>
      </c>
      <c r="O1115" s="39"/>
      <c r="P1115" s="16">
        <v>281632.06</v>
      </c>
      <c r="S1115" s="17"/>
    </row>
    <row r="1116" spans="1:19" x14ac:dyDescent="0.4">
      <c r="A1116">
        <v>6177453</v>
      </c>
      <c r="B1116" s="15">
        <v>51</v>
      </c>
      <c r="C1116" s="12" t="s">
        <v>122</v>
      </c>
      <c r="D1116" s="12" t="s">
        <v>134</v>
      </c>
      <c r="E1116" s="12" t="s">
        <v>153</v>
      </c>
      <c r="F1116" s="12" t="s">
        <v>161</v>
      </c>
      <c r="G1116" s="14">
        <f t="shared" ca="1" si="17"/>
        <v>12443.657439438892</v>
      </c>
      <c r="H1116" s="12" t="s">
        <v>171</v>
      </c>
      <c r="I1116">
        <v>0</v>
      </c>
      <c r="J1116">
        <v>40</v>
      </c>
      <c r="K1116" s="12" t="s">
        <v>176</v>
      </c>
      <c r="L1116">
        <v>0</v>
      </c>
      <c r="M1116">
        <v>0</v>
      </c>
      <c r="O1116" s="39"/>
      <c r="P1116" s="15">
        <v>6254.08</v>
      </c>
      <c r="S1116" s="17"/>
    </row>
    <row r="1117" spans="1:19" x14ac:dyDescent="0.4">
      <c r="A1117">
        <v>6178299</v>
      </c>
      <c r="B1117" s="16">
        <v>21</v>
      </c>
      <c r="C1117" s="12" t="s">
        <v>122</v>
      </c>
      <c r="D1117" s="12" t="s">
        <v>132</v>
      </c>
      <c r="E1117" s="12" t="s">
        <v>150</v>
      </c>
      <c r="F1117" s="12" t="s">
        <v>144</v>
      </c>
      <c r="G1117" s="14">
        <f t="shared" ca="1" si="17"/>
        <v>100721.5267860103</v>
      </c>
      <c r="H1117" s="12" t="s">
        <v>171</v>
      </c>
      <c r="I1117">
        <v>0</v>
      </c>
      <c r="J1117">
        <v>10</v>
      </c>
      <c r="K1117" s="12" t="s">
        <v>176</v>
      </c>
      <c r="L1117">
        <v>0</v>
      </c>
      <c r="M1117">
        <v>0</v>
      </c>
      <c r="O1117" s="39"/>
      <c r="P1117" s="16">
        <v>53839.35</v>
      </c>
      <c r="S1117" s="17"/>
    </row>
    <row r="1118" spans="1:19" x14ac:dyDescent="0.4">
      <c r="A1118">
        <v>6182397</v>
      </c>
      <c r="B1118" s="15">
        <v>31</v>
      </c>
      <c r="C1118" s="12" t="s">
        <v>122</v>
      </c>
      <c r="D1118" s="12" t="s">
        <v>132</v>
      </c>
      <c r="E1118" s="12" t="s">
        <v>149</v>
      </c>
      <c r="F1118" s="12" t="s">
        <v>156</v>
      </c>
      <c r="G1118" s="14">
        <f t="shared" ca="1" si="17"/>
        <v>100557.95509325014</v>
      </c>
      <c r="H1118" s="12" t="s">
        <v>171</v>
      </c>
      <c r="I1118">
        <v>0</v>
      </c>
      <c r="J1118">
        <v>50</v>
      </c>
      <c r="K1118" s="12" t="s">
        <v>179</v>
      </c>
      <c r="L1118">
        <v>0</v>
      </c>
      <c r="M1118">
        <v>0</v>
      </c>
      <c r="O1118" s="39"/>
      <c r="P1118" s="15">
        <v>54136.12</v>
      </c>
      <c r="S1118" s="17"/>
    </row>
    <row r="1119" spans="1:19" x14ac:dyDescent="0.4">
      <c r="A1119">
        <v>6184467</v>
      </c>
      <c r="B1119" s="16">
        <v>27</v>
      </c>
      <c r="C1119" s="12" t="s">
        <v>122</v>
      </c>
      <c r="D1119" s="12" t="s">
        <v>134</v>
      </c>
      <c r="E1119" s="12" t="s">
        <v>149</v>
      </c>
      <c r="F1119" s="12" t="s">
        <v>159</v>
      </c>
      <c r="G1119" s="14">
        <f t="shared" ca="1" si="17"/>
        <v>224438.44722086994</v>
      </c>
      <c r="H1119" s="12" t="s">
        <v>172</v>
      </c>
      <c r="I1119">
        <v>0</v>
      </c>
      <c r="J1119">
        <v>40</v>
      </c>
      <c r="K1119" s="12" t="s">
        <v>176</v>
      </c>
      <c r="L1119">
        <v>0</v>
      </c>
      <c r="M1119">
        <v>0</v>
      </c>
      <c r="O1119" s="39"/>
      <c r="P1119" s="16">
        <v>158854.09</v>
      </c>
      <c r="S1119" s="17"/>
    </row>
    <row r="1120" spans="1:19" x14ac:dyDescent="0.4">
      <c r="A1120">
        <v>6196725</v>
      </c>
      <c r="B1120" s="15">
        <v>47</v>
      </c>
      <c r="C1120" s="12" t="s">
        <v>123</v>
      </c>
      <c r="D1120" s="12" t="s">
        <v>135</v>
      </c>
      <c r="E1120" s="12" t="s">
        <v>150</v>
      </c>
      <c r="F1120" s="12" t="s">
        <v>160</v>
      </c>
      <c r="G1120" s="14">
        <f t="shared" ca="1" si="17"/>
        <v>71460.091557895415</v>
      </c>
      <c r="H1120" s="12" t="s">
        <v>172</v>
      </c>
      <c r="I1120">
        <v>0</v>
      </c>
      <c r="J1120">
        <v>45</v>
      </c>
      <c r="K1120" s="12" t="s">
        <v>176</v>
      </c>
      <c r="L1120">
        <v>10520</v>
      </c>
      <c r="M1120">
        <v>1</v>
      </c>
      <c r="O1120" s="39"/>
      <c r="P1120" s="15">
        <v>45235.56</v>
      </c>
      <c r="S1120" s="17"/>
    </row>
    <row r="1121" spans="1:19" x14ac:dyDescent="0.4">
      <c r="A1121">
        <v>6213056</v>
      </c>
      <c r="B1121" s="16">
        <v>34</v>
      </c>
      <c r="C1121" s="12" t="s">
        <v>122</v>
      </c>
      <c r="D1121" s="12" t="s">
        <v>139</v>
      </c>
      <c r="E1121" s="12" t="s">
        <v>150</v>
      </c>
      <c r="F1121" s="12" t="s">
        <v>156</v>
      </c>
      <c r="G1121" s="14">
        <f t="shared" ca="1" si="17"/>
        <v>105400.45576401014</v>
      </c>
      <c r="H1121" s="12" t="s">
        <v>172</v>
      </c>
      <c r="I1121">
        <v>0</v>
      </c>
      <c r="J1121">
        <v>30</v>
      </c>
      <c r="K1121" s="12" t="s">
        <v>176</v>
      </c>
      <c r="L1121">
        <v>0</v>
      </c>
      <c r="M1121">
        <v>0</v>
      </c>
      <c r="O1121" s="39"/>
      <c r="P1121" s="16">
        <v>75278.41</v>
      </c>
      <c r="S1121" s="17"/>
    </row>
    <row r="1122" spans="1:19" x14ac:dyDescent="0.4">
      <c r="A1122">
        <v>6213419</v>
      </c>
      <c r="B1122" s="15">
        <v>45</v>
      </c>
      <c r="C1122" s="12" t="s">
        <v>122</v>
      </c>
      <c r="D1122" s="12" t="s">
        <v>135</v>
      </c>
      <c r="E1122" s="12" t="s">
        <v>152</v>
      </c>
      <c r="F1122" s="12" t="s">
        <v>160</v>
      </c>
      <c r="G1122" s="14">
        <f t="shared" ca="1" si="17"/>
        <v>52889.732093446968</v>
      </c>
      <c r="H1122" s="12" t="s">
        <v>172</v>
      </c>
      <c r="I1122">
        <v>0</v>
      </c>
      <c r="J1122">
        <v>32</v>
      </c>
      <c r="K1122" s="12" t="s">
        <v>176</v>
      </c>
      <c r="L1122">
        <v>0</v>
      </c>
      <c r="M1122">
        <v>0</v>
      </c>
      <c r="O1122" s="39"/>
      <c r="P1122" s="15">
        <v>27440.92</v>
      </c>
      <c r="S1122" s="17"/>
    </row>
    <row r="1123" spans="1:19" x14ac:dyDescent="0.4">
      <c r="A1123">
        <v>6215935</v>
      </c>
      <c r="B1123" s="16">
        <v>63</v>
      </c>
      <c r="C1123" s="12" t="s">
        <v>122</v>
      </c>
      <c r="D1123" s="12" t="s">
        <v>132</v>
      </c>
      <c r="E1123" s="12" t="s">
        <v>152</v>
      </c>
      <c r="F1123" s="12" t="s">
        <v>144</v>
      </c>
      <c r="G1123" s="14">
        <f t="shared" ca="1" si="17"/>
        <v>400057.95596238342</v>
      </c>
      <c r="H1123" s="12" t="s">
        <v>171</v>
      </c>
      <c r="I1123">
        <v>0</v>
      </c>
      <c r="J1123">
        <v>12</v>
      </c>
      <c r="K1123" s="12" t="s">
        <v>176</v>
      </c>
      <c r="L1123">
        <v>0</v>
      </c>
      <c r="M1123">
        <v>0</v>
      </c>
      <c r="O1123" s="39"/>
      <c r="P1123" s="16">
        <v>255158.97</v>
      </c>
      <c r="S1123" s="17"/>
    </row>
    <row r="1124" spans="1:19" x14ac:dyDescent="0.4">
      <c r="A1124">
        <v>6218199</v>
      </c>
      <c r="B1124" s="15">
        <v>41</v>
      </c>
      <c r="C1124" s="12" t="s">
        <v>123</v>
      </c>
      <c r="D1124" s="12" t="s">
        <v>138</v>
      </c>
      <c r="E1124" s="12" t="s">
        <v>151</v>
      </c>
      <c r="F1124" s="12" t="s">
        <v>162</v>
      </c>
      <c r="G1124" s="14">
        <f t="shared" ca="1" si="17"/>
        <v>390397.93770052568</v>
      </c>
      <c r="H1124" s="12" t="s">
        <v>172</v>
      </c>
      <c r="I1124">
        <v>0</v>
      </c>
      <c r="J1124">
        <v>5</v>
      </c>
      <c r="K1124" s="12" t="s">
        <v>176</v>
      </c>
      <c r="L1124">
        <v>404</v>
      </c>
      <c r="M1124">
        <v>1</v>
      </c>
      <c r="O1124" s="39"/>
      <c r="P1124" s="15">
        <v>266799.71000000002</v>
      </c>
      <c r="S1124" s="17"/>
    </row>
    <row r="1125" spans="1:19" x14ac:dyDescent="0.4">
      <c r="A1125">
        <v>6219246</v>
      </c>
      <c r="B1125" s="16">
        <v>68</v>
      </c>
      <c r="C1125" s="12" t="s">
        <v>122</v>
      </c>
      <c r="D1125" s="12" t="s">
        <v>138</v>
      </c>
      <c r="E1125" s="12" t="s">
        <v>152</v>
      </c>
      <c r="F1125" s="12" t="s">
        <v>160</v>
      </c>
      <c r="G1125" s="14">
        <f t="shared" ca="1" si="17"/>
        <v>14479.924928010973</v>
      </c>
      <c r="H1125" s="12" t="s">
        <v>172</v>
      </c>
      <c r="I1125">
        <v>2392</v>
      </c>
      <c r="J1125">
        <v>40</v>
      </c>
      <c r="K1125" s="12" t="s">
        <v>176</v>
      </c>
      <c r="L1125">
        <v>4471</v>
      </c>
      <c r="M1125">
        <v>1</v>
      </c>
      <c r="O1125" s="39"/>
      <c r="P1125" s="16">
        <v>7615.01</v>
      </c>
      <c r="S1125" s="17"/>
    </row>
    <row r="1126" spans="1:19" x14ac:dyDescent="0.4">
      <c r="A1126">
        <v>6220769</v>
      </c>
      <c r="B1126" s="15">
        <v>20</v>
      </c>
      <c r="C1126" s="12" t="s">
        <v>122</v>
      </c>
      <c r="D1126" s="12" t="s">
        <v>134</v>
      </c>
      <c r="E1126" s="12" t="s">
        <v>150</v>
      </c>
      <c r="F1126" s="12" t="s">
        <v>156</v>
      </c>
      <c r="G1126" s="14">
        <f t="shared" ca="1" si="17"/>
        <v>349351.22496198473</v>
      </c>
      <c r="H1126" s="12" t="s">
        <v>172</v>
      </c>
      <c r="I1126">
        <v>0</v>
      </c>
      <c r="J1126">
        <v>30</v>
      </c>
      <c r="K1126" s="12" t="s">
        <v>176</v>
      </c>
      <c r="L1126">
        <v>0</v>
      </c>
      <c r="M1126">
        <v>0</v>
      </c>
      <c r="O1126" s="39"/>
      <c r="P1126" s="15">
        <v>187376.57</v>
      </c>
      <c r="S1126" s="17"/>
    </row>
    <row r="1127" spans="1:19" x14ac:dyDescent="0.4">
      <c r="A1127">
        <v>6226732</v>
      </c>
      <c r="B1127" s="16">
        <v>54</v>
      </c>
      <c r="C1127" s="12" t="s">
        <v>127</v>
      </c>
      <c r="D1127" s="12" t="s">
        <v>134</v>
      </c>
      <c r="E1127" s="12" t="s">
        <v>152</v>
      </c>
      <c r="F1127" s="12" t="s">
        <v>160</v>
      </c>
      <c r="G1127" s="14">
        <f t="shared" ca="1" si="17"/>
        <v>53527.442748168309</v>
      </c>
      <c r="H1127" s="12" t="s">
        <v>172</v>
      </c>
      <c r="I1127">
        <v>0</v>
      </c>
      <c r="J1127">
        <v>40</v>
      </c>
      <c r="K1127" s="12" t="s">
        <v>176</v>
      </c>
      <c r="L1127">
        <v>5178</v>
      </c>
      <c r="M1127">
        <v>1</v>
      </c>
      <c r="O1127" s="39"/>
      <c r="P1127" s="16">
        <v>30247.86</v>
      </c>
      <c r="S1127" s="17"/>
    </row>
    <row r="1128" spans="1:19" x14ac:dyDescent="0.4">
      <c r="A1128">
        <v>6232719</v>
      </c>
      <c r="B1128" s="15">
        <v>21</v>
      </c>
      <c r="C1128" s="12" t="s">
        <v>122</v>
      </c>
      <c r="D1128" s="12" t="s">
        <v>132</v>
      </c>
      <c r="E1128" s="12" t="s">
        <v>150</v>
      </c>
      <c r="F1128" s="12" t="s">
        <v>156</v>
      </c>
      <c r="G1128" s="14">
        <f t="shared" ca="1" si="17"/>
        <v>150729.8552568559</v>
      </c>
      <c r="H1128" s="12" t="s">
        <v>172</v>
      </c>
      <c r="I1128">
        <v>0</v>
      </c>
      <c r="J1128">
        <v>15</v>
      </c>
      <c r="K1128" s="12" t="s">
        <v>176</v>
      </c>
      <c r="L1128">
        <v>0</v>
      </c>
      <c r="M1128">
        <v>0</v>
      </c>
      <c r="O1128" s="39"/>
      <c r="P1128" s="15">
        <v>84172.5</v>
      </c>
      <c r="S1128" s="17"/>
    </row>
    <row r="1129" spans="1:19" x14ac:dyDescent="0.4">
      <c r="A1129">
        <v>6233278</v>
      </c>
      <c r="B1129" s="16">
        <v>37</v>
      </c>
      <c r="C1129" s="12" t="s">
        <v>122</v>
      </c>
      <c r="D1129" s="12" t="s">
        <v>134</v>
      </c>
      <c r="E1129" s="12" t="s">
        <v>151</v>
      </c>
      <c r="F1129" s="12" t="s">
        <v>159</v>
      </c>
      <c r="G1129" s="14">
        <f t="shared" ca="1" si="17"/>
        <v>99855.023923699438</v>
      </c>
      <c r="H1129" s="12" t="s">
        <v>172</v>
      </c>
      <c r="I1129">
        <v>0</v>
      </c>
      <c r="J1129">
        <v>40</v>
      </c>
      <c r="K1129" s="12" t="s">
        <v>176</v>
      </c>
      <c r="L1129">
        <v>14344</v>
      </c>
      <c r="M1129">
        <v>1</v>
      </c>
      <c r="O1129" s="39"/>
      <c r="P1129" s="16">
        <v>88184.56</v>
      </c>
      <c r="S1129" s="17"/>
    </row>
    <row r="1130" spans="1:19" x14ac:dyDescent="0.4">
      <c r="A1130">
        <v>6238456</v>
      </c>
      <c r="B1130" s="15">
        <v>47</v>
      </c>
      <c r="C1130" s="12" t="s">
        <v>125</v>
      </c>
      <c r="D1130" s="12" t="s">
        <v>132</v>
      </c>
      <c r="E1130" s="12" t="s">
        <v>154</v>
      </c>
      <c r="F1130" s="12" t="s">
        <v>159</v>
      </c>
      <c r="G1130" s="14">
        <f t="shared" ca="1" si="17"/>
        <v>58668.849590139078</v>
      </c>
      <c r="H1130" s="12" t="s">
        <v>172</v>
      </c>
      <c r="I1130">
        <v>0</v>
      </c>
      <c r="J1130">
        <v>45</v>
      </c>
      <c r="K1130" s="12" t="s">
        <v>176</v>
      </c>
      <c r="L1130">
        <v>0</v>
      </c>
      <c r="M1130">
        <v>0</v>
      </c>
      <c r="O1130" s="39"/>
      <c r="P1130" s="15">
        <v>44977.52</v>
      </c>
      <c r="S1130" s="17"/>
    </row>
    <row r="1131" spans="1:19" x14ac:dyDescent="0.4">
      <c r="A1131">
        <v>6242934</v>
      </c>
      <c r="B1131" s="16">
        <v>34</v>
      </c>
      <c r="C1131" s="12" t="s">
        <v>124</v>
      </c>
      <c r="D1131" s="12" t="s">
        <v>134</v>
      </c>
      <c r="E1131" s="12" t="s">
        <v>150</v>
      </c>
      <c r="F1131" s="12" t="s">
        <v>165</v>
      </c>
      <c r="G1131" s="14">
        <f t="shared" ca="1" si="17"/>
        <v>158430.43133897625</v>
      </c>
      <c r="H1131" s="12" t="s">
        <v>172</v>
      </c>
      <c r="I1131">
        <v>0</v>
      </c>
      <c r="J1131">
        <v>55</v>
      </c>
      <c r="K1131" s="12" t="s">
        <v>176</v>
      </c>
      <c r="L1131">
        <v>0</v>
      </c>
      <c r="M1131">
        <v>0</v>
      </c>
      <c r="O1131" s="39"/>
      <c r="P1131" s="16">
        <v>80118.679999999993</v>
      </c>
      <c r="S1131" s="17"/>
    </row>
    <row r="1132" spans="1:19" x14ac:dyDescent="0.4">
      <c r="A1132">
        <v>6251763</v>
      </c>
      <c r="B1132" s="15">
        <v>60</v>
      </c>
      <c r="C1132" s="12" t="s">
        <v>122</v>
      </c>
      <c r="D1132" s="12" t="s">
        <v>134</v>
      </c>
      <c r="E1132" s="12" t="s">
        <v>152</v>
      </c>
      <c r="F1132" s="12" t="s">
        <v>159</v>
      </c>
      <c r="G1132" s="14">
        <f t="shared" ca="1" si="17"/>
        <v>42009.61954346174</v>
      </c>
      <c r="H1132" s="12" t="s">
        <v>172</v>
      </c>
      <c r="I1132">
        <v>0</v>
      </c>
      <c r="J1132">
        <v>45</v>
      </c>
      <c r="K1132" s="12" t="s">
        <v>176</v>
      </c>
      <c r="L1132">
        <v>9700</v>
      </c>
      <c r="M1132">
        <v>1</v>
      </c>
      <c r="O1132" s="39"/>
      <c r="P1132" s="15">
        <v>31613.91</v>
      </c>
      <c r="S1132" s="17"/>
    </row>
    <row r="1133" spans="1:19" x14ac:dyDescent="0.4">
      <c r="A1133">
        <v>6253982</v>
      </c>
      <c r="B1133" s="16">
        <v>33</v>
      </c>
      <c r="C1133" s="12" t="s">
        <v>122</v>
      </c>
      <c r="D1133" s="12" t="s">
        <v>134</v>
      </c>
      <c r="E1133" s="12" t="s">
        <v>150</v>
      </c>
      <c r="F1133" s="12" t="s">
        <v>158</v>
      </c>
      <c r="G1133" s="14">
        <f t="shared" ca="1" si="17"/>
        <v>76022.181514412441</v>
      </c>
      <c r="H1133" s="12" t="s">
        <v>172</v>
      </c>
      <c r="I1133">
        <v>0</v>
      </c>
      <c r="J1133">
        <v>35</v>
      </c>
      <c r="K1133" s="12" t="s">
        <v>176</v>
      </c>
      <c r="L1133">
        <v>0</v>
      </c>
      <c r="M1133">
        <v>0</v>
      </c>
      <c r="O1133" s="39"/>
      <c r="P1133" s="16">
        <v>45945.08</v>
      </c>
      <c r="S1133" s="17"/>
    </row>
    <row r="1134" spans="1:19" x14ac:dyDescent="0.4">
      <c r="A1134">
        <v>6260817</v>
      </c>
      <c r="B1134" s="15">
        <v>21</v>
      </c>
      <c r="C1134" s="12" t="s">
        <v>122</v>
      </c>
      <c r="D1134" s="12" t="s">
        <v>132</v>
      </c>
      <c r="E1134" s="12" t="s">
        <v>150</v>
      </c>
      <c r="F1134" s="12" t="s">
        <v>156</v>
      </c>
      <c r="G1134" s="14">
        <f t="shared" ca="1" si="17"/>
        <v>231695.64622377805</v>
      </c>
      <c r="H1134" s="12" t="s">
        <v>172</v>
      </c>
      <c r="I1134">
        <v>0</v>
      </c>
      <c r="J1134">
        <v>25</v>
      </c>
      <c r="K1134" s="12" t="s">
        <v>176</v>
      </c>
      <c r="L1134">
        <v>0</v>
      </c>
      <c r="M1134">
        <v>0</v>
      </c>
      <c r="O1134" s="39"/>
      <c r="P1134" s="15">
        <v>119419.36</v>
      </c>
      <c r="S1134" s="17"/>
    </row>
    <row r="1135" spans="1:19" x14ac:dyDescent="0.4">
      <c r="A1135">
        <v>6266668</v>
      </c>
      <c r="B1135" s="16">
        <v>47</v>
      </c>
      <c r="C1135" s="12" t="s">
        <v>122</v>
      </c>
      <c r="D1135" s="12" t="s">
        <v>132</v>
      </c>
      <c r="E1135" s="12" t="s">
        <v>152</v>
      </c>
      <c r="F1135" s="12" t="s">
        <v>158</v>
      </c>
      <c r="G1135" s="14">
        <f t="shared" ca="1" si="17"/>
        <v>31607.256867337615</v>
      </c>
      <c r="H1135" s="12" t="s">
        <v>172</v>
      </c>
      <c r="I1135">
        <v>0</v>
      </c>
      <c r="J1135">
        <v>45</v>
      </c>
      <c r="K1135" s="12" t="s">
        <v>179</v>
      </c>
      <c r="L1135">
        <v>0</v>
      </c>
      <c r="M1135">
        <v>0</v>
      </c>
      <c r="O1135" s="39"/>
      <c r="P1135" s="16">
        <v>27878.89</v>
      </c>
      <c r="S1135" s="17"/>
    </row>
    <row r="1136" spans="1:19" x14ac:dyDescent="0.4">
      <c r="A1136">
        <v>6267121</v>
      </c>
      <c r="B1136" s="15">
        <v>39</v>
      </c>
      <c r="C1136" s="12" t="s">
        <v>123</v>
      </c>
      <c r="D1136" s="12" t="s">
        <v>135</v>
      </c>
      <c r="E1136" s="12" t="s">
        <v>151</v>
      </c>
      <c r="F1136" s="12" t="s">
        <v>158</v>
      </c>
      <c r="G1136" s="14">
        <f t="shared" ca="1" si="17"/>
        <v>160410.39946122357</v>
      </c>
      <c r="H1136" s="12" t="s">
        <v>172</v>
      </c>
      <c r="I1136">
        <v>1174.6666666666699</v>
      </c>
      <c r="J1136">
        <v>40</v>
      </c>
      <c r="K1136" s="12" t="s">
        <v>176</v>
      </c>
      <c r="L1136">
        <v>0</v>
      </c>
      <c r="M1136">
        <v>0</v>
      </c>
      <c r="O1136" s="39"/>
      <c r="P1136" s="15">
        <v>110807.71</v>
      </c>
      <c r="S1136" s="17"/>
    </row>
    <row r="1137" spans="1:19" x14ac:dyDescent="0.4">
      <c r="A1137">
        <v>6269348</v>
      </c>
      <c r="B1137" s="16">
        <v>17</v>
      </c>
      <c r="C1137" s="12" t="s">
        <v>122</v>
      </c>
      <c r="D1137" s="12" t="s">
        <v>140</v>
      </c>
      <c r="E1137" s="12" t="s">
        <v>150</v>
      </c>
      <c r="F1137" s="12" t="s">
        <v>158</v>
      </c>
      <c r="G1137" s="14">
        <f t="shared" ca="1" si="17"/>
        <v>192489.06624864283</v>
      </c>
      <c r="H1137" s="12" t="s">
        <v>171</v>
      </c>
      <c r="I1137">
        <v>0</v>
      </c>
      <c r="J1137">
        <v>20</v>
      </c>
      <c r="K1137" s="12" t="s">
        <v>176</v>
      </c>
      <c r="L1137">
        <v>0</v>
      </c>
      <c r="M1137">
        <v>0</v>
      </c>
      <c r="O1137" s="39"/>
      <c r="P1137" s="16">
        <v>186407.12</v>
      </c>
      <c r="S1137" s="17"/>
    </row>
    <row r="1138" spans="1:19" x14ac:dyDescent="0.4">
      <c r="A1138">
        <v>6271413</v>
      </c>
      <c r="B1138" s="15">
        <v>30</v>
      </c>
      <c r="C1138" s="12" t="s">
        <v>122</v>
      </c>
      <c r="D1138" s="12" t="s">
        <v>134</v>
      </c>
      <c r="E1138" s="12" t="s">
        <v>151</v>
      </c>
      <c r="F1138" s="12" t="s">
        <v>156</v>
      </c>
      <c r="G1138" s="14">
        <f t="shared" ca="1" si="17"/>
        <v>133061.36587880904</v>
      </c>
      <c r="H1138" s="12" t="s">
        <v>171</v>
      </c>
      <c r="I1138">
        <v>0</v>
      </c>
      <c r="J1138">
        <v>40</v>
      </c>
      <c r="K1138" s="12" t="s">
        <v>176</v>
      </c>
      <c r="L1138">
        <v>0</v>
      </c>
      <c r="M1138">
        <v>0</v>
      </c>
      <c r="O1138" s="39"/>
      <c r="P1138" s="15">
        <v>89889.54</v>
      </c>
      <c r="S1138" s="17"/>
    </row>
    <row r="1139" spans="1:19" x14ac:dyDescent="0.4">
      <c r="A1139">
        <v>6282967</v>
      </c>
      <c r="B1139" s="16">
        <v>46</v>
      </c>
      <c r="C1139" s="12" t="s">
        <v>122</v>
      </c>
      <c r="D1139" s="12" t="s">
        <v>133</v>
      </c>
      <c r="E1139" s="12" t="s">
        <v>151</v>
      </c>
      <c r="F1139" s="12" t="s">
        <v>144</v>
      </c>
      <c r="G1139" s="14">
        <f t="shared" ca="1" si="17"/>
        <v>347610.20473808609</v>
      </c>
      <c r="H1139" s="12" t="s">
        <v>171</v>
      </c>
      <c r="I1139">
        <v>0</v>
      </c>
      <c r="J1139">
        <v>40</v>
      </c>
      <c r="K1139" s="12" t="s">
        <v>176</v>
      </c>
      <c r="L1139">
        <v>0</v>
      </c>
      <c r="M1139">
        <v>0</v>
      </c>
      <c r="O1139" s="39"/>
      <c r="P1139" s="16">
        <v>222602.99</v>
      </c>
      <c r="S1139" s="17"/>
    </row>
    <row r="1140" spans="1:19" x14ac:dyDescent="0.4">
      <c r="A1140">
        <v>6285176</v>
      </c>
      <c r="B1140" s="15">
        <v>41</v>
      </c>
      <c r="C1140" s="12" t="s">
        <v>122</v>
      </c>
      <c r="D1140" s="12" t="s">
        <v>134</v>
      </c>
      <c r="E1140" s="12" t="s">
        <v>152</v>
      </c>
      <c r="F1140" s="12" t="s">
        <v>160</v>
      </c>
      <c r="G1140" s="14">
        <f t="shared" ca="1" si="17"/>
        <v>39110.026590413363</v>
      </c>
      <c r="H1140" s="12" t="s">
        <v>172</v>
      </c>
      <c r="I1140">
        <v>1485</v>
      </c>
      <c r="J1140">
        <v>40</v>
      </c>
      <c r="K1140" s="12" t="s">
        <v>176</v>
      </c>
      <c r="L1140">
        <v>4790</v>
      </c>
      <c r="M1140">
        <v>1</v>
      </c>
      <c r="O1140" s="39"/>
      <c r="P1140" s="15">
        <v>30387.96</v>
      </c>
      <c r="S1140" s="17"/>
    </row>
    <row r="1141" spans="1:19" x14ac:dyDescent="0.4">
      <c r="A1141">
        <v>6286728</v>
      </c>
      <c r="B1141" s="16">
        <v>49</v>
      </c>
      <c r="C1141" s="12" t="s">
        <v>125</v>
      </c>
      <c r="D1141" s="12" t="s">
        <v>138</v>
      </c>
      <c r="E1141" s="12" t="s">
        <v>152</v>
      </c>
      <c r="F1141" s="12" t="s">
        <v>166</v>
      </c>
      <c r="G1141" s="14">
        <f t="shared" ca="1" si="17"/>
        <v>69561.244793385136</v>
      </c>
      <c r="H1141" s="12" t="s">
        <v>172</v>
      </c>
      <c r="I1141">
        <v>0</v>
      </c>
      <c r="J1141">
        <v>40</v>
      </c>
      <c r="K1141" s="12" t="s">
        <v>176</v>
      </c>
      <c r="L1141">
        <v>6541</v>
      </c>
      <c r="M1141">
        <v>1</v>
      </c>
      <c r="O1141" s="39"/>
      <c r="P1141" s="16">
        <v>40390.400000000001</v>
      </c>
      <c r="S1141" s="17"/>
    </row>
    <row r="1142" spans="1:19" x14ac:dyDescent="0.4">
      <c r="A1142">
        <v>6291531</v>
      </c>
      <c r="B1142" s="15">
        <v>21</v>
      </c>
      <c r="C1142" s="12" t="s">
        <v>122</v>
      </c>
      <c r="D1142" s="12" t="s">
        <v>140</v>
      </c>
      <c r="E1142" s="12" t="s">
        <v>152</v>
      </c>
      <c r="F1142" s="12" t="s">
        <v>156</v>
      </c>
      <c r="G1142" s="14">
        <f t="shared" ca="1" si="17"/>
        <v>49472.73041809041</v>
      </c>
      <c r="H1142" s="12" t="s">
        <v>172</v>
      </c>
      <c r="I1142">
        <v>0</v>
      </c>
      <c r="J1142">
        <v>25</v>
      </c>
      <c r="K1142" s="12" t="s">
        <v>176</v>
      </c>
      <c r="L1142">
        <v>0</v>
      </c>
      <c r="M1142">
        <v>0</v>
      </c>
      <c r="O1142" s="39"/>
      <c r="P1142" s="15">
        <v>26203.8</v>
      </c>
      <c r="S1142" s="17"/>
    </row>
    <row r="1143" spans="1:19" x14ac:dyDescent="0.4">
      <c r="A1143">
        <v>6291688</v>
      </c>
      <c r="B1143" s="16">
        <v>39</v>
      </c>
      <c r="C1143" s="12" t="s">
        <v>122</v>
      </c>
      <c r="D1143" s="12" t="s">
        <v>135</v>
      </c>
      <c r="E1143" s="12" t="s">
        <v>152</v>
      </c>
      <c r="F1143" s="12" t="s">
        <v>144</v>
      </c>
      <c r="G1143" s="14">
        <f t="shared" ca="1" si="17"/>
        <v>73492.897731281802</v>
      </c>
      <c r="H1143" s="12" t="s">
        <v>172</v>
      </c>
      <c r="I1143">
        <v>0</v>
      </c>
      <c r="J1143">
        <v>40</v>
      </c>
      <c r="K1143" s="12" t="s">
        <v>176</v>
      </c>
      <c r="L1143">
        <v>0</v>
      </c>
      <c r="M1143">
        <v>1</v>
      </c>
      <c r="O1143" s="39"/>
      <c r="P1143" s="16">
        <v>48397.41</v>
      </c>
      <c r="S1143" s="17"/>
    </row>
    <row r="1144" spans="1:19" x14ac:dyDescent="0.4">
      <c r="A1144">
        <v>6296085</v>
      </c>
      <c r="B1144" s="15">
        <v>19</v>
      </c>
      <c r="C1144" s="12" t="s">
        <v>122</v>
      </c>
      <c r="D1144" s="12" t="s">
        <v>132</v>
      </c>
      <c r="E1144" s="12" t="s">
        <v>150</v>
      </c>
      <c r="F1144" s="12" t="s">
        <v>162</v>
      </c>
      <c r="G1144" s="14">
        <f t="shared" ca="1" si="17"/>
        <v>435882.81476377806</v>
      </c>
      <c r="H1144" s="12" t="s">
        <v>172</v>
      </c>
      <c r="I1144">
        <v>0</v>
      </c>
      <c r="J1144">
        <v>35</v>
      </c>
      <c r="K1144" s="12" t="s">
        <v>176</v>
      </c>
      <c r="L1144">
        <v>0</v>
      </c>
      <c r="M1144">
        <v>0</v>
      </c>
      <c r="O1144" s="39"/>
      <c r="P1144" s="15">
        <v>262216.34999999998</v>
      </c>
      <c r="S1144" s="17"/>
    </row>
    <row r="1145" spans="1:19" x14ac:dyDescent="0.4">
      <c r="A1145">
        <v>6297330</v>
      </c>
      <c r="B1145" s="16">
        <v>25</v>
      </c>
      <c r="C1145" s="12" t="s">
        <v>122</v>
      </c>
      <c r="D1145" s="12" t="s">
        <v>132</v>
      </c>
      <c r="E1145" s="12" t="s">
        <v>150</v>
      </c>
      <c r="F1145" s="12" t="s">
        <v>156</v>
      </c>
      <c r="G1145" s="14">
        <f t="shared" ca="1" si="17"/>
        <v>137956.8241718279</v>
      </c>
      <c r="H1145" s="12" t="s">
        <v>171</v>
      </c>
      <c r="I1145">
        <v>0</v>
      </c>
      <c r="J1145">
        <v>25</v>
      </c>
      <c r="K1145" s="12" t="s">
        <v>176</v>
      </c>
      <c r="L1145">
        <v>0</v>
      </c>
      <c r="M1145">
        <v>0</v>
      </c>
      <c r="O1145" s="39"/>
      <c r="P1145" s="16">
        <v>87891.89</v>
      </c>
      <c r="S1145" s="17"/>
    </row>
    <row r="1146" spans="1:19" x14ac:dyDescent="0.4">
      <c r="A1146">
        <v>6298186</v>
      </c>
      <c r="B1146" s="15">
        <v>17</v>
      </c>
      <c r="C1146" s="12" t="s">
        <v>122</v>
      </c>
      <c r="D1146" s="12" t="s">
        <v>139</v>
      </c>
      <c r="E1146" s="12" t="s">
        <v>150</v>
      </c>
      <c r="F1146" s="12" t="s">
        <v>144</v>
      </c>
      <c r="G1146" s="14">
        <f t="shared" ca="1" si="17"/>
        <v>80354.815467549372</v>
      </c>
      <c r="H1146" s="12" t="s">
        <v>171</v>
      </c>
      <c r="I1146">
        <v>0</v>
      </c>
      <c r="J1146">
        <v>20</v>
      </c>
      <c r="K1146" s="12" t="s">
        <v>176</v>
      </c>
      <c r="L1146">
        <v>0</v>
      </c>
      <c r="M1146">
        <v>0</v>
      </c>
      <c r="O1146" s="39"/>
      <c r="P1146" s="15">
        <v>69450.11</v>
      </c>
      <c r="S1146" s="17"/>
    </row>
    <row r="1147" spans="1:19" x14ac:dyDescent="0.4">
      <c r="A1147">
        <v>6298614</v>
      </c>
      <c r="B1147" s="16">
        <v>40</v>
      </c>
      <c r="C1147" s="12" t="s">
        <v>123</v>
      </c>
      <c r="D1147" s="12" t="s">
        <v>132</v>
      </c>
      <c r="E1147" s="12" t="s">
        <v>152</v>
      </c>
      <c r="F1147" s="12" t="s">
        <v>144</v>
      </c>
      <c r="G1147" s="14">
        <f t="shared" ca="1" si="17"/>
        <v>35616.812210284734</v>
      </c>
      <c r="H1147" s="12" t="s">
        <v>172</v>
      </c>
      <c r="I1147">
        <v>0</v>
      </c>
      <c r="J1147">
        <v>20</v>
      </c>
      <c r="K1147" s="12" t="s">
        <v>176</v>
      </c>
      <c r="L1147">
        <v>0</v>
      </c>
      <c r="M1147">
        <v>0</v>
      </c>
      <c r="O1147" s="39"/>
      <c r="P1147" s="16">
        <v>19246.93</v>
      </c>
      <c r="S1147" s="17"/>
    </row>
    <row r="1148" spans="1:19" x14ac:dyDescent="0.4">
      <c r="A1148">
        <v>6308196</v>
      </c>
      <c r="B1148" s="15">
        <v>17</v>
      </c>
      <c r="C1148" s="12" t="s">
        <v>122</v>
      </c>
      <c r="D1148" s="12" t="s">
        <v>139</v>
      </c>
      <c r="E1148" s="12" t="s">
        <v>150</v>
      </c>
      <c r="F1148" s="12" t="s">
        <v>162</v>
      </c>
      <c r="G1148" s="14">
        <f t="shared" ca="1" si="17"/>
        <v>222009.92034830287</v>
      </c>
      <c r="H1148" s="12" t="s">
        <v>171</v>
      </c>
      <c r="I1148">
        <v>0</v>
      </c>
      <c r="J1148">
        <v>18</v>
      </c>
      <c r="K1148" s="12" t="s">
        <v>176</v>
      </c>
      <c r="L1148">
        <v>0</v>
      </c>
      <c r="M1148">
        <v>0</v>
      </c>
      <c r="O1148" s="39"/>
      <c r="P1148" s="15">
        <v>123234.32</v>
      </c>
      <c r="S1148" s="17"/>
    </row>
    <row r="1149" spans="1:19" x14ac:dyDescent="0.4">
      <c r="A1149">
        <v>6313114</v>
      </c>
      <c r="B1149" s="16">
        <v>43</v>
      </c>
      <c r="C1149" s="12" t="s">
        <v>122</v>
      </c>
      <c r="D1149" s="12" t="s">
        <v>135</v>
      </c>
      <c r="E1149" s="12" t="s">
        <v>152</v>
      </c>
      <c r="F1149" s="12" t="s">
        <v>160</v>
      </c>
      <c r="G1149" s="14">
        <f t="shared" ca="1" si="17"/>
        <v>73986.596517657046</v>
      </c>
      <c r="H1149" s="12" t="s">
        <v>172</v>
      </c>
      <c r="I1149">
        <v>0</v>
      </c>
      <c r="J1149">
        <v>45</v>
      </c>
      <c r="K1149" s="12" t="s">
        <v>176</v>
      </c>
      <c r="L1149">
        <v>5953</v>
      </c>
      <c r="M1149">
        <v>1</v>
      </c>
      <c r="O1149" s="39"/>
      <c r="P1149" s="16">
        <v>44396.52</v>
      </c>
      <c r="S1149" s="17"/>
    </row>
    <row r="1150" spans="1:19" x14ac:dyDescent="0.4">
      <c r="A1150">
        <v>6314607</v>
      </c>
      <c r="B1150" s="15">
        <v>41</v>
      </c>
      <c r="C1150" s="12" t="s">
        <v>126</v>
      </c>
      <c r="D1150" s="12" t="s">
        <v>135</v>
      </c>
      <c r="E1150" s="12" t="s">
        <v>150</v>
      </c>
      <c r="F1150" s="12" t="s">
        <v>144</v>
      </c>
      <c r="G1150" s="14">
        <f t="shared" ca="1" si="17"/>
        <v>155804.58121282095</v>
      </c>
      <c r="H1150" s="12" t="s">
        <v>171</v>
      </c>
      <c r="I1150">
        <v>0</v>
      </c>
      <c r="J1150">
        <v>40</v>
      </c>
      <c r="K1150" s="12" t="s">
        <v>176</v>
      </c>
      <c r="L1150">
        <v>0</v>
      </c>
      <c r="M1150">
        <v>0</v>
      </c>
      <c r="O1150" s="39"/>
      <c r="P1150" s="15">
        <v>79574.259999999995</v>
      </c>
      <c r="S1150" s="17"/>
    </row>
    <row r="1151" spans="1:19" x14ac:dyDescent="0.4">
      <c r="A1151">
        <v>6326706</v>
      </c>
      <c r="B1151" s="16">
        <v>27</v>
      </c>
      <c r="C1151" s="12" t="s">
        <v>122</v>
      </c>
      <c r="D1151" s="12" t="s">
        <v>132</v>
      </c>
      <c r="E1151" s="12" t="s">
        <v>152</v>
      </c>
      <c r="F1151" s="12" t="s">
        <v>159</v>
      </c>
      <c r="G1151" s="14">
        <f t="shared" ca="1" si="17"/>
        <v>7896.4368686375583</v>
      </c>
      <c r="H1151" s="12" t="s">
        <v>172</v>
      </c>
      <c r="I1151">
        <v>0</v>
      </c>
      <c r="J1151">
        <v>45</v>
      </c>
      <c r="K1151" s="12" t="s">
        <v>176</v>
      </c>
      <c r="L1151">
        <v>0</v>
      </c>
      <c r="M1151">
        <v>0</v>
      </c>
      <c r="O1151" s="39"/>
      <c r="P1151" s="16">
        <v>7523.49</v>
      </c>
      <c r="S1151" s="17"/>
    </row>
    <row r="1152" spans="1:19" x14ac:dyDescent="0.4">
      <c r="A1152">
        <v>6334877</v>
      </c>
      <c r="B1152" s="15">
        <v>27</v>
      </c>
      <c r="C1152" s="12" t="s">
        <v>122</v>
      </c>
      <c r="D1152" s="12" t="s">
        <v>134</v>
      </c>
      <c r="E1152" s="12" t="s">
        <v>152</v>
      </c>
      <c r="F1152" s="12" t="s">
        <v>159</v>
      </c>
      <c r="G1152" s="14">
        <f t="shared" ca="1" si="17"/>
        <v>53536.847432449729</v>
      </c>
      <c r="H1152" s="12" t="s">
        <v>172</v>
      </c>
      <c r="I1152">
        <v>0</v>
      </c>
      <c r="J1152">
        <v>40</v>
      </c>
      <c r="K1152" s="12" t="s">
        <v>176</v>
      </c>
      <c r="L1152">
        <v>0</v>
      </c>
      <c r="M1152">
        <v>0</v>
      </c>
      <c r="O1152" s="39"/>
      <c r="P1152" s="15">
        <v>33482.58</v>
      </c>
      <c r="S1152" s="17"/>
    </row>
    <row r="1153" spans="1:19" x14ac:dyDescent="0.4">
      <c r="A1153">
        <v>6341121</v>
      </c>
      <c r="B1153" s="16">
        <v>42</v>
      </c>
      <c r="C1153" s="12" t="s">
        <v>127</v>
      </c>
      <c r="D1153" s="12" t="s">
        <v>135</v>
      </c>
      <c r="E1153" s="12" t="s">
        <v>151</v>
      </c>
      <c r="F1153" s="12" t="s">
        <v>158</v>
      </c>
      <c r="G1153" s="14">
        <f t="shared" ca="1" si="17"/>
        <v>139941.4383922634</v>
      </c>
      <c r="H1153" s="12" t="s">
        <v>172</v>
      </c>
      <c r="I1153">
        <v>0</v>
      </c>
      <c r="J1153">
        <v>40</v>
      </c>
      <c r="K1153" s="12" t="s">
        <v>176</v>
      </c>
      <c r="L1153">
        <v>0</v>
      </c>
      <c r="M1153">
        <v>0</v>
      </c>
      <c r="O1153" s="39"/>
      <c r="P1153" s="16">
        <v>122454.68</v>
      </c>
      <c r="S1153" s="17"/>
    </row>
    <row r="1154" spans="1:19" x14ac:dyDescent="0.4">
      <c r="A1154">
        <v>6351444</v>
      </c>
      <c r="B1154" s="15">
        <v>58</v>
      </c>
      <c r="C1154" s="12" t="s">
        <v>123</v>
      </c>
      <c r="D1154" s="12" t="s">
        <v>135</v>
      </c>
      <c r="E1154" s="12" t="s">
        <v>152</v>
      </c>
      <c r="F1154" s="12" t="s">
        <v>160</v>
      </c>
      <c r="G1154" s="14">
        <f t="shared" ca="1" si="17"/>
        <v>69645.571834472634</v>
      </c>
      <c r="H1154" s="12" t="s">
        <v>172</v>
      </c>
      <c r="I1154">
        <v>0</v>
      </c>
      <c r="J1154">
        <v>70</v>
      </c>
      <c r="K1154" s="12" t="s">
        <v>176</v>
      </c>
      <c r="L1154">
        <v>7453</v>
      </c>
      <c r="M1154">
        <v>1</v>
      </c>
      <c r="O1154" s="39"/>
      <c r="P1154" s="15">
        <v>65218.080000000002</v>
      </c>
      <c r="S1154" s="17"/>
    </row>
    <row r="1155" spans="1:19" x14ac:dyDescent="0.4">
      <c r="A1155">
        <v>6352899</v>
      </c>
      <c r="B1155" s="16">
        <v>18</v>
      </c>
      <c r="C1155" s="12" t="s">
        <v>126</v>
      </c>
      <c r="D1155" s="12" t="s">
        <v>132</v>
      </c>
      <c r="E1155" s="12" t="s">
        <v>150</v>
      </c>
      <c r="F1155" s="12" t="s">
        <v>158</v>
      </c>
      <c r="G1155" s="14">
        <f t="shared" ca="1" si="17"/>
        <v>241986.62060996072</v>
      </c>
      <c r="H1155" s="12" t="s">
        <v>172</v>
      </c>
      <c r="I1155">
        <v>0</v>
      </c>
      <c r="J1155">
        <v>10</v>
      </c>
      <c r="K1155" s="12" t="s">
        <v>176</v>
      </c>
      <c r="L1155">
        <v>0</v>
      </c>
      <c r="M1155">
        <v>0</v>
      </c>
      <c r="O1155" s="39"/>
      <c r="P1155" s="16">
        <v>210210.74</v>
      </c>
      <c r="S1155" s="17"/>
    </row>
    <row r="1156" spans="1:19" x14ac:dyDescent="0.4">
      <c r="A1156">
        <v>6353107</v>
      </c>
      <c r="B1156" s="15">
        <v>31</v>
      </c>
      <c r="C1156" s="12" t="s">
        <v>122</v>
      </c>
      <c r="D1156" s="12" t="s">
        <v>134</v>
      </c>
      <c r="E1156" s="12" t="s">
        <v>152</v>
      </c>
      <c r="F1156" s="12" t="s">
        <v>159</v>
      </c>
      <c r="G1156" s="14">
        <f t="shared" ca="1" si="17"/>
        <v>45033.498656428965</v>
      </c>
      <c r="H1156" s="12" t="s">
        <v>172</v>
      </c>
      <c r="I1156">
        <v>0</v>
      </c>
      <c r="J1156">
        <v>40</v>
      </c>
      <c r="K1156" s="12" t="s">
        <v>176</v>
      </c>
      <c r="L1156">
        <v>7564</v>
      </c>
      <c r="M1156">
        <v>1</v>
      </c>
      <c r="O1156" s="39"/>
      <c r="P1156" s="15">
        <v>24317.919999999998</v>
      </c>
      <c r="S1156" s="17"/>
    </row>
    <row r="1157" spans="1:19" x14ac:dyDescent="0.4">
      <c r="A1157">
        <v>6354117</v>
      </c>
      <c r="B1157" s="16">
        <v>35</v>
      </c>
      <c r="C1157" s="12" t="s">
        <v>122</v>
      </c>
      <c r="D1157" s="12" t="s">
        <v>145</v>
      </c>
      <c r="E1157" s="12" t="s">
        <v>152</v>
      </c>
      <c r="F1157" s="12" t="s">
        <v>161</v>
      </c>
      <c r="G1157" s="14">
        <f t="shared" ca="1" si="17"/>
        <v>50980.406358650296</v>
      </c>
      <c r="H1157" s="12" t="s">
        <v>172</v>
      </c>
      <c r="I1157">
        <v>0</v>
      </c>
      <c r="J1157">
        <v>40</v>
      </c>
      <c r="K1157" s="12" t="s">
        <v>179</v>
      </c>
      <c r="L1157">
        <v>0</v>
      </c>
      <c r="M1157">
        <v>0</v>
      </c>
      <c r="O1157" s="39"/>
      <c r="P1157" s="16">
        <v>33288.269999999997</v>
      </c>
      <c r="S1157" s="17"/>
    </row>
    <row r="1158" spans="1:19" x14ac:dyDescent="0.4">
      <c r="A1158">
        <v>6354574</v>
      </c>
      <c r="B1158" s="15">
        <v>22</v>
      </c>
      <c r="C1158" s="12" t="s">
        <v>122</v>
      </c>
      <c r="D1158" s="12" t="s">
        <v>135</v>
      </c>
      <c r="E1158" s="12" t="s">
        <v>150</v>
      </c>
      <c r="F1158" s="12" t="s">
        <v>158</v>
      </c>
      <c r="G1158" s="14">
        <f t="shared" ca="1" si="17"/>
        <v>33061.938107549322</v>
      </c>
      <c r="H1158" s="12" t="s">
        <v>171</v>
      </c>
      <c r="I1158">
        <v>0</v>
      </c>
      <c r="J1158">
        <v>60</v>
      </c>
      <c r="K1158" s="12" t="s">
        <v>176</v>
      </c>
      <c r="L1158">
        <v>0</v>
      </c>
      <c r="M1158">
        <v>0</v>
      </c>
      <c r="O1158" s="39"/>
      <c r="P1158" s="15">
        <v>29168.49</v>
      </c>
      <c r="S1158" s="17"/>
    </row>
    <row r="1159" spans="1:19" x14ac:dyDescent="0.4">
      <c r="A1159">
        <v>6358616</v>
      </c>
      <c r="B1159" s="16">
        <v>21</v>
      </c>
      <c r="C1159" s="12" t="s">
        <v>122</v>
      </c>
      <c r="D1159" s="12" t="s">
        <v>132</v>
      </c>
      <c r="E1159" s="12" t="s">
        <v>150</v>
      </c>
      <c r="F1159" s="12" t="s">
        <v>156</v>
      </c>
      <c r="G1159" s="14">
        <f t="shared" ca="1" si="17"/>
        <v>225238.61980672437</v>
      </c>
      <c r="H1159" s="12" t="s">
        <v>172</v>
      </c>
      <c r="I1159">
        <v>0</v>
      </c>
      <c r="J1159">
        <v>40</v>
      </c>
      <c r="K1159" s="12" t="s">
        <v>176</v>
      </c>
      <c r="L1159">
        <v>0</v>
      </c>
      <c r="M1159">
        <v>0</v>
      </c>
      <c r="O1159" s="39"/>
      <c r="P1159" s="16">
        <v>181792.59</v>
      </c>
      <c r="S1159" s="17"/>
    </row>
    <row r="1160" spans="1:19" x14ac:dyDescent="0.4">
      <c r="A1160">
        <v>6365793</v>
      </c>
      <c r="B1160" s="15">
        <v>57</v>
      </c>
      <c r="C1160" s="12" t="s">
        <v>122</v>
      </c>
      <c r="D1160" s="12" t="s">
        <v>132</v>
      </c>
      <c r="E1160" s="12" t="s">
        <v>152</v>
      </c>
      <c r="F1160" s="12" t="s">
        <v>159</v>
      </c>
      <c r="G1160" s="14">
        <f t="shared" ca="1" si="17"/>
        <v>44979.581094755849</v>
      </c>
      <c r="H1160" s="12" t="s">
        <v>172</v>
      </c>
      <c r="I1160">
        <v>1114.6666666666699</v>
      </c>
      <c r="J1160">
        <v>45</v>
      </c>
      <c r="K1160" s="12" t="s">
        <v>176</v>
      </c>
      <c r="L1160">
        <v>0</v>
      </c>
      <c r="M1160">
        <v>0</v>
      </c>
      <c r="O1160" s="39"/>
      <c r="P1160" s="15">
        <v>32196.18</v>
      </c>
      <c r="S1160" s="17"/>
    </row>
    <row r="1161" spans="1:19" x14ac:dyDescent="0.4">
      <c r="A1161">
        <v>6367404</v>
      </c>
      <c r="B1161" s="16">
        <v>65</v>
      </c>
      <c r="C1161" s="12" t="s">
        <v>129</v>
      </c>
      <c r="D1161" s="12" t="s">
        <v>134</v>
      </c>
      <c r="E1161" s="12" t="s">
        <v>149</v>
      </c>
      <c r="F1161" s="12" t="s">
        <v>129</v>
      </c>
      <c r="G1161" s="14">
        <f t="shared" ca="1" si="17"/>
        <v>44919.050145760011</v>
      </c>
      <c r="H1161" s="12" t="s">
        <v>171</v>
      </c>
      <c r="I1161">
        <v>0</v>
      </c>
      <c r="J1161">
        <v>40</v>
      </c>
      <c r="K1161" s="12" t="s">
        <v>176</v>
      </c>
      <c r="L1161">
        <v>0</v>
      </c>
      <c r="M1161">
        <v>0</v>
      </c>
      <c r="O1161" s="39"/>
      <c r="P1161" s="16">
        <v>23381.42</v>
      </c>
      <c r="S1161" s="17"/>
    </row>
    <row r="1162" spans="1:19" x14ac:dyDescent="0.4">
      <c r="A1162">
        <v>6371302</v>
      </c>
      <c r="B1162" s="15">
        <v>30</v>
      </c>
      <c r="C1162" s="12" t="s">
        <v>129</v>
      </c>
      <c r="D1162" s="12" t="s">
        <v>132</v>
      </c>
      <c r="E1162" s="12" t="s">
        <v>152</v>
      </c>
      <c r="F1162" s="12" t="s">
        <v>129</v>
      </c>
      <c r="G1162" s="14">
        <f t="shared" ca="1" si="17"/>
        <v>103582.73090059469</v>
      </c>
      <c r="H1162" s="12" t="s">
        <v>172</v>
      </c>
      <c r="I1162">
        <v>0</v>
      </c>
      <c r="J1162">
        <v>40</v>
      </c>
      <c r="K1162" s="12" t="s">
        <v>176</v>
      </c>
      <c r="L1162">
        <v>0</v>
      </c>
      <c r="M1162">
        <v>0</v>
      </c>
      <c r="O1162" s="39"/>
      <c r="P1162" s="15">
        <v>53338.36</v>
      </c>
      <c r="S1162" s="17"/>
    </row>
    <row r="1163" spans="1:19" x14ac:dyDescent="0.4">
      <c r="A1163">
        <v>6373170</v>
      </c>
      <c r="B1163" s="16">
        <v>28</v>
      </c>
      <c r="C1163" s="12" t="s">
        <v>122</v>
      </c>
      <c r="D1163" s="12" t="s">
        <v>132</v>
      </c>
      <c r="E1163" s="12" t="s">
        <v>150</v>
      </c>
      <c r="F1163" s="12" t="s">
        <v>156</v>
      </c>
      <c r="G1163" s="14">
        <f t="shared" ref="G1163:G1226" ca="1" si="18">P1163*(1+RAND())</f>
        <v>139669.13880463192</v>
      </c>
      <c r="H1163" s="12" t="s">
        <v>172</v>
      </c>
      <c r="I1163">
        <v>0</v>
      </c>
      <c r="J1163">
        <v>35</v>
      </c>
      <c r="K1163" s="12" t="s">
        <v>176</v>
      </c>
      <c r="L1163">
        <v>0</v>
      </c>
      <c r="M1163">
        <v>0</v>
      </c>
      <c r="O1163" s="39"/>
      <c r="P1163" s="16">
        <v>120733.61</v>
      </c>
      <c r="S1163" s="17"/>
    </row>
    <row r="1164" spans="1:19" x14ac:dyDescent="0.4">
      <c r="A1164">
        <v>6382382</v>
      </c>
      <c r="B1164" s="15">
        <v>50</v>
      </c>
      <c r="C1164" s="12" t="s">
        <v>125</v>
      </c>
      <c r="D1164" s="12" t="s">
        <v>132</v>
      </c>
      <c r="E1164" s="12" t="s">
        <v>152</v>
      </c>
      <c r="F1164" s="12" t="s">
        <v>166</v>
      </c>
      <c r="G1164" s="14">
        <f t="shared" ca="1" si="18"/>
        <v>50376.879073176482</v>
      </c>
      <c r="H1164" s="12" t="s">
        <v>172</v>
      </c>
      <c r="I1164">
        <v>0</v>
      </c>
      <c r="J1164">
        <v>52</v>
      </c>
      <c r="K1164" s="12" t="s">
        <v>176</v>
      </c>
      <c r="L1164">
        <v>6109</v>
      </c>
      <c r="M1164">
        <v>1</v>
      </c>
      <c r="O1164" s="39"/>
      <c r="P1164" s="15">
        <v>37962.18</v>
      </c>
      <c r="S1164" s="17"/>
    </row>
    <row r="1165" spans="1:19" x14ac:dyDescent="0.4">
      <c r="A1165">
        <v>6382543</v>
      </c>
      <c r="B1165" s="16">
        <v>32</v>
      </c>
      <c r="C1165" s="12" t="s">
        <v>122</v>
      </c>
      <c r="D1165" s="12" t="s">
        <v>134</v>
      </c>
      <c r="E1165" s="12" t="s">
        <v>152</v>
      </c>
      <c r="F1165" s="12" t="s">
        <v>161</v>
      </c>
      <c r="G1165" s="14">
        <f t="shared" ca="1" si="18"/>
        <v>24570.419245271987</v>
      </c>
      <c r="H1165" s="12" t="s">
        <v>172</v>
      </c>
      <c r="I1165">
        <v>0</v>
      </c>
      <c r="J1165">
        <v>40</v>
      </c>
      <c r="K1165" s="12" t="s">
        <v>176</v>
      </c>
      <c r="L1165">
        <v>0</v>
      </c>
      <c r="M1165">
        <v>0</v>
      </c>
      <c r="O1165" s="39"/>
      <c r="P1165" s="16">
        <v>15164.11</v>
      </c>
      <c r="S1165" s="17"/>
    </row>
    <row r="1166" spans="1:19" x14ac:dyDescent="0.4">
      <c r="A1166">
        <v>6383075</v>
      </c>
      <c r="B1166" s="15">
        <v>29</v>
      </c>
      <c r="C1166" s="12" t="s">
        <v>127</v>
      </c>
      <c r="D1166" s="12" t="s">
        <v>137</v>
      </c>
      <c r="E1166" s="12" t="s">
        <v>152</v>
      </c>
      <c r="F1166" s="12" t="s">
        <v>163</v>
      </c>
      <c r="G1166" s="14">
        <f t="shared" ca="1" si="18"/>
        <v>61315.016778994745</v>
      </c>
      <c r="H1166" s="12" t="s">
        <v>172</v>
      </c>
      <c r="I1166">
        <v>0</v>
      </c>
      <c r="J1166">
        <v>42</v>
      </c>
      <c r="K1166" s="12" t="s">
        <v>176</v>
      </c>
      <c r="L1166">
        <v>6827</v>
      </c>
      <c r="M1166">
        <v>1</v>
      </c>
      <c r="O1166" s="39"/>
      <c r="P1166" s="15">
        <v>51829.17</v>
      </c>
      <c r="S1166" s="17"/>
    </row>
    <row r="1167" spans="1:19" x14ac:dyDescent="0.4">
      <c r="A1167">
        <v>6387914</v>
      </c>
      <c r="B1167" s="16">
        <v>52</v>
      </c>
      <c r="C1167" s="12" t="s">
        <v>124</v>
      </c>
      <c r="D1167" s="12" t="s">
        <v>144</v>
      </c>
      <c r="E1167" s="12" t="s">
        <v>152</v>
      </c>
      <c r="F1167" s="12" t="s">
        <v>160</v>
      </c>
      <c r="G1167" s="14">
        <f t="shared" ca="1" si="18"/>
        <v>51136.660612549422</v>
      </c>
      <c r="H1167" s="12" t="s">
        <v>172</v>
      </c>
      <c r="I1167">
        <v>0</v>
      </c>
      <c r="J1167">
        <v>40</v>
      </c>
      <c r="K1167" s="12" t="s">
        <v>176</v>
      </c>
      <c r="L1167">
        <v>0</v>
      </c>
      <c r="M1167">
        <v>0</v>
      </c>
      <c r="O1167" s="39"/>
      <c r="P1167" s="16">
        <v>49603.87</v>
      </c>
      <c r="S1167" s="17"/>
    </row>
    <row r="1168" spans="1:19" x14ac:dyDescent="0.4">
      <c r="A1168">
        <v>6394641</v>
      </c>
      <c r="B1168" s="15">
        <v>22</v>
      </c>
      <c r="C1168" s="12" t="s">
        <v>122</v>
      </c>
      <c r="D1168" s="12" t="s">
        <v>135</v>
      </c>
      <c r="E1168" s="12" t="s">
        <v>150</v>
      </c>
      <c r="F1168" s="12" t="s">
        <v>162</v>
      </c>
      <c r="G1168" s="14">
        <f t="shared" ca="1" si="18"/>
        <v>59773.218006519593</v>
      </c>
      <c r="H1168" s="12" t="s">
        <v>172</v>
      </c>
      <c r="I1168">
        <v>0</v>
      </c>
      <c r="J1168">
        <v>40</v>
      </c>
      <c r="K1168" s="12" t="s">
        <v>176</v>
      </c>
      <c r="L1168">
        <v>0</v>
      </c>
      <c r="M1168">
        <v>0</v>
      </c>
      <c r="O1168" s="39"/>
      <c r="P1168" s="15">
        <v>37698.03</v>
      </c>
      <c r="S1168" s="17"/>
    </row>
    <row r="1169" spans="1:19" x14ac:dyDescent="0.4">
      <c r="A1169">
        <v>6396893</v>
      </c>
      <c r="B1169" s="16">
        <v>21</v>
      </c>
      <c r="C1169" s="12" t="s">
        <v>122</v>
      </c>
      <c r="D1169" s="12" t="s">
        <v>134</v>
      </c>
      <c r="E1169" s="12" t="s">
        <v>150</v>
      </c>
      <c r="F1169" s="12" t="s">
        <v>164</v>
      </c>
      <c r="G1169" s="14">
        <f t="shared" ca="1" si="18"/>
        <v>243598.52940414398</v>
      </c>
      <c r="H1169" s="12" t="s">
        <v>172</v>
      </c>
      <c r="I1169">
        <v>0</v>
      </c>
      <c r="J1169">
        <v>45</v>
      </c>
      <c r="K1169" s="12" t="s">
        <v>176</v>
      </c>
      <c r="L1169">
        <v>0</v>
      </c>
      <c r="M1169">
        <v>0</v>
      </c>
      <c r="O1169" s="39"/>
      <c r="P1169" s="16">
        <v>178244.47</v>
      </c>
      <c r="S1169" s="17"/>
    </row>
    <row r="1170" spans="1:19" x14ac:dyDescent="0.4">
      <c r="A1170">
        <v>6398717</v>
      </c>
      <c r="B1170" s="15">
        <v>26</v>
      </c>
      <c r="C1170" s="12" t="s">
        <v>125</v>
      </c>
      <c r="D1170" s="12" t="s">
        <v>134</v>
      </c>
      <c r="E1170" s="12" t="s">
        <v>152</v>
      </c>
      <c r="F1170" s="12" t="s">
        <v>166</v>
      </c>
      <c r="G1170" s="14">
        <f t="shared" ca="1" si="18"/>
        <v>126217.41709428569</v>
      </c>
      <c r="H1170" s="12" t="s">
        <v>172</v>
      </c>
      <c r="I1170">
        <v>0</v>
      </c>
      <c r="J1170">
        <v>40</v>
      </c>
      <c r="K1170" s="12" t="s">
        <v>176</v>
      </c>
      <c r="L1170">
        <v>3103</v>
      </c>
      <c r="M1170">
        <v>1</v>
      </c>
      <c r="O1170" s="39"/>
      <c r="P1170" s="15">
        <v>65467.15</v>
      </c>
      <c r="S1170" s="17"/>
    </row>
    <row r="1171" spans="1:19" x14ac:dyDescent="0.4">
      <c r="A1171">
        <v>6403212</v>
      </c>
      <c r="B1171" s="16">
        <v>18</v>
      </c>
      <c r="C1171" s="12" t="s">
        <v>122</v>
      </c>
      <c r="D1171" s="12" t="s">
        <v>134</v>
      </c>
      <c r="E1171" s="12" t="s">
        <v>150</v>
      </c>
      <c r="F1171" s="12" t="s">
        <v>162</v>
      </c>
      <c r="G1171" s="14">
        <f t="shared" ca="1" si="18"/>
        <v>180912.14464903832</v>
      </c>
      <c r="H1171" s="12" t="s">
        <v>171</v>
      </c>
      <c r="I1171">
        <v>0</v>
      </c>
      <c r="J1171">
        <v>25</v>
      </c>
      <c r="K1171" s="12" t="s">
        <v>176</v>
      </c>
      <c r="L1171">
        <v>0</v>
      </c>
      <c r="M1171">
        <v>0</v>
      </c>
      <c r="O1171" s="39"/>
      <c r="P1171" s="16">
        <v>146765.89000000001</v>
      </c>
      <c r="S1171" s="17"/>
    </row>
    <row r="1172" spans="1:19" x14ac:dyDescent="0.4">
      <c r="A1172">
        <v>6408353</v>
      </c>
      <c r="B1172" s="15">
        <v>28</v>
      </c>
      <c r="C1172" s="12" t="s">
        <v>124</v>
      </c>
      <c r="D1172" s="12" t="s">
        <v>135</v>
      </c>
      <c r="E1172" s="12" t="s">
        <v>150</v>
      </c>
      <c r="F1172" s="12" t="s">
        <v>162</v>
      </c>
      <c r="G1172" s="14">
        <f t="shared" ca="1" si="18"/>
        <v>61022.788945175264</v>
      </c>
      <c r="H1172" s="12" t="s">
        <v>172</v>
      </c>
      <c r="I1172">
        <v>0</v>
      </c>
      <c r="J1172">
        <v>50</v>
      </c>
      <c r="K1172" s="12" t="s">
        <v>176</v>
      </c>
      <c r="L1172">
        <v>0</v>
      </c>
      <c r="M1172">
        <v>0</v>
      </c>
      <c r="O1172" s="39"/>
      <c r="P1172" s="15">
        <v>48440.5</v>
      </c>
      <c r="S1172" s="17"/>
    </row>
    <row r="1173" spans="1:19" x14ac:dyDescent="0.4">
      <c r="A1173">
        <v>6414266</v>
      </c>
      <c r="B1173" s="16">
        <v>35</v>
      </c>
      <c r="C1173" s="12" t="s">
        <v>122</v>
      </c>
      <c r="D1173" s="12" t="s">
        <v>134</v>
      </c>
      <c r="E1173" s="12" t="s">
        <v>149</v>
      </c>
      <c r="F1173" s="12" t="s">
        <v>158</v>
      </c>
      <c r="G1173" s="14">
        <f t="shared" ca="1" si="18"/>
        <v>169837.37895296389</v>
      </c>
      <c r="H1173" s="12" t="s">
        <v>171</v>
      </c>
      <c r="I1173">
        <v>0</v>
      </c>
      <c r="J1173">
        <v>40</v>
      </c>
      <c r="K1173" s="12" t="s">
        <v>176</v>
      </c>
      <c r="L1173">
        <v>0</v>
      </c>
      <c r="M1173">
        <v>0</v>
      </c>
      <c r="O1173" s="39"/>
      <c r="P1173" s="16">
        <v>108079.3</v>
      </c>
      <c r="S1173" s="17"/>
    </row>
    <row r="1174" spans="1:19" x14ac:dyDescent="0.4">
      <c r="A1174">
        <v>6417493</v>
      </c>
      <c r="B1174" s="15">
        <v>18</v>
      </c>
      <c r="C1174" s="12" t="s">
        <v>125</v>
      </c>
      <c r="D1174" s="12" t="s">
        <v>139</v>
      </c>
      <c r="E1174" s="12" t="s">
        <v>150</v>
      </c>
      <c r="F1174" s="12" t="s">
        <v>158</v>
      </c>
      <c r="G1174" s="14">
        <f t="shared" ca="1" si="18"/>
        <v>87583.008848658312</v>
      </c>
      <c r="H1174" s="12" t="s">
        <v>171</v>
      </c>
      <c r="I1174">
        <v>0</v>
      </c>
      <c r="J1174">
        <v>25</v>
      </c>
      <c r="K1174" s="12" t="s">
        <v>176</v>
      </c>
      <c r="L1174">
        <v>0</v>
      </c>
      <c r="M1174">
        <v>0</v>
      </c>
      <c r="O1174" s="39"/>
      <c r="P1174" s="15">
        <v>52620.88</v>
      </c>
      <c r="S1174" s="17"/>
    </row>
    <row r="1175" spans="1:19" x14ac:dyDescent="0.4">
      <c r="A1175">
        <v>6426269</v>
      </c>
      <c r="B1175" s="16">
        <v>58</v>
      </c>
      <c r="C1175" s="12" t="s">
        <v>123</v>
      </c>
      <c r="D1175" s="12" t="s">
        <v>135</v>
      </c>
      <c r="E1175" s="12" t="s">
        <v>152</v>
      </c>
      <c r="F1175" s="12" t="s">
        <v>165</v>
      </c>
      <c r="G1175" s="14">
        <f t="shared" ca="1" si="18"/>
        <v>46945.895268109693</v>
      </c>
      <c r="H1175" s="12" t="s">
        <v>172</v>
      </c>
      <c r="I1175">
        <v>0</v>
      </c>
      <c r="J1175">
        <v>35</v>
      </c>
      <c r="K1175" s="12" t="s">
        <v>176</v>
      </c>
      <c r="L1175">
        <v>0</v>
      </c>
      <c r="M1175">
        <v>0</v>
      </c>
      <c r="O1175" s="39"/>
      <c r="P1175" s="16">
        <v>29092.74</v>
      </c>
      <c r="S1175" s="17"/>
    </row>
    <row r="1176" spans="1:19" x14ac:dyDescent="0.4">
      <c r="A1176">
        <v>6431201</v>
      </c>
      <c r="B1176" s="15">
        <v>33</v>
      </c>
      <c r="C1176" s="12" t="s">
        <v>122</v>
      </c>
      <c r="D1176" s="12" t="s">
        <v>135</v>
      </c>
      <c r="E1176" s="12" t="s">
        <v>152</v>
      </c>
      <c r="F1176" s="12" t="s">
        <v>157</v>
      </c>
      <c r="G1176" s="14">
        <f t="shared" ca="1" si="18"/>
        <v>53234.563198910873</v>
      </c>
      <c r="H1176" s="12" t="s">
        <v>172</v>
      </c>
      <c r="I1176">
        <v>0</v>
      </c>
      <c r="J1176">
        <v>40</v>
      </c>
      <c r="K1176" s="12" t="s">
        <v>176</v>
      </c>
      <c r="L1176">
        <v>0</v>
      </c>
      <c r="M1176">
        <v>0</v>
      </c>
      <c r="O1176" s="39"/>
      <c r="P1176" s="15">
        <v>31869.31</v>
      </c>
      <c r="S1176" s="17"/>
    </row>
    <row r="1177" spans="1:19" x14ac:dyDescent="0.4">
      <c r="A1177">
        <v>6432495</v>
      </c>
      <c r="B1177" s="16">
        <v>54</v>
      </c>
      <c r="C1177" s="12" t="s">
        <v>122</v>
      </c>
      <c r="D1177" s="12" t="s">
        <v>134</v>
      </c>
      <c r="E1177" s="12" t="s">
        <v>151</v>
      </c>
      <c r="F1177" s="12" t="s">
        <v>157</v>
      </c>
      <c r="G1177" s="14">
        <f t="shared" ca="1" si="18"/>
        <v>112254.13159627371</v>
      </c>
      <c r="H1177" s="12" t="s">
        <v>172</v>
      </c>
      <c r="I1177">
        <v>0</v>
      </c>
      <c r="J1177">
        <v>45</v>
      </c>
      <c r="K1177" s="12" t="s">
        <v>176</v>
      </c>
      <c r="L1177">
        <v>0</v>
      </c>
      <c r="M1177">
        <v>0</v>
      </c>
      <c r="O1177" s="39"/>
      <c r="P1177" s="16">
        <v>70799.11</v>
      </c>
      <c r="S1177" s="17"/>
    </row>
    <row r="1178" spans="1:19" x14ac:dyDescent="0.4">
      <c r="A1178">
        <v>6434496</v>
      </c>
      <c r="B1178" s="15">
        <v>49</v>
      </c>
      <c r="C1178" s="12" t="s">
        <v>122</v>
      </c>
      <c r="D1178" s="12" t="s">
        <v>135</v>
      </c>
      <c r="E1178" s="12" t="s">
        <v>150</v>
      </c>
      <c r="F1178" s="12" t="s">
        <v>144</v>
      </c>
      <c r="G1178" s="14">
        <f t="shared" ca="1" si="18"/>
        <v>301002.6737082352</v>
      </c>
      <c r="H1178" s="12" t="s">
        <v>171</v>
      </c>
      <c r="I1178">
        <v>0</v>
      </c>
      <c r="J1178">
        <v>40</v>
      </c>
      <c r="K1178" s="12" t="s">
        <v>176</v>
      </c>
      <c r="L1178">
        <v>0</v>
      </c>
      <c r="M1178">
        <v>0</v>
      </c>
      <c r="O1178" s="39"/>
      <c r="P1178" s="15">
        <v>236243.16</v>
      </c>
      <c r="S1178" s="17"/>
    </row>
    <row r="1179" spans="1:19" x14ac:dyDescent="0.4">
      <c r="A1179">
        <v>6436310</v>
      </c>
      <c r="B1179" s="16">
        <v>33</v>
      </c>
      <c r="C1179" s="12" t="s">
        <v>123</v>
      </c>
      <c r="D1179" s="12" t="s">
        <v>144</v>
      </c>
      <c r="E1179" s="12" t="s">
        <v>152</v>
      </c>
      <c r="F1179" s="12" t="s">
        <v>144</v>
      </c>
      <c r="G1179" s="14">
        <f t="shared" ca="1" si="18"/>
        <v>52245.297115359113</v>
      </c>
      <c r="H1179" s="12" t="s">
        <v>172</v>
      </c>
      <c r="I1179">
        <v>0</v>
      </c>
      <c r="J1179">
        <v>60</v>
      </c>
      <c r="K1179" s="12" t="s">
        <v>176</v>
      </c>
      <c r="L1179">
        <v>10186</v>
      </c>
      <c r="M1179">
        <v>1</v>
      </c>
      <c r="O1179" s="39"/>
      <c r="P1179" s="16">
        <v>29214.04</v>
      </c>
      <c r="S1179" s="17"/>
    </row>
    <row r="1180" spans="1:19" x14ac:dyDescent="0.4">
      <c r="A1180">
        <v>6438023</v>
      </c>
      <c r="B1180" s="15">
        <v>26</v>
      </c>
      <c r="C1180" s="12" t="s">
        <v>122</v>
      </c>
      <c r="D1180" s="12" t="s">
        <v>132</v>
      </c>
      <c r="E1180" s="12" t="s">
        <v>150</v>
      </c>
      <c r="F1180" s="12" t="s">
        <v>162</v>
      </c>
      <c r="G1180" s="14">
        <f t="shared" ca="1" si="18"/>
        <v>125065.0448050133</v>
      </c>
      <c r="H1180" s="12" t="s">
        <v>171</v>
      </c>
      <c r="I1180">
        <v>0</v>
      </c>
      <c r="J1180">
        <v>37</v>
      </c>
      <c r="K1180" s="12" t="s">
        <v>176</v>
      </c>
      <c r="L1180">
        <v>0</v>
      </c>
      <c r="M1180">
        <v>0</v>
      </c>
      <c r="O1180" s="39"/>
      <c r="P1180" s="15">
        <v>80133.84</v>
      </c>
      <c r="S1180" s="17"/>
    </row>
    <row r="1181" spans="1:19" x14ac:dyDescent="0.4">
      <c r="A1181">
        <v>6439575</v>
      </c>
      <c r="B1181" s="16">
        <v>28</v>
      </c>
      <c r="C1181" s="12" t="s">
        <v>122</v>
      </c>
      <c r="D1181" s="12" t="s">
        <v>132</v>
      </c>
      <c r="E1181" s="12" t="s">
        <v>150</v>
      </c>
      <c r="F1181" s="12" t="s">
        <v>161</v>
      </c>
      <c r="G1181" s="14">
        <f t="shared" ca="1" si="18"/>
        <v>76680.750138546064</v>
      </c>
      <c r="H1181" s="12" t="s">
        <v>172</v>
      </c>
      <c r="I1181">
        <v>0</v>
      </c>
      <c r="J1181">
        <v>42</v>
      </c>
      <c r="K1181" s="12" t="s">
        <v>176</v>
      </c>
      <c r="L1181">
        <v>0</v>
      </c>
      <c r="M1181">
        <v>0</v>
      </c>
      <c r="O1181" s="39"/>
      <c r="P1181" s="16">
        <v>73042.19</v>
      </c>
      <c r="S1181" s="17"/>
    </row>
    <row r="1182" spans="1:19" x14ac:dyDescent="0.4">
      <c r="A1182">
        <v>6441581</v>
      </c>
      <c r="B1182" s="15">
        <v>60</v>
      </c>
      <c r="C1182" s="12" t="s">
        <v>129</v>
      </c>
      <c r="D1182" s="12" t="s">
        <v>134</v>
      </c>
      <c r="E1182" s="12" t="s">
        <v>152</v>
      </c>
      <c r="F1182" s="12" t="s">
        <v>129</v>
      </c>
      <c r="G1182" s="14">
        <f t="shared" ca="1" si="18"/>
        <v>70366.278552263073</v>
      </c>
      <c r="H1182" s="12" t="s">
        <v>172</v>
      </c>
      <c r="I1182">
        <v>0</v>
      </c>
      <c r="J1182">
        <v>40</v>
      </c>
      <c r="K1182" s="12" t="s">
        <v>176</v>
      </c>
      <c r="L1182">
        <v>0</v>
      </c>
      <c r="M1182">
        <v>0</v>
      </c>
      <c r="O1182" s="39"/>
      <c r="P1182" s="15">
        <v>36752.61</v>
      </c>
      <c r="S1182" s="17"/>
    </row>
    <row r="1183" spans="1:19" x14ac:dyDescent="0.4">
      <c r="A1183">
        <v>6454594</v>
      </c>
      <c r="B1183" s="16">
        <v>32</v>
      </c>
      <c r="C1183" s="12" t="s">
        <v>122</v>
      </c>
      <c r="D1183" s="12" t="s">
        <v>134</v>
      </c>
      <c r="E1183" s="12" t="s">
        <v>152</v>
      </c>
      <c r="F1183" s="12" t="s">
        <v>162</v>
      </c>
      <c r="G1183" s="14">
        <f t="shared" ca="1" si="18"/>
        <v>46154.694365139891</v>
      </c>
      <c r="H1183" s="12" t="s">
        <v>172</v>
      </c>
      <c r="I1183">
        <v>0</v>
      </c>
      <c r="J1183">
        <v>49</v>
      </c>
      <c r="K1183" s="12" t="s">
        <v>176</v>
      </c>
      <c r="L1183">
        <v>0</v>
      </c>
      <c r="M1183">
        <v>0</v>
      </c>
      <c r="O1183" s="39"/>
      <c r="P1183" s="16">
        <v>25421.23</v>
      </c>
      <c r="S1183" s="17"/>
    </row>
    <row r="1184" spans="1:19" x14ac:dyDescent="0.4">
      <c r="A1184">
        <v>6462030</v>
      </c>
      <c r="B1184" s="15">
        <v>28</v>
      </c>
      <c r="C1184" s="12" t="s">
        <v>122</v>
      </c>
      <c r="D1184" s="12" t="s">
        <v>134</v>
      </c>
      <c r="E1184" s="12" t="s">
        <v>150</v>
      </c>
      <c r="F1184" s="12" t="s">
        <v>159</v>
      </c>
      <c r="G1184" s="14">
        <f t="shared" ca="1" si="18"/>
        <v>345610.65254813473</v>
      </c>
      <c r="H1184" s="12" t="s">
        <v>172</v>
      </c>
      <c r="I1184">
        <v>0</v>
      </c>
      <c r="J1184">
        <v>40</v>
      </c>
      <c r="K1184" s="12" t="s">
        <v>179</v>
      </c>
      <c r="L1184">
        <v>0</v>
      </c>
      <c r="M1184">
        <v>0</v>
      </c>
      <c r="O1184" s="39"/>
      <c r="P1184" s="15">
        <v>222955.79</v>
      </c>
      <c r="S1184" s="17"/>
    </row>
    <row r="1185" spans="1:19" x14ac:dyDescent="0.4">
      <c r="A1185">
        <v>6463531</v>
      </c>
      <c r="B1185" s="16">
        <v>32</v>
      </c>
      <c r="C1185" s="12" t="s">
        <v>125</v>
      </c>
      <c r="D1185" s="12" t="s">
        <v>138</v>
      </c>
      <c r="E1185" s="12" t="s">
        <v>150</v>
      </c>
      <c r="F1185" s="12" t="s">
        <v>144</v>
      </c>
      <c r="G1185" s="14">
        <f t="shared" ca="1" si="18"/>
        <v>76120.299300162529</v>
      </c>
      <c r="H1185" s="12" t="s">
        <v>171</v>
      </c>
      <c r="I1185">
        <v>0</v>
      </c>
      <c r="J1185">
        <v>40</v>
      </c>
      <c r="K1185" s="12" t="s">
        <v>129</v>
      </c>
      <c r="L1185">
        <v>0</v>
      </c>
      <c r="M1185">
        <v>0</v>
      </c>
      <c r="O1185" s="39"/>
      <c r="P1185" s="16">
        <v>42738.27</v>
      </c>
      <c r="S1185" s="17"/>
    </row>
    <row r="1186" spans="1:19" x14ac:dyDescent="0.4">
      <c r="A1186">
        <v>6470678</v>
      </c>
      <c r="B1186" s="15">
        <v>20</v>
      </c>
      <c r="C1186" s="12" t="s">
        <v>122</v>
      </c>
      <c r="D1186" s="12" t="s">
        <v>132</v>
      </c>
      <c r="E1186" s="12" t="s">
        <v>150</v>
      </c>
      <c r="F1186" s="12" t="s">
        <v>159</v>
      </c>
      <c r="G1186" s="14">
        <f t="shared" ca="1" si="18"/>
        <v>292477.96890664723</v>
      </c>
      <c r="H1186" s="12" t="s">
        <v>172</v>
      </c>
      <c r="I1186">
        <v>0</v>
      </c>
      <c r="J1186">
        <v>40</v>
      </c>
      <c r="K1186" s="12" t="s">
        <v>176</v>
      </c>
      <c r="L1186">
        <v>0</v>
      </c>
      <c r="M1186">
        <v>0</v>
      </c>
      <c r="O1186" s="39"/>
      <c r="P1186" s="15">
        <v>237399.45</v>
      </c>
      <c r="S1186" s="17"/>
    </row>
    <row r="1187" spans="1:19" x14ac:dyDescent="0.4">
      <c r="A1187">
        <v>6474123</v>
      </c>
      <c r="B1187" s="16">
        <v>34</v>
      </c>
      <c r="C1187" s="12" t="s">
        <v>122</v>
      </c>
      <c r="D1187" s="12" t="s">
        <v>134</v>
      </c>
      <c r="E1187" s="12" t="s">
        <v>149</v>
      </c>
      <c r="F1187" s="12" t="s">
        <v>156</v>
      </c>
      <c r="G1187" s="14">
        <f t="shared" ca="1" si="18"/>
        <v>77709.408061207549</v>
      </c>
      <c r="H1187" s="12" t="s">
        <v>171</v>
      </c>
      <c r="I1187">
        <v>0</v>
      </c>
      <c r="J1187">
        <v>35</v>
      </c>
      <c r="K1187" s="12" t="s">
        <v>129</v>
      </c>
      <c r="L1187">
        <v>0</v>
      </c>
      <c r="M1187">
        <v>0</v>
      </c>
      <c r="O1187" s="39"/>
      <c r="P1187" s="16">
        <v>74884.800000000003</v>
      </c>
      <c r="S1187" s="17"/>
    </row>
    <row r="1188" spans="1:19" x14ac:dyDescent="0.4">
      <c r="A1188">
        <v>6482240</v>
      </c>
      <c r="B1188" s="15">
        <v>19</v>
      </c>
      <c r="C1188" s="12" t="s">
        <v>129</v>
      </c>
      <c r="D1188" s="12" t="s">
        <v>132</v>
      </c>
      <c r="E1188" s="12" t="s">
        <v>150</v>
      </c>
      <c r="F1188" s="12" t="s">
        <v>129</v>
      </c>
      <c r="G1188" s="14">
        <f t="shared" ca="1" si="18"/>
        <v>200133.23001244161</v>
      </c>
      <c r="H1188" s="12" t="s">
        <v>172</v>
      </c>
      <c r="I1188">
        <v>0</v>
      </c>
      <c r="J1188">
        <v>30</v>
      </c>
      <c r="K1188" s="12" t="s">
        <v>176</v>
      </c>
      <c r="L1188">
        <v>0</v>
      </c>
      <c r="M1188">
        <v>0</v>
      </c>
      <c r="O1188" s="39"/>
      <c r="P1188" s="15">
        <v>197442.55</v>
      </c>
      <c r="S1188" s="17"/>
    </row>
    <row r="1189" spans="1:19" x14ac:dyDescent="0.4">
      <c r="A1189">
        <v>6485283</v>
      </c>
      <c r="B1189" s="16">
        <v>39</v>
      </c>
      <c r="C1189" s="12" t="s">
        <v>127</v>
      </c>
      <c r="D1189" s="12" t="s">
        <v>133</v>
      </c>
      <c r="E1189" s="12" t="s">
        <v>150</v>
      </c>
      <c r="F1189" s="12" t="s">
        <v>160</v>
      </c>
      <c r="G1189" s="14">
        <f t="shared" ca="1" si="18"/>
        <v>160885.25933682031</v>
      </c>
      <c r="H1189" s="12" t="s">
        <v>172</v>
      </c>
      <c r="I1189">
        <v>0</v>
      </c>
      <c r="J1189">
        <v>42</v>
      </c>
      <c r="K1189" s="12" t="s">
        <v>176</v>
      </c>
      <c r="L1189">
        <v>0</v>
      </c>
      <c r="M1189">
        <v>0</v>
      </c>
      <c r="O1189" s="39"/>
      <c r="P1189" s="16">
        <v>88990.52</v>
      </c>
      <c r="S1189" s="17"/>
    </row>
    <row r="1190" spans="1:19" x14ac:dyDescent="0.4">
      <c r="A1190">
        <v>6491065</v>
      </c>
      <c r="B1190" s="15">
        <v>28</v>
      </c>
      <c r="C1190" s="12" t="s">
        <v>123</v>
      </c>
      <c r="D1190" s="12" t="s">
        <v>132</v>
      </c>
      <c r="E1190" s="12" t="s">
        <v>150</v>
      </c>
      <c r="F1190" s="12" t="s">
        <v>161</v>
      </c>
      <c r="G1190" s="14">
        <f t="shared" ca="1" si="18"/>
        <v>96157.905410803171</v>
      </c>
      <c r="H1190" s="12" t="s">
        <v>172</v>
      </c>
      <c r="I1190">
        <v>0</v>
      </c>
      <c r="J1190">
        <v>40</v>
      </c>
      <c r="K1190" s="12" t="s">
        <v>176</v>
      </c>
      <c r="L1190">
        <v>0</v>
      </c>
      <c r="M1190">
        <v>0</v>
      </c>
      <c r="O1190" s="39"/>
      <c r="P1190" s="15">
        <v>53602.12</v>
      </c>
      <c r="S1190" s="17"/>
    </row>
    <row r="1191" spans="1:19" x14ac:dyDescent="0.4">
      <c r="A1191">
        <v>6496576</v>
      </c>
      <c r="B1191" s="16">
        <v>43</v>
      </c>
      <c r="C1191" s="12" t="s">
        <v>123</v>
      </c>
      <c r="D1191" s="12" t="s">
        <v>134</v>
      </c>
      <c r="E1191" s="12" t="s">
        <v>152</v>
      </c>
      <c r="F1191" s="12" t="s">
        <v>160</v>
      </c>
      <c r="G1191" s="14">
        <f t="shared" ca="1" si="18"/>
        <v>57316.100622750761</v>
      </c>
      <c r="H1191" s="12" t="s">
        <v>172</v>
      </c>
      <c r="I1191">
        <v>0</v>
      </c>
      <c r="J1191">
        <v>35</v>
      </c>
      <c r="K1191" s="12" t="s">
        <v>176</v>
      </c>
      <c r="L1191">
        <v>4475</v>
      </c>
      <c r="M1191">
        <v>1</v>
      </c>
      <c r="O1191" s="39"/>
      <c r="P1191" s="16">
        <v>41057.129999999997</v>
      </c>
      <c r="S1191" s="17"/>
    </row>
    <row r="1192" spans="1:19" x14ac:dyDescent="0.4">
      <c r="A1192">
        <v>6498054</v>
      </c>
      <c r="B1192" s="15">
        <v>54</v>
      </c>
      <c r="C1192" s="12" t="s">
        <v>122</v>
      </c>
      <c r="D1192" s="12" t="s">
        <v>135</v>
      </c>
      <c r="E1192" s="12" t="s">
        <v>152</v>
      </c>
      <c r="F1192" s="12" t="s">
        <v>160</v>
      </c>
      <c r="G1192" s="14">
        <f t="shared" ca="1" si="18"/>
        <v>77981.006255667206</v>
      </c>
      <c r="H1192" s="12" t="s">
        <v>172</v>
      </c>
      <c r="I1192">
        <v>0</v>
      </c>
      <c r="J1192">
        <v>40</v>
      </c>
      <c r="K1192" s="12" t="s">
        <v>176</v>
      </c>
      <c r="L1192">
        <v>0</v>
      </c>
      <c r="M1192">
        <v>0</v>
      </c>
      <c r="O1192" s="39"/>
      <c r="P1192" s="15">
        <v>41640.76</v>
      </c>
      <c r="S1192" s="17"/>
    </row>
    <row r="1193" spans="1:19" x14ac:dyDescent="0.4">
      <c r="A1193">
        <v>6507056</v>
      </c>
      <c r="B1193" s="16">
        <v>49</v>
      </c>
      <c r="C1193" s="12" t="s">
        <v>124</v>
      </c>
      <c r="D1193" s="12" t="s">
        <v>135</v>
      </c>
      <c r="E1193" s="12" t="s">
        <v>152</v>
      </c>
      <c r="F1193" s="12" t="s">
        <v>162</v>
      </c>
      <c r="G1193" s="14">
        <f t="shared" ca="1" si="18"/>
        <v>47963.927800154757</v>
      </c>
      <c r="H1193" s="12" t="s">
        <v>172</v>
      </c>
      <c r="I1193">
        <v>0</v>
      </c>
      <c r="J1193">
        <v>52</v>
      </c>
      <c r="K1193" s="12" t="s">
        <v>176</v>
      </c>
      <c r="L1193">
        <v>1121</v>
      </c>
      <c r="M1193">
        <v>1</v>
      </c>
      <c r="O1193" s="39"/>
      <c r="P1193" s="16">
        <v>26814.36</v>
      </c>
      <c r="S1193" s="17"/>
    </row>
    <row r="1194" spans="1:19" x14ac:dyDescent="0.4">
      <c r="A1194">
        <v>6507455</v>
      </c>
      <c r="B1194" s="15">
        <v>25</v>
      </c>
      <c r="C1194" s="12" t="s">
        <v>127</v>
      </c>
      <c r="D1194" s="12" t="s">
        <v>132</v>
      </c>
      <c r="E1194" s="12" t="s">
        <v>152</v>
      </c>
      <c r="F1194" s="12" t="s">
        <v>160</v>
      </c>
      <c r="G1194" s="14">
        <f t="shared" ca="1" si="18"/>
        <v>52173.470101659594</v>
      </c>
      <c r="H1194" s="12" t="s">
        <v>172</v>
      </c>
      <c r="I1194">
        <v>0</v>
      </c>
      <c r="J1194">
        <v>40</v>
      </c>
      <c r="K1194" s="12" t="s">
        <v>176</v>
      </c>
      <c r="L1194">
        <v>7806</v>
      </c>
      <c r="M1194">
        <v>1</v>
      </c>
      <c r="O1194" s="39"/>
      <c r="P1194" s="15">
        <v>30136.22</v>
      </c>
      <c r="S1194" s="17"/>
    </row>
    <row r="1195" spans="1:19" x14ac:dyDescent="0.4">
      <c r="A1195">
        <v>6522006</v>
      </c>
      <c r="B1195" s="16">
        <v>67</v>
      </c>
      <c r="C1195" s="12" t="s">
        <v>122</v>
      </c>
      <c r="D1195" s="12" t="s">
        <v>134</v>
      </c>
      <c r="E1195" s="12" t="s">
        <v>152</v>
      </c>
      <c r="F1195" s="12" t="s">
        <v>164</v>
      </c>
      <c r="G1195" s="14">
        <f t="shared" ca="1" si="18"/>
        <v>35838.358245669748</v>
      </c>
      <c r="H1195" s="12" t="s">
        <v>172</v>
      </c>
      <c r="I1195">
        <v>0</v>
      </c>
      <c r="J1195">
        <v>24</v>
      </c>
      <c r="K1195" s="12" t="s">
        <v>176</v>
      </c>
      <c r="L1195">
        <v>0</v>
      </c>
      <c r="M1195">
        <v>0</v>
      </c>
      <c r="O1195" s="39"/>
      <c r="P1195" s="16">
        <v>20795.189999999999</v>
      </c>
      <c r="S1195" s="17"/>
    </row>
    <row r="1196" spans="1:19" x14ac:dyDescent="0.4">
      <c r="A1196">
        <v>6529702</v>
      </c>
      <c r="B1196" s="15">
        <v>41</v>
      </c>
      <c r="C1196" s="12" t="s">
        <v>122</v>
      </c>
      <c r="D1196" s="12" t="s">
        <v>132</v>
      </c>
      <c r="E1196" s="12" t="s">
        <v>152</v>
      </c>
      <c r="F1196" s="12" t="s">
        <v>159</v>
      </c>
      <c r="G1196" s="14">
        <f t="shared" ca="1" si="18"/>
        <v>59718.448218569851</v>
      </c>
      <c r="H1196" s="12" t="s">
        <v>172</v>
      </c>
      <c r="I1196">
        <v>0</v>
      </c>
      <c r="J1196">
        <v>40</v>
      </c>
      <c r="K1196" s="12" t="s">
        <v>176</v>
      </c>
      <c r="L1196">
        <v>0</v>
      </c>
      <c r="M1196">
        <v>0</v>
      </c>
      <c r="O1196" s="39"/>
      <c r="P1196" s="15">
        <v>44047.47</v>
      </c>
      <c r="S1196" s="17"/>
    </row>
    <row r="1197" spans="1:19" x14ac:dyDescent="0.4">
      <c r="A1197">
        <v>6535879</v>
      </c>
      <c r="B1197" s="16">
        <v>47</v>
      </c>
      <c r="C1197" s="12" t="s">
        <v>123</v>
      </c>
      <c r="D1197" s="12" t="s">
        <v>134</v>
      </c>
      <c r="E1197" s="12" t="s">
        <v>152</v>
      </c>
      <c r="F1197" s="12" t="s">
        <v>165</v>
      </c>
      <c r="G1197" s="14">
        <f t="shared" ca="1" si="18"/>
        <v>49270.372336097767</v>
      </c>
      <c r="H1197" s="12" t="s">
        <v>172</v>
      </c>
      <c r="I1197">
        <v>0</v>
      </c>
      <c r="J1197">
        <v>60</v>
      </c>
      <c r="K1197" s="12" t="s">
        <v>176</v>
      </c>
      <c r="L1197">
        <v>0</v>
      </c>
      <c r="M1197">
        <v>0</v>
      </c>
      <c r="O1197" s="39"/>
      <c r="P1197" s="16">
        <v>46025.74</v>
      </c>
      <c r="S1197" s="17"/>
    </row>
    <row r="1198" spans="1:19" x14ac:dyDescent="0.4">
      <c r="A1198">
        <v>6536944</v>
      </c>
      <c r="B1198" s="15">
        <v>67</v>
      </c>
      <c r="C1198" s="12" t="s">
        <v>126</v>
      </c>
      <c r="D1198" s="12" t="s">
        <v>145</v>
      </c>
      <c r="E1198" s="12" t="s">
        <v>152</v>
      </c>
      <c r="F1198" s="12" t="s">
        <v>157</v>
      </c>
      <c r="G1198" s="14">
        <f t="shared" ca="1" si="18"/>
        <v>42265.149469099939</v>
      </c>
      <c r="H1198" s="12" t="s">
        <v>172</v>
      </c>
      <c r="I1198">
        <v>0</v>
      </c>
      <c r="J1198">
        <v>35</v>
      </c>
      <c r="K1198" s="12" t="s">
        <v>176</v>
      </c>
      <c r="L1198">
        <v>0</v>
      </c>
      <c r="M1198">
        <v>0</v>
      </c>
      <c r="O1198" s="39"/>
      <c r="P1198" s="15">
        <v>22444.12</v>
      </c>
      <c r="S1198" s="17"/>
    </row>
    <row r="1199" spans="1:19" x14ac:dyDescent="0.4">
      <c r="A1199">
        <v>6537728</v>
      </c>
      <c r="B1199" s="16">
        <v>43</v>
      </c>
      <c r="C1199" s="12" t="s">
        <v>122</v>
      </c>
      <c r="D1199" s="12" t="s">
        <v>134</v>
      </c>
      <c r="E1199" s="12" t="s">
        <v>151</v>
      </c>
      <c r="F1199" s="12" t="s">
        <v>158</v>
      </c>
      <c r="G1199" s="14">
        <f t="shared" ca="1" si="18"/>
        <v>68456.160711099496</v>
      </c>
      <c r="H1199" s="12" t="s">
        <v>171</v>
      </c>
      <c r="I1199">
        <v>0</v>
      </c>
      <c r="J1199">
        <v>40</v>
      </c>
      <c r="K1199" s="12" t="s">
        <v>176</v>
      </c>
      <c r="L1199">
        <v>0</v>
      </c>
      <c r="M1199">
        <v>0</v>
      </c>
      <c r="O1199" s="39"/>
      <c r="P1199" s="16">
        <v>67762.490000000005</v>
      </c>
      <c r="S1199" s="17"/>
    </row>
    <row r="1200" spans="1:19" x14ac:dyDescent="0.4">
      <c r="A1200">
        <v>6538502</v>
      </c>
      <c r="B1200" s="15">
        <v>59</v>
      </c>
      <c r="C1200" s="12" t="s">
        <v>122</v>
      </c>
      <c r="D1200" s="12" t="s">
        <v>139</v>
      </c>
      <c r="E1200" s="12" t="s">
        <v>151</v>
      </c>
      <c r="F1200" s="12" t="s">
        <v>156</v>
      </c>
      <c r="G1200" s="14">
        <f t="shared" ca="1" si="18"/>
        <v>92961.038719935736</v>
      </c>
      <c r="H1200" s="12" t="s">
        <v>171</v>
      </c>
      <c r="I1200">
        <v>0</v>
      </c>
      <c r="J1200">
        <v>35</v>
      </c>
      <c r="K1200" s="12" t="s">
        <v>176</v>
      </c>
      <c r="L1200">
        <v>0</v>
      </c>
      <c r="M1200">
        <v>0</v>
      </c>
      <c r="O1200" s="39"/>
      <c r="P1200" s="15">
        <v>86286.36</v>
      </c>
      <c r="S1200" s="17"/>
    </row>
    <row r="1201" spans="1:19" x14ac:dyDescent="0.4">
      <c r="A1201">
        <v>6554660</v>
      </c>
      <c r="B1201" s="16">
        <v>50</v>
      </c>
      <c r="C1201" s="12" t="s">
        <v>125</v>
      </c>
      <c r="D1201" s="12" t="s">
        <v>138</v>
      </c>
      <c r="E1201" s="12" t="s">
        <v>152</v>
      </c>
      <c r="F1201" s="12" t="s">
        <v>160</v>
      </c>
      <c r="G1201" s="14">
        <f t="shared" ca="1" si="18"/>
        <v>33457.085243402238</v>
      </c>
      <c r="H1201" s="12" t="s">
        <v>172</v>
      </c>
      <c r="I1201">
        <v>0</v>
      </c>
      <c r="J1201">
        <v>45</v>
      </c>
      <c r="K1201" s="12" t="s">
        <v>176</v>
      </c>
      <c r="L1201">
        <v>1998</v>
      </c>
      <c r="M1201">
        <v>1</v>
      </c>
      <c r="O1201" s="39"/>
      <c r="P1201" s="16">
        <v>21877.61</v>
      </c>
      <c r="S1201" s="17"/>
    </row>
    <row r="1202" spans="1:19" x14ac:dyDescent="0.4">
      <c r="A1202">
        <v>6555282</v>
      </c>
      <c r="B1202" s="15">
        <v>25</v>
      </c>
      <c r="C1202" s="12" t="s">
        <v>122</v>
      </c>
      <c r="D1202" s="12" t="s">
        <v>135</v>
      </c>
      <c r="E1202" s="12" t="s">
        <v>150</v>
      </c>
      <c r="F1202" s="12" t="s">
        <v>144</v>
      </c>
      <c r="G1202" s="14">
        <f t="shared" ca="1" si="18"/>
        <v>57010.303791476974</v>
      </c>
      <c r="H1202" s="12" t="s">
        <v>171</v>
      </c>
      <c r="I1202">
        <v>0</v>
      </c>
      <c r="J1202">
        <v>30</v>
      </c>
      <c r="K1202" s="12" t="s">
        <v>176</v>
      </c>
      <c r="L1202">
        <v>0</v>
      </c>
      <c r="M1202">
        <v>0</v>
      </c>
      <c r="O1202" s="39"/>
      <c r="P1202" s="15">
        <v>42731.95</v>
      </c>
      <c r="S1202" s="17"/>
    </row>
    <row r="1203" spans="1:19" x14ac:dyDescent="0.4">
      <c r="A1203">
        <v>6556820</v>
      </c>
      <c r="B1203" s="16">
        <v>38</v>
      </c>
      <c r="C1203" s="12" t="s">
        <v>124</v>
      </c>
      <c r="D1203" s="12" t="s">
        <v>132</v>
      </c>
      <c r="E1203" s="12" t="s">
        <v>152</v>
      </c>
      <c r="F1203" s="12" t="s">
        <v>160</v>
      </c>
      <c r="G1203" s="14">
        <f t="shared" ca="1" si="18"/>
        <v>53479.150116257508</v>
      </c>
      <c r="H1203" s="12" t="s">
        <v>172</v>
      </c>
      <c r="I1203">
        <v>0</v>
      </c>
      <c r="J1203">
        <v>80</v>
      </c>
      <c r="K1203" s="12" t="s">
        <v>176</v>
      </c>
      <c r="L1203">
        <v>4689</v>
      </c>
      <c r="M1203">
        <v>1</v>
      </c>
      <c r="O1203" s="39"/>
      <c r="P1203" s="16">
        <v>33819.31</v>
      </c>
      <c r="S1203" s="17"/>
    </row>
    <row r="1204" spans="1:19" x14ac:dyDescent="0.4">
      <c r="A1204">
        <v>6559661</v>
      </c>
      <c r="B1204" s="15">
        <v>42</v>
      </c>
      <c r="C1204" s="12" t="s">
        <v>122</v>
      </c>
      <c r="D1204" s="12" t="s">
        <v>134</v>
      </c>
      <c r="E1204" s="12" t="s">
        <v>151</v>
      </c>
      <c r="F1204" s="12" t="s">
        <v>159</v>
      </c>
      <c r="G1204" s="14">
        <f t="shared" ca="1" si="18"/>
        <v>235058.5954139911</v>
      </c>
      <c r="H1204" s="12" t="s">
        <v>172</v>
      </c>
      <c r="I1204">
        <v>0</v>
      </c>
      <c r="J1204">
        <v>45</v>
      </c>
      <c r="K1204" s="12" t="s">
        <v>176</v>
      </c>
      <c r="L1204">
        <v>0</v>
      </c>
      <c r="M1204">
        <v>0</v>
      </c>
      <c r="O1204" s="39"/>
      <c r="P1204" s="15">
        <v>227938</v>
      </c>
      <c r="S1204" s="17"/>
    </row>
    <row r="1205" spans="1:19" x14ac:dyDescent="0.4">
      <c r="A1205">
        <v>6563907</v>
      </c>
      <c r="B1205" s="16">
        <v>38</v>
      </c>
      <c r="C1205" s="12" t="s">
        <v>122</v>
      </c>
      <c r="D1205" s="12" t="s">
        <v>135</v>
      </c>
      <c r="E1205" s="12" t="s">
        <v>152</v>
      </c>
      <c r="F1205" s="12" t="s">
        <v>162</v>
      </c>
      <c r="G1205" s="14">
        <f t="shared" ca="1" si="18"/>
        <v>54308.783935437772</v>
      </c>
      <c r="H1205" s="12" t="s">
        <v>172</v>
      </c>
      <c r="I1205">
        <v>0</v>
      </c>
      <c r="J1205">
        <v>70</v>
      </c>
      <c r="K1205" s="12" t="s">
        <v>176</v>
      </c>
      <c r="L1205">
        <v>9620</v>
      </c>
      <c r="M1205">
        <v>1</v>
      </c>
      <c r="O1205" s="39"/>
      <c r="P1205" s="16">
        <v>38806.82</v>
      </c>
      <c r="S1205" s="17"/>
    </row>
    <row r="1206" spans="1:19" x14ac:dyDescent="0.4">
      <c r="A1206">
        <v>6564460</v>
      </c>
      <c r="B1206" s="15">
        <v>23</v>
      </c>
      <c r="C1206" s="12" t="s">
        <v>122</v>
      </c>
      <c r="D1206" s="12" t="s">
        <v>132</v>
      </c>
      <c r="E1206" s="12" t="s">
        <v>152</v>
      </c>
      <c r="F1206" s="12" t="s">
        <v>159</v>
      </c>
      <c r="G1206" s="14">
        <f t="shared" ca="1" si="18"/>
        <v>24320.302450108389</v>
      </c>
      <c r="H1206" s="12" t="s">
        <v>172</v>
      </c>
      <c r="I1206">
        <v>0</v>
      </c>
      <c r="J1206">
        <v>40</v>
      </c>
      <c r="K1206" s="12" t="s">
        <v>176</v>
      </c>
      <c r="L1206">
        <v>0</v>
      </c>
      <c r="M1206">
        <v>0</v>
      </c>
      <c r="O1206" s="39"/>
      <c r="P1206" s="15">
        <v>22414.560000000001</v>
      </c>
      <c r="S1206" s="17"/>
    </row>
    <row r="1207" spans="1:19" x14ac:dyDescent="0.4">
      <c r="A1207">
        <v>6570527</v>
      </c>
      <c r="B1207" s="16">
        <v>55</v>
      </c>
      <c r="C1207" s="12" t="s">
        <v>122</v>
      </c>
      <c r="D1207" s="12" t="s">
        <v>132</v>
      </c>
      <c r="E1207" s="12" t="s">
        <v>151</v>
      </c>
      <c r="F1207" s="12" t="s">
        <v>161</v>
      </c>
      <c r="G1207" s="14">
        <f t="shared" ca="1" si="18"/>
        <v>235275.5057805921</v>
      </c>
      <c r="H1207" s="12" t="s">
        <v>172</v>
      </c>
      <c r="I1207">
        <v>0</v>
      </c>
      <c r="J1207">
        <v>40</v>
      </c>
      <c r="K1207" s="12" t="s">
        <v>176</v>
      </c>
      <c r="L1207">
        <v>0</v>
      </c>
      <c r="M1207">
        <v>0</v>
      </c>
      <c r="O1207" s="39"/>
      <c r="P1207" s="16">
        <v>166688.97</v>
      </c>
      <c r="S1207" s="17"/>
    </row>
    <row r="1208" spans="1:19" x14ac:dyDescent="0.4">
      <c r="A1208">
        <v>6572013</v>
      </c>
      <c r="B1208" s="15">
        <v>63</v>
      </c>
      <c r="C1208" s="12" t="s">
        <v>122</v>
      </c>
      <c r="D1208" s="12" t="s">
        <v>132</v>
      </c>
      <c r="E1208" s="12" t="s">
        <v>152</v>
      </c>
      <c r="F1208" s="12" t="s">
        <v>144</v>
      </c>
      <c r="G1208" s="14">
        <f t="shared" ca="1" si="18"/>
        <v>97238.551566024646</v>
      </c>
      <c r="H1208" s="12" t="s">
        <v>172</v>
      </c>
      <c r="I1208">
        <v>0</v>
      </c>
      <c r="J1208">
        <v>40</v>
      </c>
      <c r="K1208" s="12" t="s">
        <v>129</v>
      </c>
      <c r="L1208">
        <v>0</v>
      </c>
      <c r="M1208">
        <v>0</v>
      </c>
      <c r="O1208" s="39"/>
      <c r="P1208" s="15">
        <v>64783.02</v>
      </c>
      <c r="S1208" s="17"/>
    </row>
    <row r="1209" spans="1:19" x14ac:dyDescent="0.4">
      <c r="A1209">
        <v>6572508</v>
      </c>
      <c r="B1209" s="16">
        <v>46</v>
      </c>
      <c r="C1209" s="12" t="s">
        <v>122</v>
      </c>
      <c r="D1209" s="12" t="s">
        <v>134</v>
      </c>
      <c r="E1209" s="12" t="s">
        <v>151</v>
      </c>
      <c r="F1209" s="12" t="s">
        <v>158</v>
      </c>
      <c r="G1209" s="14">
        <f t="shared" ca="1" si="18"/>
        <v>188108.14743163306</v>
      </c>
      <c r="H1209" s="12" t="s">
        <v>171</v>
      </c>
      <c r="I1209">
        <v>0</v>
      </c>
      <c r="J1209">
        <v>40</v>
      </c>
      <c r="K1209" s="12" t="s">
        <v>176</v>
      </c>
      <c r="L1209">
        <v>0</v>
      </c>
      <c r="M1209">
        <v>0</v>
      </c>
      <c r="O1209" s="39"/>
      <c r="P1209" s="16">
        <v>104290.58</v>
      </c>
      <c r="S1209" s="17"/>
    </row>
    <row r="1210" spans="1:19" x14ac:dyDescent="0.4">
      <c r="A1210">
        <v>6576501</v>
      </c>
      <c r="B1210" s="15">
        <v>49</v>
      </c>
      <c r="C1210" s="12" t="s">
        <v>126</v>
      </c>
      <c r="D1210" s="12" t="s">
        <v>132</v>
      </c>
      <c r="E1210" s="12" t="s">
        <v>152</v>
      </c>
      <c r="F1210" s="12" t="s">
        <v>161</v>
      </c>
      <c r="G1210" s="14">
        <f t="shared" ca="1" si="18"/>
        <v>68047.359445635986</v>
      </c>
      <c r="H1210" s="12" t="s">
        <v>172</v>
      </c>
      <c r="I1210">
        <v>0</v>
      </c>
      <c r="J1210">
        <v>40</v>
      </c>
      <c r="K1210" s="12" t="s">
        <v>176</v>
      </c>
      <c r="L1210">
        <v>7671</v>
      </c>
      <c r="M1210">
        <v>1</v>
      </c>
      <c r="O1210" s="39"/>
      <c r="P1210" s="15">
        <v>63313.46</v>
      </c>
      <c r="S1210" s="17"/>
    </row>
    <row r="1211" spans="1:19" x14ac:dyDescent="0.4">
      <c r="A1211">
        <v>6577980</v>
      </c>
      <c r="B1211" s="16">
        <v>38</v>
      </c>
      <c r="C1211" s="12" t="s">
        <v>123</v>
      </c>
      <c r="D1211" s="12" t="s">
        <v>135</v>
      </c>
      <c r="E1211" s="12" t="s">
        <v>152</v>
      </c>
      <c r="F1211" s="12" t="s">
        <v>156</v>
      </c>
      <c r="G1211" s="14">
        <f t="shared" ca="1" si="18"/>
        <v>77134.044937539467</v>
      </c>
      <c r="H1211" s="12" t="s">
        <v>172</v>
      </c>
      <c r="I1211">
        <v>0</v>
      </c>
      <c r="J1211">
        <v>10</v>
      </c>
      <c r="K1211" s="12" t="s">
        <v>176</v>
      </c>
      <c r="L1211">
        <v>0</v>
      </c>
      <c r="M1211">
        <v>0</v>
      </c>
      <c r="O1211" s="39"/>
      <c r="P1211" s="16">
        <v>43817.71</v>
      </c>
      <c r="S1211" s="17"/>
    </row>
    <row r="1212" spans="1:19" x14ac:dyDescent="0.4">
      <c r="A1212">
        <v>6585511</v>
      </c>
      <c r="B1212" s="15">
        <v>51</v>
      </c>
      <c r="C1212" s="12" t="s">
        <v>122</v>
      </c>
      <c r="D1212" s="12" t="s">
        <v>132</v>
      </c>
      <c r="E1212" s="12" t="s">
        <v>151</v>
      </c>
      <c r="F1212" s="12" t="s">
        <v>160</v>
      </c>
      <c r="G1212" s="14">
        <f t="shared" ca="1" si="18"/>
        <v>232546.0210346278</v>
      </c>
      <c r="H1212" s="12" t="s">
        <v>171</v>
      </c>
      <c r="I1212">
        <v>0</v>
      </c>
      <c r="J1212">
        <v>36</v>
      </c>
      <c r="K1212" s="12" t="s">
        <v>176</v>
      </c>
      <c r="L1212">
        <v>0</v>
      </c>
      <c r="M1212">
        <v>0</v>
      </c>
      <c r="O1212" s="39"/>
      <c r="P1212" s="15">
        <v>129293.56</v>
      </c>
      <c r="S1212" s="17"/>
    </row>
    <row r="1213" spans="1:19" x14ac:dyDescent="0.4">
      <c r="A1213">
        <v>6586962</v>
      </c>
      <c r="B1213" s="16">
        <v>27</v>
      </c>
      <c r="C1213" s="12" t="s">
        <v>122</v>
      </c>
      <c r="D1213" s="12" t="s">
        <v>132</v>
      </c>
      <c r="E1213" s="12" t="s">
        <v>151</v>
      </c>
      <c r="F1213" s="12" t="s">
        <v>158</v>
      </c>
      <c r="G1213" s="14">
        <f t="shared" ca="1" si="18"/>
        <v>174915.2078550352</v>
      </c>
      <c r="H1213" s="12" t="s">
        <v>171</v>
      </c>
      <c r="I1213">
        <v>0</v>
      </c>
      <c r="J1213">
        <v>36</v>
      </c>
      <c r="K1213" s="12" t="s">
        <v>176</v>
      </c>
      <c r="L1213">
        <v>0</v>
      </c>
      <c r="M1213">
        <v>0</v>
      </c>
      <c r="O1213" s="39"/>
      <c r="P1213" s="16">
        <v>138057.32999999999</v>
      </c>
      <c r="S1213" s="17"/>
    </row>
    <row r="1214" spans="1:19" x14ac:dyDescent="0.4">
      <c r="A1214">
        <v>6595167</v>
      </c>
      <c r="B1214" s="15">
        <v>29</v>
      </c>
      <c r="C1214" s="12" t="s">
        <v>122</v>
      </c>
      <c r="D1214" s="12" t="s">
        <v>135</v>
      </c>
      <c r="E1214" s="12" t="s">
        <v>150</v>
      </c>
      <c r="F1214" s="12" t="s">
        <v>144</v>
      </c>
      <c r="G1214" s="14">
        <f t="shared" ca="1" si="18"/>
        <v>125297.70995102974</v>
      </c>
      <c r="H1214" s="12" t="s">
        <v>172</v>
      </c>
      <c r="I1214">
        <v>0</v>
      </c>
      <c r="J1214">
        <v>40</v>
      </c>
      <c r="K1214" s="12" t="s">
        <v>176</v>
      </c>
      <c r="L1214">
        <v>0</v>
      </c>
      <c r="M1214">
        <v>0</v>
      </c>
      <c r="O1214" s="39"/>
      <c r="P1214" s="15">
        <v>70124.789999999994</v>
      </c>
      <c r="S1214" s="17"/>
    </row>
    <row r="1215" spans="1:19" x14ac:dyDescent="0.4">
      <c r="A1215">
        <v>6595583</v>
      </c>
      <c r="B1215" s="16">
        <v>27</v>
      </c>
      <c r="C1215" s="12" t="s">
        <v>122</v>
      </c>
      <c r="D1215" s="12" t="s">
        <v>134</v>
      </c>
      <c r="E1215" s="12" t="s">
        <v>150</v>
      </c>
      <c r="F1215" s="12" t="s">
        <v>156</v>
      </c>
      <c r="G1215" s="14">
        <f t="shared" ca="1" si="18"/>
        <v>93800.775419177764</v>
      </c>
      <c r="H1215" s="12" t="s">
        <v>171</v>
      </c>
      <c r="I1215">
        <v>0</v>
      </c>
      <c r="J1215">
        <v>30</v>
      </c>
      <c r="K1215" s="12" t="s">
        <v>176</v>
      </c>
      <c r="L1215">
        <v>0</v>
      </c>
      <c r="M1215">
        <v>0</v>
      </c>
      <c r="O1215" s="39"/>
      <c r="P1215" s="16">
        <v>76028.479999999996</v>
      </c>
      <c r="S1215" s="17"/>
    </row>
    <row r="1216" spans="1:19" x14ac:dyDescent="0.4">
      <c r="A1216">
        <v>6596347</v>
      </c>
      <c r="B1216" s="15">
        <v>58</v>
      </c>
      <c r="C1216" s="12" t="s">
        <v>122</v>
      </c>
      <c r="D1216" s="12" t="s">
        <v>134</v>
      </c>
      <c r="E1216" s="12" t="s">
        <v>153</v>
      </c>
      <c r="F1216" s="12" t="s">
        <v>158</v>
      </c>
      <c r="G1216" s="14">
        <f t="shared" ca="1" si="18"/>
        <v>40856.134286812776</v>
      </c>
      <c r="H1216" s="12" t="s">
        <v>171</v>
      </c>
      <c r="I1216">
        <v>0</v>
      </c>
      <c r="J1216">
        <v>40</v>
      </c>
      <c r="K1216" s="12" t="s">
        <v>176</v>
      </c>
      <c r="L1216">
        <v>0</v>
      </c>
      <c r="M1216">
        <v>1</v>
      </c>
      <c r="O1216" s="39"/>
      <c r="P1216" s="15">
        <v>36556.06</v>
      </c>
      <c r="S1216" s="17"/>
    </row>
    <row r="1217" spans="1:19" x14ac:dyDescent="0.4">
      <c r="A1217">
        <v>6601255</v>
      </c>
      <c r="B1217" s="16">
        <v>26</v>
      </c>
      <c r="C1217" s="12" t="s">
        <v>122</v>
      </c>
      <c r="D1217" s="12" t="s">
        <v>132</v>
      </c>
      <c r="E1217" s="12" t="s">
        <v>150</v>
      </c>
      <c r="F1217" s="12" t="s">
        <v>156</v>
      </c>
      <c r="G1217" s="14">
        <f t="shared" ca="1" si="18"/>
        <v>221606.00498107323</v>
      </c>
      <c r="H1217" s="12" t="s">
        <v>172</v>
      </c>
      <c r="I1217">
        <v>0</v>
      </c>
      <c r="J1217">
        <v>40</v>
      </c>
      <c r="K1217" s="12" t="s">
        <v>193</v>
      </c>
      <c r="L1217">
        <v>0</v>
      </c>
      <c r="M1217">
        <v>0</v>
      </c>
      <c r="O1217" s="39"/>
      <c r="P1217" s="16">
        <v>208069.61</v>
      </c>
      <c r="S1217" s="17"/>
    </row>
    <row r="1218" spans="1:19" x14ac:dyDescent="0.4">
      <c r="A1218">
        <v>6601394</v>
      </c>
      <c r="B1218" s="15">
        <v>37</v>
      </c>
      <c r="C1218" s="12" t="s">
        <v>124</v>
      </c>
      <c r="D1218" s="12" t="s">
        <v>134</v>
      </c>
      <c r="E1218" s="12" t="s">
        <v>150</v>
      </c>
      <c r="F1218" s="12" t="s">
        <v>157</v>
      </c>
      <c r="G1218" s="14">
        <f t="shared" ca="1" si="18"/>
        <v>176650.83533616364</v>
      </c>
      <c r="H1218" s="12" t="s">
        <v>172</v>
      </c>
      <c r="I1218">
        <v>0</v>
      </c>
      <c r="J1218">
        <v>50</v>
      </c>
      <c r="K1218" s="12" t="s">
        <v>176</v>
      </c>
      <c r="L1218">
        <v>0</v>
      </c>
      <c r="M1218">
        <v>0</v>
      </c>
      <c r="O1218" s="39"/>
      <c r="P1218" s="15">
        <v>130515.3</v>
      </c>
      <c r="S1218" s="17"/>
    </row>
    <row r="1219" spans="1:19" x14ac:dyDescent="0.4">
      <c r="A1219">
        <v>6603701</v>
      </c>
      <c r="B1219" s="16">
        <v>17</v>
      </c>
      <c r="C1219" s="12" t="s">
        <v>122</v>
      </c>
      <c r="D1219" s="12" t="s">
        <v>136</v>
      </c>
      <c r="E1219" s="12" t="s">
        <v>150</v>
      </c>
      <c r="F1219" s="12" t="s">
        <v>158</v>
      </c>
      <c r="G1219" s="14">
        <f t="shared" ca="1" si="18"/>
        <v>152198.17456544956</v>
      </c>
      <c r="H1219" s="12" t="s">
        <v>171</v>
      </c>
      <c r="I1219">
        <v>0</v>
      </c>
      <c r="J1219">
        <v>30</v>
      </c>
      <c r="K1219" s="12" t="s">
        <v>176</v>
      </c>
      <c r="L1219">
        <v>0</v>
      </c>
      <c r="M1219">
        <v>0</v>
      </c>
      <c r="O1219" s="39"/>
      <c r="P1219" s="16">
        <v>139318.29999999999</v>
      </c>
      <c r="S1219" s="17"/>
    </row>
    <row r="1220" spans="1:19" x14ac:dyDescent="0.4">
      <c r="A1220">
        <v>6606437</v>
      </c>
      <c r="B1220" s="15">
        <v>41</v>
      </c>
      <c r="C1220" s="12" t="s">
        <v>122</v>
      </c>
      <c r="D1220" s="12" t="s">
        <v>132</v>
      </c>
      <c r="E1220" s="12" t="s">
        <v>152</v>
      </c>
      <c r="F1220" s="12" t="s">
        <v>159</v>
      </c>
      <c r="G1220" s="14">
        <f t="shared" ca="1" si="18"/>
        <v>29142.008408770678</v>
      </c>
      <c r="H1220" s="12" t="s">
        <v>172</v>
      </c>
      <c r="I1220">
        <v>0</v>
      </c>
      <c r="J1220">
        <v>40</v>
      </c>
      <c r="K1220" s="12" t="s">
        <v>176</v>
      </c>
      <c r="L1220">
        <v>0</v>
      </c>
      <c r="M1220">
        <v>0</v>
      </c>
      <c r="O1220" s="39"/>
      <c r="P1220" s="15">
        <v>14830.56</v>
      </c>
      <c r="S1220" s="17"/>
    </row>
    <row r="1221" spans="1:19" x14ac:dyDescent="0.4">
      <c r="A1221">
        <v>6606573</v>
      </c>
      <c r="B1221" s="16">
        <v>40</v>
      </c>
      <c r="C1221" s="12" t="s">
        <v>122</v>
      </c>
      <c r="D1221" s="12" t="s">
        <v>134</v>
      </c>
      <c r="E1221" s="12" t="s">
        <v>152</v>
      </c>
      <c r="F1221" s="12" t="s">
        <v>162</v>
      </c>
      <c r="G1221" s="14">
        <f t="shared" ca="1" si="18"/>
        <v>30946.14525259547</v>
      </c>
      <c r="H1221" s="12" t="s">
        <v>172</v>
      </c>
      <c r="I1221">
        <v>0</v>
      </c>
      <c r="J1221">
        <v>60</v>
      </c>
      <c r="K1221" s="12" t="s">
        <v>176</v>
      </c>
      <c r="L1221">
        <v>5466</v>
      </c>
      <c r="M1221">
        <v>1</v>
      </c>
      <c r="O1221" s="39"/>
      <c r="P1221" s="16">
        <v>19820.71</v>
      </c>
      <c r="S1221" s="17"/>
    </row>
    <row r="1222" spans="1:19" x14ac:dyDescent="0.4">
      <c r="A1222">
        <v>6614665</v>
      </c>
      <c r="B1222" s="15">
        <v>49</v>
      </c>
      <c r="C1222" s="12" t="s">
        <v>122</v>
      </c>
      <c r="D1222" s="12" t="s">
        <v>134</v>
      </c>
      <c r="E1222" s="12" t="s">
        <v>151</v>
      </c>
      <c r="F1222" s="12" t="s">
        <v>156</v>
      </c>
      <c r="G1222" s="14">
        <f t="shared" ca="1" si="18"/>
        <v>202738.21718773543</v>
      </c>
      <c r="H1222" s="12" t="s">
        <v>171</v>
      </c>
      <c r="I1222">
        <v>0</v>
      </c>
      <c r="J1222">
        <v>40</v>
      </c>
      <c r="K1222" s="12" t="s">
        <v>176</v>
      </c>
      <c r="L1222">
        <v>0</v>
      </c>
      <c r="M1222">
        <v>0</v>
      </c>
      <c r="O1222" s="39"/>
      <c r="P1222" s="15">
        <v>107359.44</v>
      </c>
      <c r="S1222" s="17"/>
    </row>
    <row r="1223" spans="1:19" x14ac:dyDescent="0.4">
      <c r="A1223">
        <v>6621317</v>
      </c>
      <c r="B1223" s="16">
        <v>29</v>
      </c>
      <c r="C1223" s="12" t="s">
        <v>123</v>
      </c>
      <c r="D1223" s="12" t="s">
        <v>134</v>
      </c>
      <c r="E1223" s="12" t="s">
        <v>150</v>
      </c>
      <c r="F1223" s="12" t="s">
        <v>165</v>
      </c>
      <c r="G1223" s="14">
        <f t="shared" ca="1" si="18"/>
        <v>114350.2823018527</v>
      </c>
      <c r="H1223" s="12" t="s">
        <v>172</v>
      </c>
      <c r="I1223">
        <v>0</v>
      </c>
      <c r="J1223">
        <v>40</v>
      </c>
      <c r="K1223" s="12" t="s">
        <v>176</v>
      </c>
      <c r="L1223">
        <v>0</v>
      </c>
      <c r="M1223">
        <v>0</v>
      </c>
      <c r="O1223" s="39"/>
      <c r="P1223" s="16">
        <v>65563.06</v>
      </c>
      <c r="S1223" s="17"/>
    </row>
    <row r="1224" spans="1:19" x14ac:dyDescent="0.4">
      <c r="A1224">
        <v>6629884</v>
      </c>
      <c r="B1224" s="15">
        <v>28</v>
      </c>
      <c r="C1224" s="12" t="s">
        <v>122</v>
      </c>
      <c r="D1224" s="12" t="s">
        <v>134</v>
      </c>
      <c r="E1224" s="12" t="s">
        <v>150</v>
      </c>
      <c r="F1224" s="12" t="s">
        <v>160</v>
      </c>
      <c r="G1224" s="14">
        <f t="shared" ca="1" si="18"/>
        <v>131263.65378314897</v>
      </c>
      <c r="H1224" s="12" t="s">
        <v>171</v>
      </c>
      <c r="I1224">
        <v>0</v>
      </c>
      <c r="J1224">
        <v>45</v>
      </c>
      <c r="K1224" s="12" t="s">
        <v>176</v>
      </c>
      <c r="L1224">
        <v>0</v>
      </c>
      <c r="M1224">
        <v>0</v>
      </c>
      <c r="O1224" s="39"/>
      <c r="P1224" s="15">
        <v>92214.5</v>
      </c>
      <c r="S1224" s="17"/>
    </row>
    <row r="1225" spans="1:19" x14ac:dyDescent="0.4">
      <c r="A1225">
        <v>6633473</v>
      </c>
      <c r="B1225" s="16">
        <v>29</v>
      </c>
      <c r="C1225" s="12" t="s">
        <v>122</v>
      </c>
      <c r="D1225" s="12" t="s">
        <v>134</v>
      </c>
      <c r="E1225" s="12" t="s">
        <v>150</v>
      </c>
      <c r="F1225" s="12" t="s">
        <v>165</v>
      </c>
      <c r="G1225" s="14">
        <f t="shared" ca="1" si="18"/>
        <v>192719.37805423336</v>
      </c>
      <c r="H1225" s="12" t="s">
        <v>172</v>
      </c>
      <c r="I1225">
        <v>0</v>
      </c>
      <c r="J1225">
        <v>30</v>
      </c>
      <c r="K1225" s="12" t="s">
        <v>176</v>
      </c>
      <c r="L1225">
        <v>0</v>
      </c>
      <c r="M1225">
        <v>0</v>
      </c>
      <c r="O1225" s="39"/>
      <c r="P1225" s="16">
        <v>100675.3</v>
      </c>
      <c r="S1225" s="17"/>
    </row>
    <row r="1226" spans="1:19" x14ac:dyDescent="0.4">
      <c r="A1226">
        <v>6636742</v>
      </c>
      <c r="B1226" s="15">
        <v>55</v>
      </c>
      <c r="C1226" s="12" t="s">
        <v>122</v>
      </c>
      <c r="D1226" s="12" t="s">
        <v>135</v>
      </c>
      <c r="E1226" s="12" t="s">
        <v>151</v>
      </c>
      <c r="F1226" s="12" t="s">
        <v>144</v>
      </c>
      <c r="G1226" s="14">
        <f t="shared" ca="1" si="18"/>
        <v>57850.30953670344</v>
      </c>
      <c r="H1226" s="12" t="s">
        <v>171</v>
      </c>
      <c r="I1226">
        <v>0</v>
      </c>
      <c r="J1226">
        <v>40</v>
      </c>
      <c r="K1226" s="12" t="s">
        <v>176</v>
      </c>
      <c r="L1226">
        <v>16391</v>
      </c>
      <c r="M1226">
        <v>1</v>
      </c>
      <c r="O1226" s="39"/>
      <c r="P1226" s="15">
        <v>42878.48</v>
      </c>
      <c r="S1226" s="17"/>
    </row>
    <row r="1227" spans="1:19" x14ac:dyDescent="0.4">
      <c r="A1227">
        <v>6636978</v>
      </c>
      <c r="B1227" s="16">
        <v>38</v>
      </c>
      <c r="C1227" s="12" t="s">
        <v>122</v>
      </c>
      <c r="D1227" s="12" t="s">
        <v>135</v>
      </c>
      <c r="E1227" s="12" t="s">
        <v>152</v>
      </c>
      <c r="F1227" s="12" t="s">
        <v>161</v>
      </c>
      <c r="G1227" s="14">
        <f t="shared" ref="G1227:G1290" ca="1" si="19">P1227*(1+RAND())</f>
        <v>113374.50106942945</v>
      </c>
      <c r="H1227" s="12" t="s">
        <v>172</v>
      </c>
      <c r="I1227">
        <v>0</v>
      </c>
      <c r="J1227">
        <v>40</v>
      </c>
      <c r="K1227" s="12" t="s">
        <v>187</v>
      </c>
      <c r="L1227">
        <v>0</v>
      </c>
      <c r="M1227">
        <v>0</v>
      </c>
      <c r="O1227" s="39"/>
      <c r="P1227" s="16">
        <v>57242.66</v>
      </c>
      <c r="S1227" s="17"/>
    </row>
    <row r="1228" spans="1:19" x14ac:dyDescent="0.4">
      <c r="A1228">
        <v>6639239</v>
      </c>
      <c r="B1228" s="15">
        <v>26</v>
      </c>
      <c r="C1228" s="12" t="s">
        <v>122</v>
      </c>
      <c r="D1228" s="12" t="s">
        <v>134</v>
      </c>
      <c r="E1228" s="12" t="s">
        <v>152</v>
      </c>
      <c r="F1228" s="12" t="s">
        <v>159</v>
      </c>
      <c r="G1228" s="14">
        <f t="shared" ca="1" si="19"/>
        <v>52822.04736003658</v>
      </c>
      <c r="H1228" s="12" t="s">
        <v>172</v>
      </c>
      <c r="I1228">
        <v>0</v>
      </c>
      <c r="J1228">
        <v>48</v>
      </c>
      <c r="K1228" s="12" t="s">
        <v>176</v>
      </c>
      <c r="L1228">
        <v>0</v>
      </c>
      <c r="M1228">
        <v>0</v>
      </c>
      <c r="O1228" s="39"/>
      <c r="P1228" s="15">
        <v>35710.589999999997</v>
      </c>
      <c r="S1228" s="17"/>
    </row>
    <row r="1229" spans="1:19" x14ac:dyDescent="0.4">
      <c r="A1229">
        <v>6646979</v>
      </c>
      <c r="B1229" s="16">
        <v>38</v>
      </c>
      <c r="C1229" s="12" t="s">
        <v>122</v>
      </c>
      <c r="D1229" s="12" t="s">
        <v>140</v>
      </c>
      <c r="E1229" s="12" t="s">
        <v>149</v>
      </c>
      <c r="F1229" s="12" t="s">
        <v>158</v>
      </c>
      <c r="G1229" s="14">
        <f t="shared" ca="1" si="19"/>
        <v>104391.72233127416</v>
      </c>
      <c r="H1229" s="12" t="s">
        <v>172</v>
      </c>
      <c r="I1229">
        <v>2513.3333333333298</v>
      </c>
      <c r="J1229">
        <v>40</v>
      </c>
      <c r="K1229" s="12" t="s">
        <v>176</v>
      </c>
      <c r="L1229">
        <v>0</v>
      </c>
      <c r="M1229">
        <v>0</v>
      </c>
      <c r="O1229" s="39"/>
      <c r="P1229" s="16">
        <v>92373.119999999995</v>
      </c>
      <c r="S1229" s="17"/>
    </row>
    <row r="1230" spans="1:19" x14ac:dyDescent="0.4">
      <c r="A1230">
        <v>6656952</v>
      </c>
      <c r="B1230" s="15">
        <v>46</v>
      </c>
      <c r="C1230" s="12" t="s">
        <v>122</v>
      </c>
      <c r="D1230" s="12" t="s">
        <v>138</v>
      </c>
      <c r="E1230" s="12" t="s">
        <v>152</v>
      </c>
      <c r="F1230" s="12" t="s">
        <v>144</v>
      </c>
      <c r="G1230" s="14">
        <f t="shared" ca="1" si="19"/>
        <v>30634.531808457887</v>
      </c>
      <c r="H1230" s="12" t="s">
        <v>172</v>
      </c>
      <c r="I1230">
        <v>0</v>
      </c>
      <c r="J1230">
        <v>60</v>
      </c>
      <c r="K1230" s="12" t="s">
        <v>176</v>
      </c>
      <c r="L1230">
        <v>0</v>
      </c>
      <c r="M1230">
        <v>0</v>
      </c>
      <c r="O1230" s="39"/>
      <c r="P1230" s="15">
        <v>22079.26</v>
      </c>
      <c r="S1230" s="17"/>
    </row>
    <row r="1231" spans="1:19" x14ac:dyDescent="0.4">
      <c r="A1231">
        <v>6669485</v>
      </c>
      <c r="B1231" s="16">
        <v>26</v>
      </c>
      <c r="C1231" s="12" t="s">
        <v>122</v>
      </c>
      <c r="D1231" s="12" t="s">
        <v>134</v>
      </c>
      <c r="E1231" s="12" t="s">
        <v>149</v>
      </c>
      <c r="F1231" s="12" t="s">
        <v>158</v>
      </c>
      <c r="G1231" s="14">
        <f t="shared" ca="1" si="19"/>
        <v>282670.99790219113</v>
      </c>
      <c r="H1231" s="12" t="s">
        <v>171</v>
      </c>
      <c r="I1231">
        <v>0</v>
      </c>
      <c r="J1231">
        <v>40</v>
      </c>
      <c r="K1231" s="12" t="s">
        <v>176</v>
      </c>
      <c r="L1231">
        <v>0</v>
      </c>
      <c r="M1231">
        <v>0</v>
      </c>
      <c r="O1231" s="39"/>
      <c r="P1231" s="16">
        <v>143592.32000000001</v>
      </c>
      <c r="S1231" s="17"/>
    </row>
    <row r="1232" spans="1:19" x14ac:dyDescent="0.4">
      <c r="A1232">
        <v>6681809</v>
      </c>
      <c r="B1232" s="15">
        <v>30</v>
      </c>
      <c r="C1232" s="12" t="s">
        <v>122</v>
      </c>
      <c r="D1232" s="12" t="s">
        <v>134</v>
      </c>
      <c r="E1232" s="12" t="s">
        <v>150</v>
      </c>
      <c r="F1232" s="12" t="s">
        <v>158</v>
      </c>
      <c r="G1232" s="14">
        <f t="shared" ca="1" si="19"/>
        <v>238613.59612510956</v>
      </c>
      <c r="H1232" s="12" t="s">
        <v>171</v>
      </c>
      <c r="I1232">
        <v>0</v>
      </c>
      <c r="J1232">
        <v>40</v>
      </c>
      <c r="K1232" s="12" t="s">
        <v>176</v>
      </c>
      <c r="L1232">
        <v>0</v>
      </c>
      <c r="M1232">
        <v>0</v>
      </c>
      <c r="O1232" s="39"/>
      <c r="P1232" s="15">
        <v>158342.9</v>
      </c>
      <c r="S1232" s="17"/>
    </row>
    <row r="1233" spans="1:19" x14ac:dyDescent="0.4">
      <c r="A1233">
        <v>6702088</v>
      </c>
      <c r="B1233" s="16">
        <v>39</v>
      </c>
      <c r="C1233" s="12" t="s">
        <v>122</v>
      </c>
      <c r="D1233" s="12" t="s">
        <v>132</v>
      </c>
      <c r="E1233" s="12" t="s">
        <v>152</v>
      </c>
      <c r="F1233" s="12" t="s">
        <v>161</v>
      </c>
      <c r="G1233" s="14">
        <f t="shared" ca="1" si="19"/>
        <v>40286.978938885935</v>
      </c>
      <c r="H1233" s="12" t="s">
        <v>172</v>
      </c>
      <c r="I1233">
        <v>0</v>
      </c>
      <c r="J1233">
        <v>50</v>
      </c>
      <c r="K1233" s="12" t="s">
        <v>176</v>
      </c>
      <c r="L1233">
        <v>0</v>
      </c>
      <c r="M1233">
        <v>0</v>
      </c>
      <c r="O1233" s="39"/>
      <c r="P1233" s="16">
        <v>30240.16</v>
      </c>
      <c r="S1233" s="17"/>
    </row>
    <row r="1234" spans="1:19" x14ac:dyDescent="0.4">
      <c r="A1234">
        <v>6711050</v>
      </c>
      <c r="B1234" s="15">
        <v>23</v>
      </c>
      <c r="C1234" s="12" t="s">
        <v>122</v>
      </c>
      <c r="D1234" s="12" t="s">
        <v>135</v>
      </c>
      <c r="E1234" s="12" t="s">
        <v>150</v>
      </c>
      <c r="F1234" s="12" t="s">
        <v>144</v>
      </c>
      <c r="G1234" s="14">
        <f t="shared" ca="1" si="19"/>
        <v>112829.32866849033</v>
      </c>
      <c r="H1234" s="12" t="s">
        <v>171</v>
      </c>
      <c r="I1234">
        <v>0</v>
      </c>
      <c r="J1234">
        <v>25</v>
      </c>
      <c r="K1234" s="12" t="s">
        <v>176</v>
      </c>
      <c r="L1234">
        <v>0</v>
      </c>
      <c r="M1234">
        <v>0</v>
      </c>
      <c r="O1234" s="39"/>
      <c r="P1234" s="15">
        <v>84181.82</v>
      </c>
      <c r="S1234" s="17"/>
    </row>
    <row r="1235" spans="1:19" x14ac:dyDescent="0.4">
      <c r="A1235">
        <v>6719476</v>
      </c>
      <c r="B1235" s="16">
        <v>26</v>
      </c>
      <c r="C1235" s="12" t="s">
        <v>122</v>
      </c>
      <c r="D1235" s="12" t="s">
        <v>132</v>
      </c>
      <c r="E1235" s="12" t="s">
        <v>150</v>
      </c>
      <c r="F1235" s="12" t="s">
        <v>158</v>
      </c>
      <c r="G1235" s="14">
        <f t="shared" ca="1" si="19"/>
        <v>162309.18709623648</v>
      </c>
      <c r="H1235" s="12" t="s">
        <v>171</v>
      </c>
      <c r="I1235">
        <v>0</v>
      </c>
      <c r="J1235">
        <v>35</v>
      </c>
      <c r="K1235" s="12" t="s">
        <v>176</v>
      </c>
      <c r="L1235">
        <v>0</v>
      </c>
      <c r="M1235">
        <v>0</v>
      </c>
      <c r="O1235" s="39"/>
      <c r="P1235" s="16">
        <v>152472.6</v>
      </c>
      <c r="S1235" s="17"/>
    </row>
    <row r="1236" spans="1:19" x14ac:dyDescent="0.4">
      <c r="A1236">
        <v>6720873</v>
      </c>
      <c r="B1236" s="15">
        <v>44</v>
      </c>
      <c r="C1236" s="12" t="s">
        <v>124</v>
      </c>
      <c r="D1236" s="12" t="s">
        <v>134</v>
      </c>
      <c r="E1236" s="12" t="s">
        <v>152</v>
      </c>
      <c r="F1236" s="12" t="s">
        <v>165</v>
      </c>
      <c r="G1236" s="14">
        <f t="shared" ca="1" si="19"/>
        <v>28907.715954936491</v>
      </c>
      <c r="H1236" s="12" t="s">
        <v>172</v>
      </c>
      <c r="I1236">
        <v>0</v>
      </c>
      <c r="J1236">
        <v>60</v>
      </c>
      <c r="K1236" s="12" t="s">
        <v>176</v>
      </c>
      <c r="L1236">
        <v>0</v>
      </c>
      <c r="M1236">
        <v>0</v>
      </c>
      <c r="O1236" s="39"/>
      <c r="P1236" s="15">
        <v>25034.02</v>
      </c>
      <c r="S1236" s="17"/>
    </row>
    <row r="1237" spans="1:19" x14ac:dyDescent="0.4">
      <c r="A1237">
        <v>6724561</v>
      </c>
      <c r="B1237" s="16">
        <v>22</v>
      </c>
      <c r="C1237" s="12" t="s">
        <v>122</v>
      </c>
      <c r="D1237" s="12" t="s">
        <v>139</v>
      </c>
      <c r="E1237" s="12" t="s">
        <v>150</v>
      </c>
      <c r="F1237" s="12" t="s">
        <v>162</v>
      </c>
      <c r="G1237" s="14">
        <f t="shared" ca="1" si="19"/>
        <v>330644.79177121073</v>
      </c>
      <c r="H1237" s="12" t="s">
        <v>171</v>
      </c>
      <c r="I1237">
        <v>0</v>
      </c>
      <c r="J1237">
        <v>25</v>
      </c>
      <c r="K1237" s="12" t="s">
        <v>176</v>
      </c>
      <c r="L1237">
        <v>0</v>
      </c>
      <c r="M1237">
        <v>0</v>
      </c>
      <c r="O1237" s="39"/>
      <c r="P1237" s="16">
        <v>208699.78</v>
      </c>
      <c r="S1237" s="17"/>
    </row>
    <row r="1238" spans="1:19" x14ac:dyDescent="0.4">
      <c r="A1238">
        <v>6728896</v>
      </c>
      <c r="B1238" s="15">
        <v>45</v>
      </c>
      <c r="C1238" s="12" t="s">
        <v>125</v>
      </c>
      <c r="D1238" s="12" t="s">
        <v>135</v>
      </c>
      <c r="E1238" s="12" t="s">
        <v>152</v>
      </c>
      <c r="F1238" s="12" t="s">
        <v>166</v>
      </c>
      <c r="G1238" s="14">
        <f t="shared" ca="1" si="19"/>
        <v>82764.957912448532</v>
      </c>
      <c r="H1238" s="12" t="s">
        <v>172</v>
      </c>
      <c r="I1238">
        <v>0</v>
      </c>
      <c r="J1238">
        <v>50</v>
      </c>
      <c r="K1238" s="12" t="s">
        <v>176</v>
      </c>
      <c r="L1238">
        <v>7421</v>
      </c>
      <c r="M1238">
        <v>1</v>
      </c>
      <c r="O1238" s="39"/>
      <c r="P1238" s="15">
        <v>50436.31</v>
      </c>
      <c r="S1238" s="17"/>
    </row>
    <row r="1239" spans="1:19" x14ac:dyDescent="0.4">
      <c r="A1239">
        <v>6733480</v>
      </c>
      <c r="B1239" s="16">
        <v>23</v>
      </c>
      <c r="C1239" s="12" t="s">
        <v>122</v>
      </c>
      <c r="D1239" s="12" t="s">
        <v>132</v>
      </c>
      <c r="E1239" s="12" t="s">
        <v>150</v>
      </c>
      <c r="F1239" s="12" t="s">
        <v>144</v>
      </c>
      <c r="G1239" s="14">
        <f t="shared" ca="1" si="19"/>
        <v>130275.00275712291</v>
      </c>
      <c r="H1239" s="12" t="s">
        <v>172</v>
      </c>
      <c r="I1239">
        <v>0</v>
      </c>
      <c r="J1239">
        <v>45</v>
      </c>
      <c r="K1239" s="12" t="s">
        <v>176</v>
      </c>
      <c r="L1239">
        <v>0</v>
      </c>
      <c r="M1239">
        <v>0</v>
      </c>
      <c r="O1239" s="39"/>
      <c r="P1239" s="16">
        <v>78077.34</v>
      </c>
      <c r="S1239" s="17"/>
    </row>
    <row r="1240" spans="1:19" x14ac:dyDescent="0.4">
      <c r="A1240">
        <v>6737089</v>
      </c>
      <c r="B1240" s="15">
        <v>26</v>
      </c>
      <c r="C1240" s="12" t="s">
        <v>122</v>
      </c>
      <c r="D1240" s="12" t="s">
        <v>134</v>
      </c>
      <c r="E1240" s="12" t="s">
        <v>152</v>
      </c>
      <c r="F1240" s="12" t="s">
        <v>162</v>
      </c>
      <c r="G1240" s="14">
        <f t="shared" ca="1" si="19"/>
        <v>57224.807603503861</v>
      </c>
      <c r="H1240" s="12" t="s">
        <v>172</v>
      </c>
      <c r="I1240">
        <v>0</v>
      </c>
      <c r="J1240">
        <v>50</v>
      </c>
      <c r="K1240" s="12" t="s">
        <v>176</v>
      </c>
      <c r="L1240">
        <v>-615</v>
      </c>
      <c r="M1240">
        <v>1</v>
      </c>
      <c r="O1240" s="39"/>
      <c r="P1240" s="15">
        <v>30931.27</v>
      </c>
      <c r="S1240" s="17"/>
    </row>
    <row r="1241" spans="1:19" x14ac:dyDescent="0.4">
      <c r="A1241">
        <v>6737946</v>
      </c>
      <c r="B1241" s="16">
        <v>33</v>
      </c>
      <c r="C1241" s="12" t="s">
        <v>122</v>
      </c>
      <c r="D1241" s="12" t="s">
        <v>132</v>
      </c>
      <c r="E1241" s="12" t="s">
        <v>152</v>
      </c>
      <c r="F1241" s="12" t="s">
        <v>157</v>
      </c>
      <c r="G1241" s="14">
        <f t="shared" ca="1" si="19"/>
        <v>65313.486693577855</v>
      </c>
      <c r="H1241" s="12" t="s">
        <v>172</v>
      </c>
      <c r="I1241">
        <v>0</v>
      </c>
      <c r="J1241">
        <v>41</v>
      </c>
      <c r="K1241" s="12" t="s">
        <v>176</v>
      </c>
      <c r="L1241">
        <v>0</v>
      </c>
      <c r="M1241">
        <v>0</v>
      </c>
      <c r="O1241" s="39"/>
      <c r="P1241" s="16">
        <v>49145.19</v>
      </c>
      <c r="S1241" s="17"/>
    </row>
    <row r="1242" spans="1:19" x14ac:dyDescent="0.4">
      <c r="A1242">
        <v>6740044</v>
      </c>
      <c r="B1242" s="15">
        <v>24</v>
      </c>
      <c r="C1242" s="12" t="s">
        <v>122</v>
      </c>
      <c r="D1242" s="12" t="s">
        <v>134</v>
      </c>
      <c r="E1242" s="12" t="s">
        <v>150</v>
      </c>
      <c r="F1242" s="12" t="s">
        <v>159</v>
      </c>
      <c r="G1242" s="14">
        <f t="shared" ca="1" si="19"/>
        <v>119671.17261356351</v>
      </c>
      <c r="H1242" s="12" t="s">
        <v>172</v>
      </c>
      <c r="I1242">
        <v>0</v>
      </c>
      <c r="J1242">
        <v>40</v>
      </c>
      <c r="K1242" s="12" t="s">
        <v>176</v>
      </c>
      <c r="L1242">
        <v>0</v>
      </c>
      <c r="M1242">
        <v>0</v>
      </c>
      <c r="O1242" s="39"/>
      <c r="P1242" s="15">
        <v>63970.559999999998</v>
      </c>
      <c r="S1242" s="17"/>
    </row>
    <row r="1243" spans="1:19" x14ac:dyDescent="0.4">
      <c r="A1243">
        <v>6740984</v>
      </c>
      <c r="B1243" s="16">
        <v>19</v>
      </c>
      <c r="C1243" s="12" t="s">
        <v>122</v>
      </c>
      <c r="D1243" s="12" t="s">
        <v>139</v>
      </c>
      <c r="E1243" s="12" t="s">
        <v>150</v>
      </c>
      <c r="F1243" s="12" t="s">
        <v>162</v>
      </c>
      <c r="G1243" s="14">
        <f t="shared" ca="1" si="19"/>
        <v>182528.16983168182</v>
      </c>
      <c r="H1243" s="12" t="s">
        <v>171</v>
      </c>
      <c r="I1243">
        <v>0</v>
      </c>
      <c r="J1243">
        <v>19</v>
      </c>
      <c r="K1243" s="12" t="s">
        <v>178</v>
      </c>
      <c r="L1243">
        <v>0</v>
      </c>
      <c r="M1243">
        <v>0</v>
      </c>
      <c r="O1243" s="39"/>
      <c r="P1243" s="16">
        <v>144232.10999999999</v>
      </c>
      <c r="S1243" s="17"/>
    </row>
    <row r="1244" spans="1:19" x14ac:dyDescent="0.4">
      <c r="A1244">
        <v>6756331</v>
      </c>
      <c r="B1244" s="15">
        <v>41</v>
      </c>
      <c r="C1244" s="12" t="s">
        <v>122</v>
      </c>
      <c r="D1244" s="12" t="s">
        <v>132</v>
      </c>
      <c r="E1244" s="12" t="s">
        <v>150</v>
      </c>
      <c r="F1244" s="12" t="s">
        <v>159</v>
      </c>
      <c r="G1244" s="14">
        <f t="shared" ca="1" si="19"/>
        <v>150513.59765189516</v>
      </c>
      <c r="H1244" s="12" t="s">
        <v>172</v>
      </c>
      <c r="I1244">
        <v>938.66666666666697</v>
      </c>
      <c r="J1244">
        <v>40</v>
      </c>
      <c r="K1244" s="12" t="s">
        <v>176</v>
      </c>
      <c r="L1244">
        <v>0</v>
      </c>
      <c r="M1244">
        <v>0</v>
      </c>
      <c r="O1244" s="39"/>
      <c r="P1244" s="15">
        <v>81531.13</v>
      </c>
      <c r="S1244" s="17"/>
    </row>
    <row r="1245" spans="1:19" x14ac:dyDescent="0.4">
      <c r="A1245">
        <v>6756931</v>
      </c>
      <c r="B1245" s="16">
        <v>43</v>
      </c>
      <c r="C1245" s="12" t="s">
        <v>122</v>
      </c>
      <c r="D1245" s="12" t="s">
        <v>138</v>
      </c>
      <c r="E1245" s="12" t="s">
        <v>152</v>
      </c>
      <c r="F1245" s="12" t="s">
        <v>160</v>
      </c>
      <c r="G1245" s="14">
        <f t="shared" ca="1" si="19"/>
        <v>35389.096058314899</v>
      </c>
      <c r="H1245" s="12" t="s">
        <v>172</v>
      </c>
      <c r="I1245">
        <v>0</v>
      </c>
      <c r="J1245">
        <v>40</v>
      </c>
      <c r="K1245" s="12" t="s">
        <v>184</v>
      </c>
      <c r="L1245">
        <v>7168</v>
      </c>
      <c r="M1245">
        <v>1</v>
      </c>
      <c r="O1245" s="39"/>
      <c r="P1245" s="16">
        <v>20400.439999999999</v>
      </c>
      <c r="S1245" s="17"/>
    </row>
    <row r="1246" spans="1:19" x14ac:dyDescent="0.4">
      <c r="A1246">
        <v>6763481</v>
      </c>
      <c r="B1246" s="15">
        <v>47</v>
      </c>
      <c r="C1246" s="12" t="s">
        <v>122</v>
      </c>
      <c r="D1246" s="12" t="s">
        <v>135</v>
      </c>
      <c r="E1246" s="12" t="s">
        <v>152</v>
      </c>
      <c r="F1246" s="12" t="s">
        <v>144</v>
      </c>
      <c r="G1246" s="14">
        <f t="shared" ca="1" si="19"/>
        <v>38949.327779770065</v>
      </c>
      <c r="H1246" s="12" t="s">
        <v>172</v>
      </c>
      <c r="I1246">
        <v>0</v>
      </c>
      <c r="J1246">
        <v>50</v>
      </c>
      <c r="K1246" s="12" t="s">
        <v>176</v>
      </c>
      <c r="L1246">
        <v>15024</v>
      </c>
      <c r="M1246">
        <v>1</v>
      </c>
      <c r="O1246" s="39"/>
      <c r="P1246" s="15">
        <v>33212.239999999998</v>
      </c>
      <c r="S1246" s="17"/>
    </row>
    <row r="1247" spans="1:19" x14ac:dyDescent="0.4">
      <c r="A1247">
        <v>6764608</v>
      </c>
      <c r="B1247" s="16">
        <v>43</v>
      </c>
      <c r="C1247" s="12" t="s">
        <v>123</v>
      </c>
      <c r="D1247" s="12" t="s">
        <v>135</v>
      </c>
      <c r="E1247" s="12" t="s">
        <v>152</v>
      </c>
      <c r="F1247" s="12" t="s">
        <v>165</v>
      </c>
      <c r="G1247" s="14">
        <f t="shared" ca="1" si="19"/>
        <v>48559.788061925254</v>
      </c>
      <c r="H1247" s="12" t="s">
        <v>172</v>
      </c>
      <c r="I1247">
        <v>0</v>
      </c>
      <c r="J1247">
        <v>70</v>
      </c>
      <c r="K1247" s="12" t="s">
        <v>176</v>
      </c>
      <c r="L1247">
        <v>4642</v>
      </c>
      <c r="M1247">
        <v>1</v>
      </c>
      <c r="O1247" s="39"/>
      <c r="P1247" s="16">
        <v>35063.550000000003</v>
      </c>
      <c r="S1247" s="17"/>
    </row>
    <row r="1248" spans="1:19" x14ac:dyDescent="0.4">
      <c r="A1248">
        <v>6766440</v>
      </c>
      <c r="B1248" s="15">
        <v>45</v>
      </c>
      <c r="C1248" s="12" t="s">
        <v>122</v>
      </c>
      <c r="D1248" s="12" t="s">
        <v>132</v>
      </c>
      <c r="E1248" s="12" t="s">
        <v>151</v>
      </c>
      <c r="F1248" s="12" t="s">
        <v>162</v>
      </c>
      <c r="G1248" s="14">
        <f t="shared" ca="1" si="19"/>
        <v>221738.05097900046</v>
      </c>
      <c r="H1248" s="12" t="s">
        <v>171</v>
      </c>
      <c r="I1248">
        <v>0</v>
      </c>
      <c r="J1248">
        <v>40</v>
      </c>
      <c r="K1248" s="12" t="s">
        <v>176</v>
      </c>
      <c r="L1248">
        <v>0</v>
      </c>
      <c r="M1248">
        <v>0</v>
      </c>
      <c r="O1248" s="39"/>
      <c r="P1248" s="15">
        <v>139372.43</v>
      </c>
      <c r="S1248" s="17"/>
    </row>
    <row r="1249" spans="1:19" x14ac:dyDescent="0.4">
      <c r="A1249">
        <v>6779285</v>
      </c>
      <c r="B1249" s="16">
        <v>66</v>
      </c>
      <c r="C1249" s="12" t="s">
        <v>124</v>
      </c>
      <c r="D1249" s="12" t="s">
        <v>140</v>
      </c>
      <c r="E1249" s="12" t="s">
        <v>152</v>
      </c>
      <c r="F1249" s="12" t="s">
        <v>162</v>
      </c>
      <c r="G1249" s="14">
        <f t="shared" ca="1" si="19"/>
        <v>67326.027833559754</v>
      </c>
      <c r="H1249" s="12" t="s">
        <v>172</v>
      </c>
      <c r="I1249">
        <v>0</v>
      </c>
      <c r="J1249">
        <v>30</v>
      </c>
      <c r="K1249" s="12" t="s">
        <v>176</v>
      </c>
      <c r="L1249">
        <v>0</v>
      </c>
      <c r="M1249">
        <v>0</v>
      </c>
      <c r="O1249" s="39"/>
      <c r="P1249" s="16">
        <v>34211.620000000003</v>
      </c>
      <c r="S1249" s="17"/>
    </row>
    <row r="1250" spans="1:19" x14ac:dyDescent="0.4">
      <c r="A1250">
        <v>6783256</v>
      </c>
      <c r="B1250" s="15">
        <v>49</v>
      </c>
      <c r="C1250" s="12" t="s">
        <v>122</v>
      </c>
      <c r="D1250" s="12" t="s">
        <v>145</v>
      </c>
      <c r="E1250" s="12" t="s">
        <v>152</v>
      </c>
      <c r="F1250" s="12" t="s">
        <v>161</v>
      </c>
      <c r="G1250" s="14">
        <f t="shared" ca="1" si="19"/>
        <v>61117.074120904545</v>
      </c>
      <c r="H1250" s="12" t="s">
        <v>171</v>
      </c>
      <c r="I1250">
        <v>0</v>
      </c>
      <c r="J1250">
        <v>40</v>
      </c>
      <c r="K1250" s="12" t="s">
        <v>203</v>
      </c>
      <c r="L1250">
        <v>0</v>
      </c>
      <c r="M1250">
        <v>0</v>
      </c>
      <c r="O1250" s="39"/>
      <c r="P1250" s="15">
        <v>34112.18</v>
      </c>
      <c r="S1250" s="17"/>
    </row>
    <row r="1251" spans="1:19" x14ac:dyDescent="0.4">
      <c r="A1251">
        <v>6788864</v>
      </c>
      <c r="B1251" s="16">
        <v>27</v>
      </c>
      <c r="C1251" s="12" t="s">
        <v>126</v>
      </c>
      <c r="D1251" s="12" t="s">
        <v>134</v>
      </c>
      <c r="E1251" s="12" t="s">
        <v>150</v>
      </c>
      <c r="F1251" s="12" t="s">
        <v>166</v>
      </c>
      <c r="G1251" s="14">
        <f t="shared" ca="1" si="19"/>
        <v>160450.63215777805</v>
      </c>
      <c r="H1251" s="12" t="s">
        <v>172</v>
      </c>
      <c r="I1251">
        <v>0</v>
      </c>
      <c r="J1251">
        <v>40</v>
      </c>
      <c r="K1251" s="12" t="s">
        <v>176</v>
      </c>
      <c r="L1251">
        <v>0</v>
      </c>
      <c r="M1251">
        <v>0</v>
      </c>
      <c r="O1251" s="39"/>
      <c r="P1251" s="16">
        <v>131137.04</v>
      </c>
      <c r="S1251" s="17"/>
    </row>
    <row r="1252" spans="1:19" x14ac:dyDescent="0.4">
      <c r="A1252">
        <v>6792750</v>
      </c>
      <c r="B1252" s="15">
        <v>41</v>
      </c>
      <c r="C1252" s="12" t="s">
        <v>122</v>
      </c>
      <c r="D1252" s="12" t="s">
        <v>138</v>
      </c>
      <c r="E1252" s="12" t="s">
        <v>152</v>
      </c>
      <c r="F1252" s="12" t="s">
        <v>144</v>
      </c>
      <c r="G1252" s="14">
        <f t="shared" ca="1" si="19"/>
        <v>32687.394856205356</v>
      </c>
      <c r="H1252" s="12" t="s">
        <v>172</v>
      </c>
      <c r="I1252">
        <v>0</v>
      </c>
      <c r="J1252">
        <v>45</v>
      </c>
      <c r="K1252" s="12" t="s">
        <v>191</v>
      </c>
      <c r="L1252">
        <v>16585</v>
      </c>
      <c r="M1252">
        <v>1</v>
      </c>
      <c r="O1252" s="39"/>
      <c r="P1252" s="15">
        <v>26979.5</v>
      </c>
      <c r="S1252" s="17"/>
    </row>
    <row r="1253" spans="1:19" x14ac:dyDescent="0.4">
      <c r="A1253">
        <v>6794405</v>
      </c>
      <c r="B1253" s="16">
        <v>51</v>
      </c>
      <c r="C1253" s="12" t="s">
        <v>122</v>
      </c>
      <c r="D1253" s="12" t="s">
        <v>134</v>
      </c>
      <c r="E1253" s="12" t="s">
        <v>152</v>
      </c>
      <c r="F1253" s="12" t="s">
        <v>157</v>
      </c>
      <c r="G1253" s="14">
        <f t="shared" ca="1" si="19"/>
        <v>70575.65743400318</v>
      </c>
      <c r="H1253" s="12" t="s">
        <v>172</v>
      </c>
      <c r="I1253">
        <v>0</v>
      </c>
      <c r="J1253">
        <v>40</v>
      </c>
      <c r="K1253" s="12" t="s">
        <v>176</v>
      </c>
      <c r="L1253">
        <v>0</v>
      </c>
      <c r="M1253">
        <v>0</v>
      </c>
      <c r="O1253" s="39"/>
      <c r="P1253" s="16">
        <v>40723.57</v>
      </c>
      <c r="S1253" s="17"/>
    </row>
    <row r="1254" spans="1:19" x14ac:dyDescent="0.4">
      <c r="A1254">
        <v>6797266</v>
      </c>
      <c r="B1254" s="15">
        <v>38</v>
      </c>
      <c r="C1254" s="12" t="s">
        <v>123</v>
      </c>
      <c r="D1254" s="12" t="s">
        <v>145</v>
      </c>
      <c r="E1254" s="12" t="s">
        <v>152</v>
      </c>
      <c r="F1254" s="12" t="s">
        <v>162</v>
      </c>
      <c r="G1254" s="14">
        <f t="shared" ca="1" si="19"/>
        <v>61265.186761218793</v>
      </c>
      <c r="H1254" s="12" t="s">
        <v>172</v>
      </c>
      <c r="I1254">
        <v>0</v>
      </c>
      <c r="J1254">
        <v>40</v>
      </c>
      <c r="K1254" s="12" t="s">
        <v>179</v>
      </c>
      <c r="L1254">
        <v>0</v>
      </c>
      <c r="M1254">
        <v>0</v>
      </c>
      <c r="O1254" s="39"/>
      <c r="P1254" s="15">
        <v>51278.53</v>
      </c>
      <c r="S1254" s="17"/>
    </row>
    <row r="1255" spans="1:19" x14ac:dyDescent="0.4">
      <c r="A1255">
        <v>6800883</v>
      </c>
      <c r="B1255" s="16">
        <v>23</v>
      </c>
      <c r="C1255" s="12" t="s">
        <v>122</v>
      </c>
      <c r="D1255" s="12" t="s">
        <v>132</v>
      </c>
      <c r="E1255" s="12" t="s">
        <v>150</v>
      </c>
      <c r="F1255" s="12" t="s">
        <v>156</v>
      </c>
      <c r="G1255" s="14">
        <f t="shared" ca="1" si="19"/>
        <v>217000.64208426181</v>
      </c>
      <c r="H1255" s="12" t="s">
        <v>172</v>
      </c>
      <c r="I1255">
        <v>0</v>
      </c>
      <c r="J1255">
        <v>40</v>
      </c>
      <c r="K1255" s="12" t="s">
        <v>176</v>
      </c>
      <c r="L1255">
        <v>0</v>
      </c>
      <c r="M1255">
        <v>0</v>
      </c>
      <c r="O1255" s="39"/>
      <c r="P1255" s="16">
        <v>151272.95000000001</v>
      </c>
      <c r="S1255" s="17"/>
    </row>
    <row r="1256" spans="1:19" x14ac:dyDescent="0.4">
      <c r="A1256">
        <v>6805457</v>
      </c>
      <c r="B1256" s="15">
        <v>29</v>
      </c>
      <c r="C1256" s="12" t="s">
        <v>122</v>
      </c>
      <c r="D1256" s="12" t="s">
        <v>132</v>
      </c>
      <c r="E1256" s="12" t="s">
        <v>150</v>
      </c>
      <c r="F1256" s="12" t="s">
        <v>164</v>
      </c>
      <c r="G1256" s="14">
        <f t="shared" ca="1" si="19"/>
        <v>84737.82680542623</v>
      </c>
      <c r="H1256" s="12" t="s">
        <v>172</v>
      </c>
      <c r="I1256">
        <v>0</v>
      </c>
      <c r="J1256">
        <v>35</v>
      </c>
      <c r="K1256" s="12" t="s">
        <v>176</v>
      </c>
      <c r="L1256">
        <v>0</v>
      </c>
      <c r="M1256">
        <v>0</v>
      </c>
      <c r="O1256" s="39"/>
      <c r="P1256" s="15">
        <v>54552.07</v>
      </c>
      <c r="S1256" s="17"/>
    </row>
    <row r="1257" spans="1:19" x14ac:dyDescent="0.4">
      <c r="A1257">
        <v>6809170</v>
      </c>
      <c r="B1257" s="16">
        <v>68</v>
      </c>
      <c r="C1257" s="12" t="s">
        <v>122</v>
      </c>
      <c r="D1257" s="12" t="s">
        <v>140</v>
      </c>
      <c r="E1257" s="12" t="s">
        <v>151</v>
      </c>
      <c r="F1257" s="12" t="s">
        <v>157</v>
      </c>
      <c r="G1257" s="14">
        <f t="shared" ca="1" si="19"/>
        <v>143703.48937296739</v>
      </c>
      <c r="H1257" s="12" t="s">
        <v>172</v>
      </c>
      <c r="I1257">
        <v>0</v>
      </c>
      <c r="J1257">
        <v>20</v>
      </c>
      <c r="K1257" s="12" t="s">
        <v>176</v>
      </c>
      <c r="L1257">
        <v>0</v>
      </c>
      <c r="M1257">
        <v>0</v>
      </c>
      <c r="O1257" s="39"/>
      <c r="P1257" s="16">
        <v>80147.58</v>
      </c>
      <c r="S1257" s="17"/>
    </row>
    <row r="1258" spans="1:19" x14ac:dyDescent="0.4">
      <c r="A1258">
        <v>6810520</v>
      </c>
      <c r="B1258" s="15">
        <v>22</v>
      </c>
      <c r="C1258" s="12" t="s">
        <v>127</v>
      </c>
      <c r="D1258" s="12" t="s">
        <v>132</v>
      </c>
      <c r="E1258" s="12" t="s">
        <v>150</v>
      </c>
      <c r="F1258" s="12" t="s">
        <v>160</v>
      </c>
      <c r="G1258" s="14">
        <f t="shared" ca="1" si="19"/>
        <v>8303.4074345690078</v>
      </c>
      <c r="H1258" s="12" t="s">
        <v>171</v>
      </c>
      <c r="I1258">
        <v>0</v>
      </c>
      <c r="J1258">
        <v>40</v>
      </c>
      <c r="K1258" s="12" t="s">
        <v>176</v>
      </c>
      <c r="L1258">
        <v>0</v>
      </c>
      <c r="M1258">
        <v>0</v>
      </c>
      <c r="O1258" s="39"/>
      <c r="P1258" s="15">
        <v>6457.27</v>
      </c>
      <c r="S1258" s="17"/>
    </row>
    <row r="1259" spans="1:19" x14ac:dyDescent="0.4">
      <c r="A1259">
        <v>6812585</v>
      </c>
      <c r="B1259" s="16">
        <v>22</v>
      </c>
      <c r="C1259" s="12" t="s">
        <v>122</v>
      </c>
      <c r="D1259" s="12" t="s">
        <v>139</v>
      </c>
      <c r="E1259" s="12" t="s">
        <v>150</v>
      </c>
      <c r="F1259" s="12" t="s">
        <v>156</v>
      </c>
      <c r="G1259" s="14">
        <f t="shared" ca="1" si="19"/>
        <v>109562.47863605167</v>
      </c>
      <c r="H1259" s="12" t="s">
        <v>171</v>
      </c>
      <c r="I1259">
        <v>0</v>
      </c>
      <c r="J1259">
        <v>30</v>
      </c>
      <c r="K1259" s="12" t="s">
        <v>176</v>
      </c>
      <c r="L1259">
        <v>0</v>
      </c>
      <c r="M1259">
        <v>0</v>
      </c>
      <c r="O1259" s="39"/>
      <c r="P1259" s="16">
        <v>104047.17</v>
      </c>
      <c r="S1259" s="17"/>
    </row>
    <row r="1260" spans="1:19" x14ac:dyDescent="0.4">
      <c r="A1260">
        <v>6813929</v>
      </c>
      <c r="B1260" s="15">
        <v>35</v>
      </c>
      <c r="C1260" s="12" t="s">
        <v>122</v>
      </c>
      <c r="D1260" s="12" t="s">
        <v>135</v>
      </c>
      <c r="E1260" s="12" t="s">
        <v>152</v>
      </c>
      <c r="F1260" s="12" t="s">
        <v>144</v>
      </c>
      <c r="G1260" s="14">
        <f t="shared" ca="1" si="19"/>
        <v>44914.918275350385</v>
      </c>
      <c r="H1260" s="12" t="s">
        <v>172</v>
      </c>
      <c r="I1260">
        <v>0</v>
      </c>
      <c r="J1260">
        <v>60</v>
      </c>
      <c r="K1260" s="12" t="s">
        <v>176</v>
      </c>
      <c r="L1260">
        <v>0</v>
      </c>
      <c r="M1260">
        <v>0</v>
      </c>
      <c r="O1260" s="39"/>
      <c r="P1260" s="15">
        <v>37877.870000000003</v>
      </c>
      <c r="S1260" s="17"/>
    </row>
    <row r="1261" spans="1:19" x14ac:dyDescent="0.4">
      <c r="A1261">
        <v>6814094</v>
      </c>
      <c r="B1261" s="16">
        <v>24</v>
      </c>
      <c r="C1261" s="12" t="s">
        <v>123</v>
      </c>
      <c r="D1261" s="12" t="s">
        <v>134</v>
      </c>
      <c r="E1261" s="12" t="s">
        <v>150</v>
      </c>
      <c r="F1261" s="12" t="s">
        <v>156</v>
      </c>
      <c r="G1261" s="14">
        <f t="shared" ca="1" si="19"/>
        <v>154854.80007661151</v>
      </c>
      <c r="H1261" s="12" t="s">
        <v>172</v>
      </c>
      <c r="I1261">
        <v>0</v>
      </c>
      <c r="J1261">
        <v>30</v>
      </c>
      <c r="K1261" s="12" t="s">
        <v>176</v>
      </c>
      <c r="L1261">
        <v>0</v>
      </c>
      <c r="M1261">
        <v>0</v>
      </c>
      <c r="O1261" s="39"/>
      <c r="P1261" s="16">
        <v>139747.38</v>
      </c>
      <c r="S1261" s="17"/>
    </row>
    <row r="1262" spans="1:19" x14ac:dyDescent="0.4">
      <c r="A1262">
        <v>6818664</v>
      </c>
      <c r="B1262" s="15">
        <v>24</v>
      </c>
      <c r="C1262" s="12" t="s">
        <v>122</v>
      </c>
      <c r="D1262" s="12" t="s">
        <v>132</v>
      </c>
      <c r="E1262" s="12" t="s">
        <v>150</v>
      </c>
      <c r="F1262" s="12" t="s">
        <v>164</v>
      </c>
      <c r="G1262" s="14">
        <f t="shared" ca="1" si="19"/>
        <v>360900.96436891862</v>
      </c>
      <c r="H1262" s="12" t="s">
        <v>172</v>
      </c>
      <c r="I1262">
        <v>0</v>
      </c>
      <c r="J1262">
        <v>30</v>
      </c>
      <c r="K1262" s="12" t="s">
        <v>176</v>
      </c>
      <c r="L1262">
        <v>0</v>
      </c>
      <c r="M1262">
        <v>0</v>
      </c>
      <c r="O1262" s="39"/>
      <c r="P1262" s="15">
        <v>236105.65</v>
      </c>
      <c r="S1262" s="17"/>
    </row>
    <row r="1263" spans="1:19" x14ac:dyDescent="0.4">
      <c r="A1263">
        <v>6823445</v>
      </c>
      <c r="B1263" s="16">
        <v>24</v>
      </c>
      <c r="C1263" s="12" t="s">
        <v>122</v>
      </c>
      <c r="D1263" s="12" t="s">
        <v>139</v>
      </c>
      <c r="E1263" s="12" t="s">
        <v>150</v>
      </c>
      <c r="F1263" s="12" t="s">
        <v>157</v>
      </c>
      <c r="G1263" s="14">
        <f t="shared" ca="1" si="19"/>
        <v>306175.31970119302</v>
      </c>
      <c r="H1263" s="12" t="s">
        <v>172</v>
      </c>
      <c r="I1263">
        <v>0</v>
      </c>
      <c r="J1263">
        <v>40</v>
      </c>
      <c r="K1263" s="12" t="s">
        <v>176</v>
      </c>
      <c r="L1263">
        <v>0</v>
      </c>
      <c r="M1263">
        <v>0</v>
      </c>
      <c r="O1263" s="39"/>
      <c r="P1263" s="16">
        <v>199405.44</v>
      </c>
      <c r="S1263" s="17"/>
    </row>
    <row r="1264" spans="1:19" x14ac:dyDescent="0.4">
      <c r="A1264">
        <v>6827791</v>
      </c>
      <c r="B1264" s="15">
        <v>19</v>
      </c>
      <c r="C1264" s="12" t="s">
        <v>122</v>
      </c>
      <c r="D1264" s="12" t="s">
        <v>134</v>
      </c>
      <c r="E1264" s="12" t="s">
        <v>150</v>
      </c>
      <c r="F1264" s="12" t="s">
        <v>156</v>
      </c>
      <c r="G1264" s="14">
        <f t="shared" ca="1" si="19"/>
        <v>77880.787952310318</v>
      </c>
      <c r="H1264" s="12" t="s">
        <v>171</v>
      </c>
      <c r="I1264">
        <v>0</v>
      </c>
      <c r="J1264">
        <v>30</v>
      </c>
      <c r="K1264" s="12" t="s">
        <v>176</v>
      </c>
      <c r="L1264">
        <v>0</v>
      </c>
      <c r="M1264">
        <v>0</v>
      </c>
      <c r="O1264" s="39"/>
      <c r="P1264" s="15">
        <v>64057.01</v>
      </c>
      <c r="S1264" s="17"/>
    </row>
    <row r="1265" spans="1:19" x14ac:dyDescent="0.4">
      <c r="A1265">
        <v>6833299</v>
      </c>
      <c r="B1265" s="16">
        <v>53</v>
      </c>
      <c r="C1265" s="12" t="s">
        <v>122</v>
      </c>
      <c r="D1265" s="12" t="s">
        <v>136</v>
      </c>
      <c r="E1265" s="12" t="s">
        <v>152</v>
      </c>
      <c r="F1265" s="12" t="s">
        <v>158</v>
      </c>
      <c r="G1265" s="14">
        <f t="shared" ca="1" si="19"/>
        <v>158695.89949618699</v>
      </c>
      <c r="H1265" s="12" t="s">
        <v>171</v>
      </c>
      <c r="I1265">
        <v>0</v>
      </c>
      <c r="J1265">
        <v>40</v>
      </c>
      <c r="K1265" s="12" t="s">
        <v>176</v>
      </c>
      <c r="L1265">
        <v>0</v>
      </c>
      <c r="M1265">
        <v>0</v>
      </c>
      <c r="O1265" s="39"/>
      <c r="P1265" s="16">
        <v>90234.74</v>
      </c>
      <c r="S1265" s="17"/>
    </row>
    <row r="1266" spans="1:19" x14ac:dyDescent="0.4">
      <c r="A1266">
        <v>6834651</v>
      </c>
      <c r="B1266" s="15">
        <v>20</v>
      </c>
      <c r="C1266" s="12" t="s">
        <v>122</v>
      </c>
      <c r="D1266" s="12" t="s">
        <v>132</v>
      </c>
      <c r="E1266" s="12" t="s">
        <v>150</v>
      </c>
      <c r="F1266" s="12" t="s">
        <v>162</v>
      </c>
      <c r="G1266" s="14">
        <f t="shared" ca="1" si="19"/>
        <v>139078.96400931006</v>
      </c>
      <c r="H1266" s="12" t="s">
        <v>171</v>
      </c>
      <c r="I1266">
        <v>0</v>
      </c>
      <c r="J1266">
        <v>20</v>
      </c>
      <c r="K1266" s="12" t="s">
        <v>176</v>
      </c>
      <c r="L1266">
        <v>0</v>
      </c>
      <c r="M1266">
        <v>0</v>
      </c>
      <c r="O1266" s="39"/>
      <c r="P1266" s="15">
        <v>83320.740000000005</v>
      </c>
      <c r="S1266" s="17"/>
    </row>
    <row r="1267" spans="1:19" x14ac:dyDescent="0.4">
      <c r="A1267">
        <v>6854663</v>
      </c>
      <c r="B1267" s="16">
        <v>66</v>
      </c>
      <c r="C1267" s="12" t="s">
        <v>122</v>
      </c>
      <c r="D1267" s="12" t="s">
        <v>134</v>
      </c>
      <c r="E1267" s="12" t="s">
        <v>153</v>
      </c>
      <c r="F1267" s="12" t="s">
        <v>163</v>
      </c>
      <c r="G1267" s="14">
        <f t="shared" ca="1" si="19"/>
        <v>153575.56136998866</v>
      </c>
      <c r="H1267" s="12" t="s">
        <v>171</v>
      </c>
      <c r="I1267">
        <v>0</v>
      </c>
      <c r="J1267">
        <v>18</v>
      </c>
      <c r="K1267" s="12" t="s">
        <v>176</v>
      </c>
      <c r="L1267">
        <v>0</v>
      </c>
      <c r="M1267">
        <v>0</v>
      </c>
      <c r="O1267" s="39"/>
      <c r="P1267" s="16">
        <v>82304.62</v>
      </c>
      <c r="S1267" s="17"/>
    </row>
    <row r="1268" spans="1:19" x14ac:dyDescent="0.4">
      <c r="A1268">
        <v>6856705</v>
      </c>
      <c r="B1268" s="15">
        <v>22</v>
      </c>
      <c r="C1268" s="12" t="s">
        <v>127</v>
      </c>
      <c r="D1268" s="12" t="s">
        <v>134</v>
      </c>
      <c r="E1268" s="12" t="s">
        <v>150</v>
      </c>
      <c r="F1268" s="12" t="s">
        <v>158</v>
      </c>
      <c r="G1268" s="14">
        <f t="shared" ca="1" si="19"/>
        <v>187906.92101446402</v>
      </c>
      <c r="H1268" s="12" t="s">
        <v>172</v>
      </c>
      <c r="I1268">
        <v>0</v>
      </c>
      <c r="J1268">
        <v>40</v>
      </c>
      <c r="K1268" s="12" t="s">
        <v>176</v>
      </c>
      <c r="L1268">
        <v>0</v>
      </c>
      <c r="M1268">
        <v>0</v>
      </c>
      <c r="O1268" s="39"/>
      <c r="P1268" s="15">
        <v>142682.71</v>
      </c>
      <c r="S1268" s="17"/>
    </row>
    <row r="1269" spans="1:19" x14ac:dyDescent="0.4">
      <c r="A1269">
        <v>6861865</v>
      </c>
      <c r="B1269" s="16">
        <v>27</v>
      </c>
      <c r="C1269" s="12" t="s">
        <v>122</v>
      </c>
      <c r="D1269" s="12" t="s">
        <v>144</v>
      </c>
      <c r="E1269" s="12" t="s">
        <v>150</v>
      </c>
      <c r="F1269" s="12" t="s">
        <v>144</v>
      </c>
      <c r="G1269" s="14">
        <f t="shared" ca="1" si="19"/>
        <v>200771.09757135683</v>
      </c>
      <c r="H1269" s="12" t="s">
        <v>171</v>
      </c>
      <c r="I1269">
        <v>0</v>
      </c>
      <c r="J1269">
        <v>40</v>
      </c>
      <c r="K1269" s="12" t="s">
        <v>176</v>
      </c>
      <c r="L1269">
        <v>0</v>
      </c>
      <c r="M1269">
        <v>0</v>
      </c>
      <c r="O1269" s="39"/>
      <c r="P1269" s="16">
        <v>113236.64</v>
      </c>
      <c r="S1269" s="17"/>
    </row>
    <row r="1270" spans="1:19" x14ac:dyDescent="0.4">
      <c r="A1270">
        <v>6864653</v>
      </c>
      <c r="B1270" s="15">
        <v>49</v>
      </c>
      <c r="C1270" s="12" t="s">
        <v>122</v>
      </c>
      <c r="D1270" s="12" t="s">
        <v>134</v>
      </c>
      <c r="E1270" s="12" t="s">
        <v>152</v>
      </c>
      <c r="F1270" s="12" t="s">
        <v>165</v>
      </c>
      <c r="G1270" s="14">
        <f t="shared" ca="1" si="19"/>
        <v>51306.93212499169</v>
      </c>
      <c r="H1270" s="12" t="s">
        <v>172</v>
      </c>
      <c r="I1270">
        <v>0</v>
      </c>
      <c r="J1270">
        <v>25</v>
      </c>
      <c r="K1270" s="12" t="s">
        <v>176</v>
      </c>
      <c r="L1270">
        <v>0</v>
      </c>
      <c r="M1270">
        <v>0</v>
      </c>
      <c r="O1270" s="39"/>
      <c r="P1270" s="15">
        <v>28246.82</v>
      </c>
      <c r="S1270" s="17"/>
    </row>
    <row r="1271" spans="1:19" x14ac:dyDescent="0.4">
      <c r="A1271">
        <v>6866521</v>
      </c>
      <c r="B1271" s="16">
        <v>48</v>
      </c>
      <c r="C1271" s="12" t="s">
        <v>122</v>
      </c>
      <c r="D1271" s="12" t="s">
        <v>132</v>
      </c>
      <c r="E1271" s="12" t="s">
        <v>149</v>
      </c>
      <c r="F1271" s="12" t="s">
        <v>162</v>
      </c>
      <c r="G1271" s="14">
        <f t="shared" ca="1" si="19"/>
        <v>134383.91221288859</v>
      </c>
      <c r="H1271" s="12" t="s">
        <v>171</v>
      </c>
      <c r="I1271">
        <v>0</v>
      </c>
      <c r="J1271">
        <v>35</v>
      </c>
      <c r="K1271" s="12" t="s">
        <v>176</v>
      </c>
      <c r="L1271">
        <v>0</v>
      </c>
      <c r="M1271">
        <v>0</v>
      </c>
      <c r="O1271" s="39"/>
      <c r="P1271" s="16">
        <v>89533.28</v>
      </c>
      <c r="S1271" s="17"/>
    </row>
    <row r="1272" spans="1:19" x14ac:dyDescent="0.4">
      <c r="A1272">
        <v>6870558</v>
      </c>
      <c r="B1272" s="15">
        <v>39</v>
      </c>
      <c r="C1272" s="12" t="s">
        <v>124</v>
      </c>
      <c r="D1272" s="12" t="s">
        <v>134</v>
      </c>
      <c r="E1272" s="12" t="s">
        <v>151</v>
      </c>
      <c r="F1272" s="12" t="s">
        <v>159</v>
      </c>
      <c r="G1272" s="14">
        <f t="shared" ca="1" si="19"/>
        <v>85459.137212285073</v>
      </c>
      <c r="H1272" s="12" t="s">
        <v>172</v>
      </c>
      <c r="I1272">
        <v>0</v>
      </c>
      <c r="J1272">
        <v>60</v>
      </c>
      <c r="K1272" s="12" t="s">
        <v>176</v>
      </c>
      <c r="L1272">
        <v>0</v>
      </c>
      <c r="M1272">
        <v>0</v>
      </c>
      <c r="O1272" s="39"/>
      <c r="P1272" s="15">
        <v>69184.429999999993</v>
      </c>
      <c r="S1272" s="17"/>
    </row>
    <row r="1273" spans="1:19" x14ac:dyDescent="0.4">
      <c r="A1273">
        <v>6879714</v>
      </c>
      <c r="B1273" s="16">
        <v>26</v>
      </c>
      <c r="C1273" s="12" t="s">
        <v>122</v>
      </c>
      <c r="D1273" s="12" t="s">
        <v>135</v>
      </c>
      <c r="E1273" s="12" t="s">
        <v>150</v>
      </c>
      <c r="F1273" s="12" t="s">
        <v>144</v>
      </c>
      <c r="G1273" s="14">
        <f t="shared" ca="1" si="19"/>
        <v>155944.8008440336</v>
      </c>
      <c r="H1273" s="12" t="s">
        <v>172</v>
      </c>
      <c r="I1273">
        <v>0</v>
      </c>
      <c r="J1273">
        <v>50</v>
      </c>
      <c r="K1273" s="12" t="s">
        <v>176</v>
      </c>
      <c r="L1273">
        <v>0</v>
      </c>
      <c r="M1273">
        <v>0</v>
      </c>
      <c r="O1273" s="39"/>
      <c r="P1273" s="16">
        <v>78180.06</v>
      </c>
      <c r="S1273" s="17"/>
    </row>
    <row r="1274" spans="1:19" x14ac:dyDescent="0.4">
      <c r="A1274">
        <v>6880965</v>
      </c>
      <c r="B1274" s="15">
        <v>37</v>
      </c>
      <c r="C1274" s="12" t="s">
        <v>123</v>
      </c>
      <c r="D1274" s="12" t="s">
        <v>132</v>
      </c>
      <c r="E1274" s="12" t="s">
        <v>152</v>
      </c>
      <c r="F1274" s="12" t="s">
        <v>159</v>
      </c>
      <c r="G1274" s="14">
        <f t="shared" ca="1" si="19"/>
        <v>70000.225264887078</v>
      </c>
      <c r="H1274" s="12" t="s">
        <v>172</v>
      </c>
      <c r="I1274">
        <v>0</v>
      </c>
      <c r="J1274">
        <v>45</v>
      </c>
      <c r="K1274" s="12" t="s">
        <v>176</v>
      </c>
      <c r="L1274">
        <v>0</v>
      </c>
      <c r="M1274">
        <v>0</v>
      </c>
      <c r="O1274" s="39"/>
      <c r="P1274" s="15">
        <v>44108.58</v>
      </c>
      <c r="S1274" s="17"/>
    </row>
    <row r="1275" spans="1:19" x14ac:dyDescent="0.4">
      <c r="A1275">
        <v>6894643</v>
      </c>
      <c r="B1275" s="16">
        <v>40</v>
      </c>
      <c r="C1275" s="12" t="s">
        <v>122</v>
      </c>
      <c r="D1275" s="12" t="s">
        <v>134</v>
      </c>
      <c r="E1275" s="12" t="s">
        <v>151</v>
      </c>
      <c r="F1275" s="12" t="s">
        <v>158</v>
      </c>
      <c r="G1275" s="14">
        <f t="shared" ca="1" si="19"/>
        <v>282799.74845700886</v>
      </c>
      <c r="H1275" s="12" t="s">
        <v>171</v>
      </c>
      <c r="I1275">
        <v>0</v>
      </c>
      <c r="J1275">
        <v>38</v>
      </c>
      <c r="K1275" s="12" t="s">
        <v>176</v>
      </c>
      <c r="L1275">
        <v>0</v>
      </c>
      <c r="M1275">
        <v>0</v>
      </c>
      <c r="O1275" s="39"/>
      <c r="P1275" s="16">
        <v>181816.26</v>
      </c>
      <c r="S1275" s="17"/>
    </row>
    <row r="1276" spans="1:19" x14ac:dyDescent="0.4">
      <c r="A1276">
        <v>6898346</v>
      </c>
      <c r="B1276" s="15">
        <v>23</v>
      </c>
      <c r="C1276" s="12" t="s">
        <v>122</v>
      </c>
      <c r="D1276" s="12" t="s">
        <v>132</v>
      </c>
      <c r="E1276" s="12" t="s">
        <v>150</v>
      </c>
      <c r="F1276" s="12" t="s">
        <v>156</v>
      </c>
      <c r="G1276" s="14">
        <f t="shared" ca="1" si="19"/>
        <v>151688.46953296612</v>
      </c>
      <c r="H1276" s="12" t="s">
        <v>171</v>
      </c>
      <c r="I1276">
        <v>0</v>
      </c>
      <c r="J1276">
        <v>25</v>
      </c>
      <c r="K1276" s="12" t="s">
        <v>176</v>
      </c>
      <c r="L1276">
        <v>0</v>
      </c>
      <c r="M1276">
        <v>0</v>
      </c>
      <c r="O1276" s="39"/>
      <c r="P1276" s="15">
        <v>138686.32</v>
      </c>
      <c r="S1276" s="17"/>
    </row>
    <row r="1277" spans="1:19" x14ac:dyDescent="0.4">
      <c r="A1277">
        <v>6901831</v>
      </c>
      <c r="B1277" s="16">
        <v>32</v>
      </c>
      <c r="C1277" s="12" t="s">
        <v>122</v>
      </c>
      <c r="D1277" s="12" t="s">
        <v>132</v>
      </c>
      <c r="E1277" s="12" t="s">
        <v>152</v>
      </c>
      <c r="F1277" s="12" t="s">
        <v>161</v>
      </c>
      <c r="G1277" s="14">
        <f t="shared" ca="1" si="19"/>
        <v>99188.390138769682</v>
      </c>
      <c r="H1277" s="12" t="s">
        <v>172</v>
      </c>
      <c r="I1277">
        <v>0</v>
      </c>
      <c r="J1277">
        <v>40</v>
      </c>
      <c r="K1277" s="12" t="s">
        <v>176</v>
      </c>
      <c r="L1277">
        <v>0</v>
      </c>
      <c r="M1277">
        <v>0</v>
      </c>
      <c r="O1277" s="39"/>
      <c r="P1277" s="16">
        <v>50724.41</v>
      </c>
      <c r="S1277" s="17"/>
    </row>
    <row r="1278" spans="1:19" x14ac:dyDescent="0.4">
      <c r="A1278">
        <v>6903140</v>
      </c>
      <c r="B1278" s="15">
        <v>30</v>
      </c>
      <c r="C1278" s="12" t="s">
        <v>122</v>
      </c>
      <c r="D1278" s="12" t="s">
        <v>135</v>
      </c>
      <c r="E1278" s="12" t="s">
        <v>152</v>
      </c>
      <c r="F1278" s="12" t="s">
        <v>162</v>
      </c>
      <c r="G1278" s="14">
        <f t="shared" ca="1" si="19"/>
        <v>36845.925584959652</v>
      </c>
      <c r="H1278" s="12" t="s">
        <v>172</v>
      </c>
      <c r="I1278">
        <v>0</v>
      </c>
      <c r="J1278">
        <v>40</v>
      </c>
      <c r="K1278" s="12" t="s">
        <v>184</v>
      </c>
      <c r="L1278">
        <v>0</v>
      </c>
      <c r="M1278">
        <v>0</v>
      </c>
      <c r="O1278" s="39"/>
      <c r="P1278" s="15">
        <v>34798.57</v>
      </c>
      <c r="S1278" s="17"/>
    </row>
    <row r="1279" spans="1:19" x14ac:dyDescent="0.4">
      <c r="A1279">
        <v>6903317</v>
      </c>
      <c r="B1279" s="16">
        <v>17</v>
      </c>
      <c r="C1279" s="12" t="s">
        <v>122</v>
      </c>
      <c r="D1279" s="12" t="s">
        <v>139</v>
      </c>
      <c r="E1279" s="12" t="s">
        <v>150</v>
      </c>
      <c r="F1279" s="12" t="s">
        <v>162</v>
      </c>
      <c r="G1279" s="14">
        <f t="shared" ca="1" si="19"/>
        <v>238603.07686635654</v>
      </c>
      <c r="H1279" s="12" t="s">
        <v>171</v>
      </c>
      <c r="I1279">
        <v>0</v>
      </c>
      <c r="J1279">
        <v>40</v>
      </c>
      <c r="K1279" s="12" t="s">
        <v>176</v>
      </c>
      <c r="L1279">
        <v>0</v>
      </c>
      <c r="M1279">
        <v>0</v>
      </c>
      <c r="O1279" s="39"/>
      <c r="P1279" s="16">
        <v>192993.34</v>
      </c>
      <c r="S1279" s="17"/>
    </row>
    <row r="1280" spans="1:19" x14ac:dyDescent="0.4">
      <c r="A1280">
        <v>6910859</v>
      </c>
      <c r="B1280" s="15">
        <v>39</v>
      </c>
      <c r="C1280" s="12" t="s">
        <v>122</v>
      </c>
      <c r="D1280" s="12" t="s">
        <v>132</v>
      </c>
      <c r="E1280" s="12" t="s">
        <v>152</v>
      </c>
      <c r="F1280" s="12" t="s">
        <v>156</v>
      </c>
      <c r="G1280" s="14">
        <f t="shared" ca="1" si="19"/>
        <v>341592.86546559969</v>
      </c>
      <c r="H1280" s="12" t="s">
        <v>171</v>
      </c>
      <c r="I1280">
        <v>0</v>
      </c>
      <c r="J1280">
        <v>15</v>
      </c>
      <c r="K1280" s="12" t="s">
        <v>176</v>
      </c>
      <c r="L1280">
        <v>0</v>
      </c>
      <c r="M1280">
        <v>0</v>
      </c>
      <c r="O1280" s="39"/>
      <c r="P1280" s="15">
        <v>271169.59000000003</v>
      </c>
      <c r="S1280" s="17"/>
    </row>
    <row r="1281" spans="1:19" x14ac:dyDescent="0.4">
      <c r="A1281">
        <v>6911067</v>
      </c>
      <c r="B1281" s="16">
        <v>30</v>
      </c>
      <c r="C1281" s="12" t="s">
        <v>122</v>
      </c>
      <c r="D1281" s="12" t="s">
        <v>137</v>
      </c>
      <c r="E1281" s="12" t="s">
        <v>151</v>
      </c>
      <c r="F1281" s="12" t="s">
        <v>158</v>
      </c>
      <c r="G1281" s="14">
        <f t="shared" ca="1" si="19"/>
        <v>308835.82958906452</v>
      </c>
      <c r="H1281" s="12" t="s">
        <v>171</v>
      </c>
      <c r="I1281">
        <v>0</v>
      </c>
      <c r="J1281">
        <v>24</v>
      </c>
      <c r="K1281" s="12" t="s">
        <v>176</v>
      </c>
      <c r="L1281">
        <v>0</v>
      </c>
      <c r="M1281">
        <v>0</v>
      </c>
      <c r="O1281" s="39"/>
      <c r="P1281" s="16">
        <v>219562.46</v>
      </c>
      <c r="S1281" s="17"/>
    </row>
    <row r="1282" spans="1:19" x14ac:dyDescent="0.4">
      <c r="A1282">
        <v>6914064</v>
      </c>
      <c r="B1282" s="15">
        <v>62</v>
      </c>
      <c r="C1282" s="12" t="s">
        <v>122</v>
      </c>
      <c r="D1282" s="12" t="s">
        <v>137</v>
      </c>
      <c r="E1282" s="12" t="s">
        <v>151</v>
      </c>
      <c r="F1282" s="12" t="s">
        <v>156</v>
      </c>
      <c r="G1282" s="14">
        <f t="shared" ca="1" si="19"/>
        <v>52940.190649145581</v>
      </c>
      <c r="H1282" s="12" t="s">
        <v>172</v>
      </c>
      <c r="I1282">
        <v>0</v>
      </c>
      <c r="J1282">
        <v>40</v>
      </c>
      <c r="K1282" s="12" t="s">
        <v>176</v>
      </c>
      <c r="L1282">
        <v>0</v>
      </c>
      <c r="M1282">
        <v>0</v>
      </c>
      <c r="O1282" s="39"/>
      <c r="P1282" s="15">
        <v>30741.98</v>
      </c>
      <c r="S1282" s="17"/>
    </row>
    <row r="1283" spans="1:19" x14ac:dyDescent="0.4">
      <c r="A1283">
        <v>6915045</v>
      </c>
      <c r="B1283" s="16">
        <v>34</v>
      </c>
      <c r="C1283" s="12" t="s">
        <v>122</v>
      </c>
      <c r="D1283" s="12" t="s">
        <v>135</v>
      </c>
      <c r="E1283" s="12" t="s">
        <v>152</v>
      </c>
      <c r="F1283" s="12" t="s">
        <v>160</v>
      </c>
      <c r="G1283" s="14">
        <f t="shared" ca="1" si="19"/>
        <v>68892.994886067056</v>
      </c>
      <c r="H1283" s="12" t="s">
        <v>172</v>
      </c>
      <c r="I1283">
        <v>0</v>
      </c>
      <c r="J1283">
        <v>55</v>
      </c>
      <c r="K1283" s="12" t="s">
        <v>176</v>
      </c>
      <c r="L1283">
        <v>3103</v>
      </c>
      <c r="M1283">
        <v>1</v>
      </c>
      <c r="O1283" s="39"/>
      <c r="P1283" s="16">
        <v>63952.56</v>
      </c>
      <c r="S1283" s="17"/>
    </row>
    <row r="1284" spans="1:19" x14ac:dyDescent="0.4">
      <c r="A1284">
        <v>6921197</v>
      </c>
      <c r="B1284" s="15">
        <v>54</v>
      </c>
      <c r="C1284" s="12" t="s">
        <v>122</v>
      </c>
      <c r="D1284" s="12" t="s">
        <v>135</v>
      </c>
      <c r="E1284" s="12" t="s">
        <v>152</v>
      </c>
      <c r="F1284" s="12" t="s">
        <v>163</v>
      </c>
      <c r="G1284" s="14">
        <f t="shared" ca="1" si="19"/>
        <v>32730.251492062071</v>
      </c>
      <c r="H1284" s="12" t="s">
        <v>172</v>
      </c>
      <c r="I1284">
        <v>0</v>
      </c>
      <c r="J1284">
        <v>25</v>
      </c>
      <c r="K1284" s="12" t="s">
        <v>176</v>
      </c>
      <c r="L1284">
        <v>2992</v>
      </c>
      <c r="M1284">
        <v>1</v>
      </c>
      <c r="O1284" s="39"/>
      <c r="P1284" s="15">
        <v>17770.939999999999</v>
      </c>
      <c r="S1284" s="17"/>
    </row>
    <row r="1285" spans="1:19" x14ac:dyDescent="0.4">
      <c r="A1285">
        <v>6924609</v>
      </c>
      <c r="B1285" s="16">
        <v>70</v>
      </c>
      <c r="C1285" s="12" t="s">
        <v>123</v>
      </c>
      <c r="D1285" s="12" t="s">
        <v>138</v>
      </c>
      <c r="E1285" s="12" t="s">
        <v>152</v>
      </c>
      <c r="F1285" s="12" t="s">
        <v>160</v>
      </c>
      <c r="G1285" s="14">
        <f t="shared" ca="1" si="19"/>
        <v>6780.0026707795059</v>
      </c>
      <c r="H1285" s="12" t="s">
        <v>172</v>
      </c>
      <c r="I1285">
        <v>2246</v>
      </c>
      <c r="J1285">
        <v>8</v>
      </c>
      <c r="K1285" s="12" t="s">
        <v>176</v>
      </c>
      <c r="L1285">
        <v>7387</v>
      </c>
      <c r="M1285">
        <v>1</v>
      </c>
      <c r="O1285" s="39"/>
      <c r="P1285" s="16">
        <v>6642.99</v>
      </c>
      <c r="S1285" s="17"/>
    </row>
    <row r="1286" spans="1:19" x14ac:dyDescent="0.4">
      <c r="A1286">
        <v>6941838</v>
      </c>
      <c r="B1286" s="15">
        <v>28</v>
      </c>
      <c r="C1286" s="12" t="s">
        <v>122</v>
      </c>
      <c r="D1286" s="12" t="s">
        <v>134</v>
      </c>
      <c r="E1286" s="12" t="s">
        <v>150</v>
      </c>
      <c r="F1286" s="12" t="s">
        <v>158</v>
      </c>
      <c r="G1286" s="14">
        <f t="shared" ca="1" si="19"/>
        <v>202403.63808053665</v>
      </c>
      <c r="H1286" s="12" t="s">
        <v>172</v>
      </c>
      <c r="I1286">
        <v>0</v>
      </c>
      <c r="J1286">
        <v>40</v>
      </c>
      <c r="K1286" s="12" t="s">
        <v>129</v>
      </c>
      <c r="L1286">
        <v>0</v>
      </c>
      <c r="M1286">
        <v>0</v>
      </c>
      <c r="O1286" s="39"/>
      <c r="P1286" s="15">
        <v>110747.81</v>
      </c>
      <c r="S1286" s="17"/>
    </row>
    <row r="1287" spans="1:19" x14ac:dyDescent="0.4">
      <c r="A1287">
        <v>6952978</v>
      </c>
      <c r="B1287" s="16">
        <v>25</v>
      </c>
      <c r="C1287" s="12" t="s">
        <v>122</v>
      </c>
      <c r="D1287" s="12" t="s">
        <v>135</v>
      </c>
      <c r="E1287" s="12" t="s">
        <v>150</v>
      </c>
      <c r="F1287" s="12" t="s">
        <v>162</v>
      </c>
      <c r="G1287" s="14">
        <f t="shared" ca="1" si="19"/>
        <v>83814.190242702709</v>
      </c>
      <c r="H1287" s="12" t="s">
        <v>172</v>
      </c>
      <c r="I1287">
        <v>0</v>
      </c>
      <c r="J1287">
        <v>65</v>
      </c>
      <c r="K1287" s="12" t="s">
        <v>176</v>
      </c>
      <c r="L1287">
        <v>0</v>
      </c>
      <c r="M1287">
        <v>0</v>
      </c>
      <c r="O1287" s="39"/>
      <c r="P1287" s="16">
        <v>79994.06</v>
      </c>
      <c r="S1287" s="17"/>
    </row>
    <row r="1288" spans="1:19" x14ac:dyDescent="0.4">
      <c r="A1288">
        <v>6958310</v>
      </c>
      <c r="B1288" s="15">
        <v>38</v>
      </c>
      <c r="C1288" s="12" t="s">
        <v>122</v>
      </c>
      <c r="D1288" s="12" t="s">
        <v>135</v>
      </c>
      <c r="E1288" s="12" t="s">
        <v>152</v>
      </c>
      <c r="F1288" s="12" t="s">
        <v>144</v>
      </c>
      <c r="G1288" s="14">
        <f t="shared" ca="1" si="19"/>
        <v>28540.265167820136</v>
      </c>
      <c r="H1288" s="12" t="s">
        <v>172</v>
      </c>
      <c r="I1288">
        <v>0</v>
      </c>
      <c r="J1288">
        <v>50</v>
      </c>
      <c r="K1288" s="12" t="s">
        <v>176</v>
      </c>
      <c r="L1288">
        <v>7298</v>
      </c>
      <c r="M1288">
        <v>1</v>
      </c>
      <c r="O1288" s="39"/>
      <c r="P1288" s="15">
        <v>27677.84</v>
      </c>
      <c r="S1288" s="17"/>
    </row>
    <row r="1289" spans="1:19" x14ac:dyDescent="0.4">
      <c r="A1289">
        <v>6965390</v>
      </c>
      <c r="B1289" s="16">
        <v>61</v>
      </c>
      <c r="C1289" s="12" t="s">
        <v>122</v>
      </c>
      <c r="D1289" s="12" t="s">
        <v>134</v>
      </c>
      <c r="E1289" s="12" t="s">
        <v>152</v>
      </c>
      <c r="F1289" s="12" t="s">
        <v>158</v>
      </c>
      <c r="G1289" s="14">
        <f t="shared" ca="1" si="19"/>
        <v>81353.603384010406</v>
      </c>
      <c r="H1289" s="12" t="s">
        <v>172</v>
      </c>
      <c r="I1289">
        <v>0</v>
      </c>
      <c r="J1289">
        <v>3</v>
      </c>
      <c r="K1289" s="12" t="s">
        <v>176</v>
      </c>
      <c r="L1289">
        <v>0</v>
      </c>
      <c r="M1289">
        <v>0</v>
      </c>
      <c r="O1289" s="39"/>
      <c r="P1289" s="16">
        <v>47715.87</v>
      </c>
      <c r="S1289" s="17"/>
    </row>
    <row r="1290" spans="1:19" x14ac:dyDescent="0.4">
      <c r="A1290">
        <v>6968450</v>
      </c>
      <c r="B1290" s="15">
        <v>18</v>
      </c>
      <c r="C1290" s="12" t="s">
        <v>122</v>
      </c>
      <c r="D1290" s="12" t="s">
        <v>139</v>
      </c>
      <c r="E1290" s="12" t="s">
        <v>150</v>
      </c>
      <c r="F1290" s="12" t="s">
        <v>162</v>
      </c>
      <c r="G1290" s="14">
        <f t="shared" ca="1" si="19"/>
        <v>154965.57552916047</v>
      </c>
      <c r="H1290" s="12" t="s">
        <v>171</v>
      </c>
      <c r="I1290">
        <v>0</v>
      </c>
      <c r="J1290">
        <v>30</v>
      </c>
      <c r="K1290" s="12" t="s">
        <v>176</v>
      </c>
      <c r="L1290">
        <v>0</v>
      </c>
      <c r="M1290">
        <v>0</v>
      </c>
      <c r="O1290" s="39"/>
      <c r="P1290" s="15">
        <v>82780.210000000006</v>
      </c>
      <c r="S1290" s="17"/>
    </row>
    <row r="1291" spans="1:19" x14ac:dyDescent="0.4">
      <c r="A1291">
        <v>6971886</v>
      </c>
      <c r="B1291" s="16">
        <v>38</v>
      </c>
      <c r="C1291" s="12" t="s">
        <v>122</v>
      </c>
      <c r="D1291" s="12" t="s">
        <v>135</v>
      </c>
      <c r="E1291" s="12" t="s">
        <v>151</v>
      </c>
      <c r="F1291" s="12" t="s">
        <v>156</v>
      </c>
      <c r="G1291" s="14">
        <f t="shared" ref="G1291:G1354" ca="1" si="20">P1291*(1+RAND())</f>
        <v>73071.175678491971</v>
      </c>
      <c r="H1291" s="12" t="s">
        <v>171</v>
      </c>
      <c r="I1291">
        <v>0</v>
      </c>
      <c r="J1291">
        <v>60</v>
      </c>
      <c r="K1291" s="12" t="s">
        <v>129</v>
      </c>
      <c r="L1291">
        <v>0</v>
      </c>
      <c r="M1291">
        <v>0</v>
      </c>
      <c r="O1291" s="39"/>
      <c r="P1291" s="16">
        <v>56310.23</v>
      </c>
      <c r="S1291" s="17"/>
    </row>
    <row r="1292" spans="1:19" x14ac:dyDescent="0.4">
      <c r="A1292">
        <v>6972471</v>
      </c>
      <c r="B1292" s="15">
        <v>47</v>
      </c>
      <c r="C1292" s="12" t="s">
        <v>126</v>
      </c>
      <c r="D1292" s="12" t="s">
        <v>135</v>
      </c>
      <c r="E1292" s="12" t="s">
        <v>152</v>
      </c>
      <c r="F1292" s="12" t="s">
        <v>156</v>
      </c>
      <c r="G1292" s="14">
        <f t="shared" ca="1" si="20"/>
        <v>45246.344988536948</v>
      </c>
      <c r="H1292" s="12" t="s">
        <v>172</v>
      </c>
      <c r="I1292">
        <v>0</v>
      </c>
      <c r="J1292">
        <v>40</v>
      </c>
      <c r="K1292" s="12" t="s">
        <v>176</v>
      </c>
      <c r="L1292">
        <v>0</v>
      </c>
      <c r="M1292">
        <v>0</v>
      </c>
      <c r="O1292" s="39"/>
      <c r="P1292" s="15">
        <v>31145.279999999999</v>
      </c>
      <c r="S1292" s="17"/>
    </row>
    <row r="1293" spans="1:19" x14ac:dyDescent="0.4">
      <c r="A1293">
        <v>6972761</v>
      </c>
      <c r="B1293" s="16">
        <v>44</v>
      </c>
      <c r="C1293" s="12" t="s">
        <v>127</v>
      </c>
      <c r="D1293" s="12" t="s">
        <v>133</v>
      </c>
      <c r="E1293" s="12" t="s">
        <v>152</v>
      </c>
      <c r="F1293" s="12" t="s">
        <v>158</v>
      </c>
      <c r="G1293" s="14">
        <f t="shared" ca="1" si="20"/>
        <v>44024.892265511466</v>
      </c>
      <c r="H1293" s="12" t="s">
        <v>172</v>
      </c>
      <c r="I1293">
        <v>0</v>
      </c>
      <c r="J1293">
        <v>40</v>
      </c>
      <c r="K1293" s="12" t="s">
        <v>176</v>
      </c>
      <c r="L1293">
        <v>6545</v>
      </c>
      <c r="M1293">
        <v>1</v>
      </c>
      <c r="O1293" s="39"/>
      <c r="P1293" s="16">
        <v>36891</v>
      </c>
      <c r="S1293" s="17"/>
    </row>
    <row r="1294" spans="1:19" x14ac:dyDescent="0.4">
      <c r="A1294">
        <v>7016349</v>
      </c>
      <c r="B1294" s="15">
        <v>36</v>
      </c>
      <c r="C1294" s="12" t="s">
        <v>122</v>
      </c>
      <c r="D1294" s="12" t="s">
        <v>134</v>
      </c>
      <c r="E1294" s="12" t="s">
        <v>150</v>
      </c>
      <c r="F1294" s="12" t="s">
        <v>158</v>
      </c>
      <c r="G1294" s="14">
        <f t="shared" ca="1" si="20"/>
        <v>83748.726482652259</v>
      </c>
      <c r="H1294" s="12" t="s">
        <v>171</v>
      </c>
      <c r="I1294">
        <v>0</v>
      </c>
      <c r="J1294">
        <v>40</v>
      </c>
      <c r="K1294" s="12" t="s">
        <v>176</v>
      </c>
      <c r="L1294">
        <v>0</v>
      </c>
      <c r="M1294">
        <v>0</v>
      </c>
      <c r="O1294" s="39"/>
      <c r="P1294" s="15">
        <v>69718.880000000005</v>
      </c>
      <c r="S1294" s="17"/>
    </row>
    <row r="1295" spans="1:19" x14ac:dyDescent="0.4">
      <c r="A1295">
        <v>7017016</v>
      </c>
      <c r="B1295" s="16">
        <v>29</v>
      </c>
      <c r="C1295" s="12" t="s">
        <v>129</v>
      </c>
      <c r="D1295" s="12" t="s">
        <v>134</v>
      </c>
      <c r="E1295" s="12" t="s">
        <v>149</v>
      </c>
      <c r="F1295" s="12" t="s">
        <v>129</v>
      </c>
      <c r="G1295" s="14">
        <f t="shared" ca="1" si="20"/>
        <v>369151.50965767016</v>
      </c>
      <c r="H1295" s="12" t="s">
        <v>171</v>
      </c>
      <c r="I1295">
        <v>0</v>
      </c>
      <c r="J1295">
        <v>20</v>
      </c>
      <c r="K1295" s="12" t="s">
        <v>176</v>
      </c>
      <c r="L1295">
        <v>0</v>
      </c>
      <c r="M1295">
        <v>0</v>
      </c>
      <c r="O1295" s="39"/>
      <c r="P1295" s="16">
        <v>228913.53</v>
      </c>
      <c r="S1295" s="17"/>
    </row>
    <row r="1296" spans="1:19" x14ac:dyDescent="0.4">
      <c r="A1296">
        <v>7025539</v>
      </c>
      <c r="B1296" s="15">
        <v>21</v>
      </c>
      <c r="C1296" s="12" t="s">
        <v>122</v>
      </c>
      <c r="D1296" s="12" t="s">
        <v>134</v>
      </c>
      <c r="E1296" s="12" t="s">
        <v>150</v>
      </c>
      <c r="F1296" s="12" t="s">
        <v>164</v>
      </c>
      <c r="G1296" s="14">
        <f t="shared" ca="1" si="20"/>
        <v>260566.18614506736</v>
      </c>
      <c r="H1296" s="12" t="s">
        <v>172</v>
      </c>
      <c r="I1296">
        <v>0</v>
      </c>
      <c r="J1296">
        <v>38</v>
      </c>
      <c r="K1296" s="12" t="s">
        <v>177</v>
      </c>
      <c r="L1296">
        <v>0</v>
      </c>
      <c r="M1296">
        <v>0</v>
      </c>
      <c r="O1296" s="39"/>
      <c r="P1296" s="15">
        <v>146282.46</v>
      </c>
      <c r="S1296" s="17"/>
    </row>
    <row r="1297" spans="1:19" x14ac:dyDescent="0.4">
      <c r="A1297">
        <v>7037101</v>
      </c>
      <c r="B1297" s="16">
        <v>29</v>
      </c>
      <c r="C1297" s="12" t="s">
        <v>122</v>
      </c>
      <c r="D1297" s="12" t="s">
        <v>135</v>
      </c>
      <c r="E1297" s="12" t="s">
        <v>152</v>
      </c>
      <c r="F1297" s="12" t="s">
        <v>163</v>
      </c>
      <c r="G1297" s="14">
        <f t="shared" ca="1" si="20"/>
        <v>59616.230878028204</v>
      </c>
      <c r="H1297" s="12" t="s">
        <v>172</v>
      </c>
      <c r="I1297">
        <v>0</v>
      </c>
      <c r="J1297">
        <v>40</v>
      </c>
      <c r="K1297" s="12" t="s">
        <v>176</v>
      </c>
      <c r="L1297">
        <v>0</v>
      </c>
      <c r="M1297">
        <v>0</v>
      </c>
      <c r="O1297" s="39"/>
      <c r="P1297" s="16">
        <v>40596.39</v>
      </c>
      <c r="S1297" s="17"/>
    </row>
    <row r="1298" spans="1:19" x14ac:dyDescent="0.4">
      <c r="A1298">
        <v>7037845</v>
      </c>
      <c r="B1298" s="15">
        <v>20</v>
      </c>
      <c r="C1298" s="12" t="s">
        <v>122</v>
      </c>
      <c r="D1298" s="12" t="s">
        <v>132</v>
      </c>
      <c r="E1298" s="12" t="s">
        <v>150</v>
      </c>
      <c r="F1298" s="12" t="s">
        <v>144</v>
      </c>
      <c r="G1298" s="14">
        <f t="shared" ca="1" si="20"/>
        <v>154452.60749532774</v>
      </c>
      <c r="H1298" s="12" t="s">
        <v>171</v>
      </c>
      <c r="I1298">
        <v>0</v>
      </c>
      <c r="J1298">
        <v>15</v>
      </c>
      <c r="K1298" s="12" t="s">
        <v>176</v>
      </c>
      <c r="L1298">
        <v>0</v>
      </c>
      <c r="M1298">
        <v>0</v>
      </c>
      <c r="O1298" s="39"/>
      <c r="P1298" s="15">
        <v>141235.48000000001</v>
      </c>
      <c r="S1298" s="17"/>
    </row>
    <row r="1299" spans="1:19" x14ac:dyDescent="0.4">
      <c r="A1299">
        <v>7047262</v>
      </c>
      <c r="B1299" s="16">
        <v>36</v>
      </c>
      <c r="C1299" s="12" t="s">
        <v>127</v>
      </c>
      <c r="D1299" s="12" t="s">
        <v>134</v>
      </c>
      <c r="E1299" s="12" t="s">
        <v>152</v>
      </c>
      <c r="F1299" s="12" t="s">
        <v>158</v>
      </c>
      <c r="G1299" s="14">
        <f t="shared" ca="1" si="20"/>
        <v>50275.940175065312</v>
      </c>
      <c r="H1299" s="12" t="s">
        <v>172</v>
      </c>
      <c r="I1299">
        <v>0</v>
      </c>
      <c r="J1299">
        <v>40</v>
      </c>
      <c r="K1299" s="12" t="s">
        <v>176</v>
      </c>
      <c r="L1299">
        <v>0</v>
      </c>
      <c r="M1299">
        <v>0</v>
      </c>
      <c r="O1299" s="39"/>
      <c r="P1299" s="16">
        <v>36509.39</v>
      </c>
      <c r="S1299" s="17"/>
    </row>
    <row r="1300" spans="1:19" x14ac:dyDescent="0.4">
      <c r="A1300">
        <v>7048772</v>
      </c>
      <c r="B1300" s="15">
        <v>25</v>
      </c>
      <c r="C1300" s="12" t="s">
        <v>122</v>
      </c>
      <c r="D1300" s="12" t="s">
        <v>132</v>
      </c>
      <c r="E1300" s="12" t="s">
        <v>152</v>
      </c>
      <c r="F1300" s="12" t="s">
        <v>144</v>
      </c>
      <c r="G1300" s="14">
        <f t="shared" ca="1" si="20"/>
        <v>78388.337415534988</v>
      </c>
      <c r="H1300" s="12" t="s">
        <v>172</v>
      </c>
      <c r="I1300">
        <v>0</v>
      </c>
      <c r="J1300">
        <v>45</v>
      </c>
      <c r="K1300" s="12" t="s">
        <v>176</v>
      </c>
      <c r="L1300">
        <v>0</v>
      </c>
      <c r="M1300">
        <v>0</v>
      </c>
      <c r="O1300" s="39"/>
      <c r="P1300" s="15">
        <v>39876.300000000003</v>
      </c>
      <c r="S1300" s="17"/>
    </row>
    <row r="1301" spans="1:19" x14ac:dyDescent="0.4">
      <c r="A1301">
        <v>7055229</v>
      </c>
      <c r="B1301" s="16">
        <v>31</v>
      </c>
      <c r="C1301" s="12" t="s">
        <v>127</v>
      </c>
      <c r="D1301" s="12" t="s">
        <v>132</v>
      </c>
      <c r="E1301" s="12" t="s">
        <v>150</v>
      </c>
      <c r="F1301" s="12" t="s">
        <v>163</v>
      </c>
      <c r="G1301" s="14">
        <f t="shared" ca="1" si="20"/>
        <v>152011.1856302557</v>
      </c>
      <c r="H1301" s="12" t="s">
        <v>172</v>
      </c>
      <c r="I1301">
        <v>0</v>
      </c>
      <c r="J1301">
        <v>40</v>
      </c>
      <c r="K1301" s="12" t="s">
        <v>176</v>
      </c>
      <c r="L1301">
        <v>0</v>
      </c>
      <c r="M1301">
        <v>0</v>
      </c>
      <c r="O1301" s="39"/>
      <c r="P1301" s="16">
        <v>104913.34</v>
      </c>
      <c r="S1301" s="17"/>
    </row>
    <row r="1302" spans="1:19" x14ac:dyDescent="0.4">
      <c r="A1302">
        <v>7055740</v>
      </c>
      <c r="B1302" s="15">
        <v>45</v>
      </c>
      <c r="C1302" s="12" t="s">
        <v>123</v>
      </c>
      <c r="D1302" s="12" t="s">
        <v>132</v>
      </c>
      <c r="E1302" s="12" t="s">
        <v>150</v>
      </c>
      <c r="F1302" s="12" t="s">
        <v>162</v>
      </c>
      <c r="G1302" s="14">
        <f t="shared" ca="1" si="20"/>
        <v>71184.444906428253</v>
      </c>
      <c r="H1302" s="12" t="s">
        <v>172</v>
      </c>
      <c r="I1302">
        <v>0</v>
      </c>
      <c r="J1302">
        <v>55</v>
      </c>
      <c r="K1302" s="12" t="s">
        <v>176</v>
      </c>
      <c r="L1302">
        <v>0</v>
      </c>
      <c r="M1302">
        <v>0</v>
      </c>
      <c r="O1302" s="39"/>
      <c r="P1302" s="15">
        <v>47118.62</v>
      </c>
      <c r="S1302" s="17"/>
    </row>
    <row r="1303" spans="1:19" x14ac:dyDescent="0.4">
      <c r="A1303">
        <v>7073624</v>
      </c>
      <c r="B1303" s="16">
        <v>59</v>
      </c>
      <c r="C1303" s="12" t="s">
        <v>122</v>
      </c>
      <c r="D1303" s="12" t="s">
        <v>134</v>
      </c>
      <c r="E1303" s="12" t="s">
        <v>151</v>
      </c>
      <c r="F1303" s="12" t="s">
        <v>161</v>
      </c>
      <c r="G1303" s="14">
        <f t="shared" ca="1" si="20"/>
        <v>262761.66633028415</v>
      </c>
      <c r="H1303" s="12" t="s">
        <v>171</v>
      </c>
      <c r="I1303">
        <v>0</v>
      </c>
      <c r="J1303">
        <v>40</v>
      </c>
      <c r="K1303" s="12" t="s">
        <v>176</v>
      </c>
      <c r="L1303">
        <v>0</v>
      </c>
      <c r="M1303">
        <v>0</v>
      </c>
      <c r="O1303" s="39"/>
      <c r="P1303" s="16">
        <v>149446.38</v>
      </c>
      <c r="S1303" s="17"/>
    </row>
    <row r="1304" spans="1:19" x14ac:dyDescent="0.4">
      <c r="A1304">
        <v>7074934</v>
      </c>
      <c r="B1304" s="15">
        <v>22</v>
      </c>
      <c r="C1304" s="12" t="s">
        <v>122</v>
      </c>
      <c r="D1304" s="12" t="s">
        <v>132</v>
      </c>
      <c r="E1304" s="12" t="s">
        <v>150</v>
      </c>
      <c r="F1304" s="12" t="s">
        <v>158</v>
      </c>
      <c r="G1304" s="14">
        <f t="shared" ca="1" si="20"/>
        <v>156599.57043094386</v>
      </c>
      <c r="H1304" s="12" t="s">
        <v>172</v>
      </c>
      <c r="I1304">
        <v>0</v>
      </c>
      <c r="J1304">
        <v>25</v>
      </c>
      <c r="K1304" s="12" t="s">
        <v>204</v>
      </c>
      <c r="L1304">
        <v>0</v>
      </c>
      <c r="M1304">
        <v>0</v>
      </c>
      <c r="O1304" s="39"/>
      <c r="P1304" s="15">
        <v>137941.07</v>
      </c>
      <c r="S1304" s="17"/>
    </row>
    <row r="1305" spans="1:19" x14ac:dyDescent="0.4">
      <c r="A1305">
        <v>7080792</v>
      </c>
      <c r="B1305" s="16">
        <v>46</v>
      </c>
      <c r="C1305" s="12" t="s">
        <v>122</v>
      </c>
      <c r="D1305" s="12" t="s">
        <v>141</v>
      </c>
      <c r="E1305" s="12" t="s">
        <v>152</v>
      </c>
      <c r="F1305" s="12" t="s">
        <v>144</v>
      </c>
      <c r="G1305" s="14">
        <f t="shared" ca="1" si="20"/>
        <v>56048.360937889331</v>
      </c>
      <c r="H1305" s="12" t="s">
        <v>172</v>
      </c>
      <c r="I1305">
        <v>0</v>
      </c>
      <c r="J1305">
        <v>70</v>
      </c>
      <c r="K1305" s="12" t="s">
        <v>176</v>
      </c>
      <c r="L1305">
        <v>0</v>
      </c>
      <c r="M1305">
        <v>0</v>
      </c>
      <c r="O1305" s="39"/>
      <c r="P1305" s="16">
        <v>45933.25</v>
      </c>
      <c r="S1305" s="17"/>
    </row>
    <row r="1306" spans="1:19" x14ac:dyDescent="0.4">
      <c r="A1306">
        <v>7082414</v>
      </c>
      <c r="B1306" s="15">
        <v>34</v>
      </c>
      <c r="C1306" s="12" t="s">
        <v>122</v>
      </c>
      <c r="D1306" s="12" t="s">
        <v>135</v>
      </c>
      <c r="E1306" s="12" t="s">
        <v>152</v>
      </c>
      <c r="F1306" s="12" t="s">
        <v>144</v>
      </c>
      <c r="G1306" s="14">
        <f t="shared" ca="1" si="20"/>
        <v>91269.017671048801</v>
      </c>
      <c r="H1306" s="12" t="s">
        <v>172</v>
      </c>
      <c r="I1306">
        <v>0</v>
      </c>
      <c r="J1306">
        <v>40</v>
      </c>
      <c r="K1306" s="12" t="s">
        <v>176</v>
      </c>
      <c r="L1306">
        <v>10620</v>
      </c>
      <c r="M1306">
        <v>1</v>
      </c>
      <c r="O1306" s="39"/>
      <c r="P1306" s="15">
        <v>46006.17</v>
      </c>
      <c r="S1306" s="17"/>
    </row>
    <row r="1307" spans="1:19" x14ac:dyDescent="0.4">
      <c r="A1307">
        <v>7097995</v>
      </c>
      <c r="B1307" s="16">
        <v>18</v>
      </c>
      <c r="C1307" s="12" t="s">
        <v>122</v>
      </c>
      <c r="D1307" s="12" t="s">
        <v>132</v>
      </c>
      <c r="E1307" s="12" t="s">
        <v>150</v>
      </c>
      <c r="F1307" s="12" t="s">
        <v>162</v>
      </c>
      <c r="G1307" s="14">
        <f t="shared" ca="1" si="20"/>
        <v>200377.71408948794</v>
      </c>
      <c r="H1307" s="12" t="s">
        <v>171</v>
      </c>
      <c r="I1307">
        <v>0</v>
      </c>
      <c r="J1307">
        <v>35</v>
      </c>
      <c r="K1307" s="12" t="s">
        <v>176</v>
      </c>
      <c r="L1307">
        <v>0</v>
      </c>
      <c r="M1307">
        <v>0</v>
      </c>
      <c r="O1307" s="39"/>
      <c r="P1307" s="16">
        <v>142608.4</v>
      </c>
      <c r="S1307" s="17"/>
    </row>
    <row r="1308" spans="1:19" x14ac:dyDescent="0.4">
      <c r="A1308">
        <v>7100876</v>
      </c>
      <c r="B1308" s="15">
        <v>27</v>
      </c>
      <c r="C1308" s="12" t="s">
        <v>122</v>
      </c>
      <c r="D1308" s="12" t="s">
        <v>137</v>
      </c>
      <c r="E1308" s="12" t="s">
        <v>151</v>
      </c>
      <c r="F1308" s="12" t="s">
        <v>162</v>
      </c>
      <c r="G1308" s="14">
        <f t="shared" ca="1" si="20"/>
        <v>44586.574823541188</v>
      </c>
      <c r="H1308" s="12" t="s">
        <v>171</v>
      </c>
      <c r="I1308">
        <v>0</v>
      </c>
      <c r="J1308">
        <v>40</v>
      </c>
      <c r="K1308" s="12" t="s">
        <v>176</v>
      </c>
      <c r="L1308">
        <v>0</v>
      </c>
      <c r="M1308">
        <v>0</v>
      </c>
      <c r="O1308" s="39"/>
      <c r="P1308" s="15">
        <v>31081.8</v>
      </c>
      <c r="S1308" s="17"/>
    </row>
    <row r="1309" spans="1:19" x14ac:dyDescent="0.4">
      <c r="A1309">
        <v>7102499</v>
      </c>
      <c r="B1309" s="16">
        <v>69</v>
      </c>
      <c r="C1309" s="12" t="s">
        <v>123</v>
      </c>
      <c r="D1309" s="12" t="s">
        <v>145</v>
      </c>
      <c r="E1309" s="12" t="s">
        <v>150</v>
      </c>
      <c r="F1309" s="12" t="s">
        <v>165</v>
      </c>
      <c r="G1309" s="14">
        <f t="shared" ca="1" si="20"/>
        <v>300053.38022184593</v>
      </c>
      <c r="H1309" s="12" t="s">
        <v>172</v>
      </c>
      <c r="I1309">
        <v>0</v>
      </c>
      <c r="J1309">
        <v>10</v>
      </c>
      <c r="K1309" s="12" t="s">
        <v>176</v>
      </c>
      <c r="L1309">
        <v>0</v>
      </c>
      <c r="M1309">
        <v>0</v>
      </c>
      <c r="O1309" s="39"/>
      <c r="P1309" s="16">
        <v>174177.99</v>
      </c>
      <c r="S1309" s="17"/>
    </row>
    <row r="1310" spans="1:19" x14ac:dyDescent="0.4">
      <c r="A1310">
        <v>7104569</v>
      </c>
      <c r="B1310" s="15">
        <v>29</v>
      </c>
      <c r="C1310" s="12" t="s">
        <v>122</v>
      </c>
      <c r="D1310" s="12" t="s">
        <v>134</v>
      </c>
      <c r="E1310" s="12" t="s">
        <v>152</v>
      </c>
      <c r="F1310" s="12" t="s">
        <v>159</v>
      </c>
      <c r="G1310" s="14">
        <f t="shared" ca="1" si="20"/>
        <v>51513.060241406689</v>
      </c>
      <c r="H1310" s="12" t="s">
        <v>172</v>
      </c>
      <c r="I1310">
        <v>0</v>
      </c>
      <c r="J1310">
        <v>40</v>
      </c>
      <c r="K1310" s="12" t="s">
        <v>176</v>
      </c>
      <c r="L1310">
        <v>0</v>
      </c>
      <c r="M1310">
        <v>0</v>
      </c>
      <c r="O1310" s="39"/>
      <c r="P1310" s="15">
        <v>25774.62</v>
      </c>
      <c r="S1310" s="17"/>
    </row>
    <row r="1311" spans="1:19" x14ac:dyDescent="0.4">
      <c r="A1311">
        <v>7104855</v>
      </c>
      <c r="B1311" s="16">
        <v>55</v>
      </c>
      <c r="C1311" s="12" t="s">
        <v>122</v>
      </c>
      <c r="D1311" s="12" t="s">
        <v>138</v>
      </c>
      <c r="E1311" s="12" t="s">
        <v>152</v>
      </c>
      <c r="F1311" s="12" t="s">
        <v>144</v>
      </c>
      <c r="G1311" s="14">
        <f t="shared" ca="1" si="20"/>
        <v>25651.845399781603</v>
      </c>
      <c r="H1311" s="12" t="s">
        <v>172</v>
      </c>
      <c r="I1311">
        <v>0</v>
      </c>
      <c r="J1311">
        <v>40</v>
      </c>
      <c r="K1311" s="12" t="s">
        <v>176</v>
      </c>
      <c r="L1311">
        <v>8050</v>
      </c>
      <c r="M1311">
        <v>1</v>
      </c>
      <c r="O1311" s="39"/>
      <c r="P1311" s="16">
        <v>24932.3</v>
      </c>
      <c r="S1311" s="17"/>
    </row>
    <row r="1312" spans="1:19" x14ac:dyDescent="0.4">
      <c r="A1312">
        <v>7109081</v>
      </c>
      <c r="B1312" s="15">
        <v>46</v>
      </c>
      <c r="C1312" s="12" t="s">
        <v>122</v>
      </c>
      <c r="D1312" s="12" t="s">
        <v>135</v>
      </c>
      <c r="E1312" s="12" t="s">
        <v>150</v>
      </c>
      <c r="F1312" s="12" t="s">
        <v>158</v>
      </c>
      <c r="G1312" s="14">
        <f t="shared" ca="1" si="20"/>
        <v>177202.99714583124</v>
      </c>
      <c r="H1312" s="12" t="s">
        <v>171</v>
      </c>
      <c r="I1312">
        <v>0</v>
      </c>
      <c r="J1312">
        <v>40</v>
      </c>
      <c r="K1312" s="12" t="s">
        <v>178</v>
      </c>
      <c r="L1312">
        <v>0</v>
      </c>
      <c r="M1312">
        <v>0</v>
      </c>
      <c r="O1312" s="39"/>
      <c r="P1312" s="15">
        <v>99540.11</v>
      </c>
      <c r="S1312" s="17"/>
    </row>
    <row r="1313" spans="1:19" x14ac:dyDescent="0.4">
      <c r="A1313">
        <v>7109281</v>
      </c>
      <c r="B1313" s="16">
        <v>38</v>
      </c>
      <c r="C1313" s="12" t="s">
        <v>123</v>
      </c>
      <c r="D1313" s="12" t="s">
        <v>134</v>
      </c>
      <c r="E1313" s="12" t="s">
        <v>152</v>
      </c>
      <c r="F1313" s="12" t="s">
        <v>159</v>
      </c>
      <c r="G1313" s="14">
        <f t="shared" ca="1" si="20"/>
        <v>34629.218315296435</v>
      </c>
      <c r="H1313" s="12" t="s">
        <v>172</v>
      </c>
      <c r="I1313">
        <v>0</v>
      </c>
      <c r="J1313">
        <v>60</v>
      </c>
      <c r="K1313" s="12" t="s">
        <v>176</v>
      </c>
      <c r="L1313">
        <v>0</v>
      </c>
      <c r="M1313">
        <v>0</v>
      </c>
      <c r="O1313" s="39"/>
      <c r="P1313" s="16">
        <v>19394.14</v>
      </c>
      <c r="S1313" s="17"/>
    </row>
    <row r="1314" spans="1:19" x14ac:dyDescent="0.4">
      <c r="A1314">
        <v>7118305</v>
      </c>
      <c r="B1314" s="15">
        <v>23</v>
      </c>
      <c r="C1314" s="12" t="s">
        <v>122</v>
      </c>
      <c r="D1314" s="12" t="s">
        <v>132</v>
      </c>
      <c r="E1314" s="12" t="s">
        <v>150</v>
      </c>
      <c r="F1314" s="12" t="s">
        <v>162</v>
      </c>
      <c r="G1314" s="14">
        <f t="shared" ca="1" si="20"/>
        <v>233937.23648464528</v>
      </c>
      <c r="H1314" s="12" t="s">
        <v>172</v>
      </c>
      <c r="I1314">
        <v>0</v>
      </c>
      <c r="J1314">
        <v>25</v>
      </c>
      <c r="K1314" s="12" t="s">
        <v>176</v>
      </c>
      <c r="L1314">
        <v>0</v>
      </c>
      <c r="M1314">
        <v>0</v>
      </c>
      <c r="O1314" s="39"/>
      <c r="P1314" s="15">
        <v>199505.89</v>
      </c>
      <c r="S1314" s="17"/>
    </row>
    <row r="1315" spans="1:19" x14ac:dyDescent="0.4">
      <c r="A1315">
        <v>7119182</v>
      </c>
      <c r="B1315" s="16">
        <v>54</v>
      </c>
      <c r="C1315" s="12" t="s">
        <v>122</v>
      </c>
      <c r="D1315" s="12" t="s">
        <v>139</v>
      </c>
      <c r="E1315" s="12" t="s">
        <v>152</v>
      </c>
      <c r="F1315" s="12" t="s">
        <v>156</v>
      </c>
      <c r="G1315" s="14">
        <f t="shared" ca="1" si="20"/>
        <v>279589.43875832867</v>
      </c>
      <c r="H1315" s="12" t="s">
        <v>171</v>
      </c>
      <c r="I1315">
        <v>0</v>
      </c>
      <c r="J1315">
        <v>40</v>
      </c>
      <c r="K1315" s="12" t="s">
        <v>176</v>
      </c>
      <c r="L1315">
        <v>0</v>
      </c>
      <c r="M1315">
        <v>1</v>
      </c>
      <c r="O1315" s="39"/>
      <c r="P1315" s="16">
        <v>148034.34</v>
      </c>
      <c r="S1315" s="17"/>
    </row>
    <row r="1316" spans="1:19" x14ac:dyDescent="0.4">
      <c r="A1316">
        <v>7121867</v>
      </c>
      <c r="B1316" s="15">
        <v>45</v>
      </c>
      <c r="C1316" s="12" t="s">
        <v>123</v>
      </c>
      <c r="D1316" s="12" t="s">
        <v>135</v>
      </c>
      <c r="E1316" s="12" t="s">
        <v>152</v>
      </c>
      <c r="F1316" s="12" t="s">
        <v>162</v>
      </c>
      <c r="G1316" s="14">
        <f t="shared" ca="1" si="20"/>
        <v>39332.44594058158</v>
      </c>
      <c r="H1316" s="12" t="s">
        <v>172</v>
      </c>
      <c r="I1316">
        <v>0</v>
      </c>
      <c r="J1316">
        <v>40</v>
      </c>
      <c r="K1316" s="12" t="s">
        <v>176</v>
      </c>
      <c r="L1316">
        <v>6945</v>
      </c>
      <c r="M1316">
        <v>1</v>
      </c>
      <c r="O1316" s="39"/>
      <c r="P1316" s="15">
        <v>30255.32</v>
      </c>
      <c r="S1316" s="17"/>
    </row>
    <row r="1317" spans="1:19" x14ac:dyDescent="0.4">
      <c r="A1317">
        <v>7125445</v>
      </c>
      <c r="B1317" s="16">
        <v>43</v>
      </c>
      <c r="C1317" s="12" t="s">
        <v>123</v>
      </c>
      <c r="D1317" s="12" t="s">
        <v>135</v>
      </c>
      <c r="E1317" s="12" t="s">
        <v>152</v>
      </c>
      <c r="F1317" s="12" t="s">
        <v>159</v>
      </c>
      <c r="G1317" s="14">
        <f t="shared" ca="1" si="20"/>
        <v>51763.191409500076</v>
      </c>
      <c r="H1317" s="12" t="s">
        <v>172</v>
      </c>
      <c r="I1317">
        <v>0</v>
      </c>
      <c r="J1317">
        <v>40</v>
      </c>
      <c r="K1317" s="12" t="s">
        <v>176</v>
      </c>
      <c r="L1317">
        <v>7821</v>
      </c>
      <c r="M1317">
        <v>1</v>
      </c>
      <c r="O1317" s="39"/>
      <c r="P1317" s="16">
        <v>33763.1</v>
      </c>
      <c r="S1317" s="17"/>
    </row>
    <row r="1318" spans="1:19" x14ac:dyDescent="0.4">
      <c r="A1318">
        <v>7131765</v>
      </c>
      <c r="B1318" s="15">
        <v>27</v>
      </c>
      <c r="C1318" s="12" t="s">
        <v>122</v>
      </c>
      <c r="D1318" s="12" t="s">
        <v>134</v>
      </c>
      <c r="E1318" s="12" t="s">
        <v>152</v>
      </c>
      <c r="F1318" s="12" t="s">
        <v>161</v>
      </c>
      <c r="G1318" s="14">
        <f t="shared" ca="1" si="20"/>
        <v>48802.034170378633</v>
      </c>
      <c r="H1318" s="12" t="s">
        <v>172</v>
      </c>
      <c r="I1318">
        <v>0</v>
      </c>
      <c r="J1318">
        <v>40</v>
      </c>
      <c r="K1318" s="12" t="s">
        <v>176</v>
      </c>
      <c r="L1318">
        <v>0</v>
      </c>
      <c r="M1318">
        <v>0</v>
      </c>
      <c r="O1318" s="39"/>
      <c r="P1318" s="15">
        <v>31663.72</v>
      </c>
      <c r="S1318" s="17"/>
    </row>
    <row r="1319" spans="1:19" x14ac:dyDescent="0.4">
      <c r="A1319">
        <v>7136501</v>
      </c>
      <c r="B1319" s="16">
        <v>46</v>
      </c>
      <c r="C1319" s="12" t="s">
        <v>122</v>
      </c>
      <c r="D1319" s="12" t="s">
        <v>132</v>
      </c>
      <c r="E1319" s="12" t="s">
        <v>152</v>
      </c>
      <c r="F1319" s="12" t="s">
        <v>158</v>
      </c>
      <c r="G1319" s="14">
        <f t="shared" ca="1" si="20"/>
        <v>476886.17145120347</v>
      </c>
      <c r="H1319" s="12" t="s">
        <v>171</v>
      </c>
      <c r="I1319">
        <v>0</v>
      </c>
      <c r="J1319">
        <v>40</v>
      </c>
      <c r="K1319" s="12" t="s">
        <v>176</v>
      </c>
      <c r="L1319">
        <v>7976</v>
      </c>
      <c r="M1319">
        <v>1</v>
      </c>
      <c r="O1319" s="39"/>
      <c r="P1319" s="16">
        <v>291625.90000000002</v>
      </c>
      <c r="S1319" s="17"/>
    </row>
    <row r="1320" spans="1:19" x14ac:dyDescent="0.4">
      <c r="A1320">
        <v>7137194</v>
      </c>
      <c r="B1320" s="15">
        <v>20</v>
      </c>
      <c r="C1320" s="12" t="s">
        <v>124</v>
      </c>
      <c r="D1320" s="12" t="s">
        <v>134</v>
      </c>
      <c r="E1320" s="12" t="s">
        <v>150</v>
      </c>
      <c r="F1320" s="12" t="s">
        <v>161</v>
      </c>
      <c r="G1320" s="14">
        <f t="shared" ca="1" si="20"/>
        <v>70470.641819029348</v>
      </c>
      <c r="H1320" s="12" t="s">
        <v>171</v>
      </c>
      <c r="I1320">
        <v>0</v>
      </c>
      <c r="J1320">
        <v>30</v>
      </c>
      <c r="K1320" s="12" t="s">
        <v>176</v>
      </c>
      <c r="L1320">
        <v>0</v>
      </c>
      <c r="M1320">
        <v>0</v>
      </c>
      <c r="O1320" s="39"/>
      <c r="P1320" s="15">
        <v>36037.58</v>
      </c>
      <c r="S1320" s="17"/>
    </row>
    <row r="1321" spans="1:19" x14ac:dyDescent="0.4">
      <c r="A1321">
        <v>7138368</v>
      </c>
      <c r="B1321" s="16">
        <v>22</v>
      </c>
      <c r="C1321" s="12" t="s">
        <v>123</v>
      </c>
      <c r="D1321" s="12" t="s">
        <v>135</v>
      </c>
      <c r="E1321" s="12" t="s">
        <v>150</v>
      </c>
      <c r="F1321" s="12" t="s">
        <v>144</v>
      </c>
      <c r="G1321" s="14">
        <f t="shared" ca="1" si="20"/>
        <v>327745.5871032952</v>
      </c>
      <c r="H1321" s="12" t="s">
        <v>172</v>
      </c>
      <c r="I1321">
        <v>0</v>
      </c>
      <c r="J1321">
        <v>20</v>
      </c>
      <c r="K1321" s="12" t="s">
        <v>184</v>
      </c>
      <c r="L1321">
        <v>0</v>
      </c>
      <c r="M1321">
        <v>0</v>
      </c>
      <c r="O1321" s="39"/>
      <c r="P1321" s="16">
        <v>212377.87</v>
      </c>
      <c r="S1321" s="17"/>
    </row>
    <row r="1322" spans="1:19" x14ac:dyDescent="0.4">
      <c r="A1322">
        <v>7138727</v>
      </c>
      <c r="B1322" s="15">
        <v>50</v>
      </c>
      <c r="C1322" s="12" t="s">
        <v>124</v>
      </c>
      <c r="D1322" s="12" t="s">
        <v>141</v>
      </c>
      <c r="E1322" s="12" t="s">
        <v>152</v>
      </c>
      <c r="F1322" s="12" t="s">
        <v>144</v>
      </c>
      <c r="G1322" s="14">
        <f t="shared" ca="1" si="20"/>
        <v>35863.359662372779</v>
      </c>
      <c r="H1322" s="12" t="s">
        <v>172</v>
      </c>
      <c r="I1322">
        <v>0</v>
      </c>
      <c r="J1322">
        <v>60</v>
      </c>
      <c r="K1322" s="12" t="s">
        <v>176</v>
      </c>
      <c r="L1322">
        <v>15024</v>
      </c>
      <c r="M1322">
        <v>1</v>
      </c>
      <c r="O1322" s="39"/>
      <c r="P1322" s="15">
        <v>32009.01</v>
      </c>
      <c r="S1322" s="17"/>
    </row>
    <row r="1323" spans="1:19" x14ac:dyDescent="0.4">
      <c r="A1323">
        <v>7143275</v>
      </c>
      <c r="B1323" s="16">
        <v>36</v>
      </c>
      <c r="C1323" s="12" t="s">
        <v>122</v>
      </c>
      <c r="D1323" s="12" t="s">
        <v>134</v>
      </c>
      <c r="E1323" s="12" t="s">
        <v>152</v>
      </c>
      <c r="F1323" s="12" t="s">
        <v>161</v>
      </c>
      <c r="G1323" s="14">
        <f t="shared" ca="1" si="20"/>
        <v>32341.168711489441</v>
      </c>
      <c r="H1323" s="12" t="s">
        <v>172</v>
      </c>
      <c r="I1323">
        <v>0</v>
      </c>
      <c r="J1323">
        <v>60</v>
      </c>
      <c r="K1323" s="12" t="s">
        <v>176</v>
      </c>
      <c r="L1323">
        <v>0</v>
      </c>
      <c r="M1323">
        <v>0</v>
      </c>
      <c r="O1323" s="39"/>
      <c r="P1323" s="16">
        <v>24877.03</v>
      </c>
      <c r="S1323" s="17"/>
    </row>
    <row r="1324" spans="1:19" x14ac:dyDescent="0.4">
      <c r="A1324">
        <v>7144854</v>
      </c>
      <c r="B1324" s="15">
        <v>44</v>
      </c>
      <c r="C1324" s="12" t="s">
        <v>122</v>
      </c>
      <c r="D1324" s="12" t="s">
        <v>138</v>
      </c>
      <c r="E1324" s="12" t="s">
        <v>150</v>
      </c>
      <c r="F1324" s="12" t="s">
        <v>144</v>
      </c>
      <c r="G1324" s="14">
        <f t="shared" ca="1" si="20"/>
        <v>68819.322434707748</v>
      </c>
      <c r="H1324" s="12" t="s">
        <v>171</v>
      </c>
      <c r="I1324">
        <v>0</v>
      </c>
      <c r="J1324">
        <v>35</v>
      </c>
      <c r="K1324" s="12" t="s">
        <v>176</v>
      </c>
      <c r="L1324">
        <v>0</v>
      </c>
      <c r="M1324">
        <v>0</v>
      </c>
      <c r="O1324" s="39"/>
      <c r="P1324" s="15">
        <v>65309.11</v>
      </c>
      <c r="S1324" s="17"/>
    </row>
    <row r="1325" spans="1:19" x14ac:dyDescent="0.4">
      <c r="A1325">
        <v>7145188</v>
      </c>
      <c r="B1325" s="16">
        <v>29</v>
      </c>
      <c r="C1325" s="12" t="s">
        <v>122</v>
      </c>
      <c r="D1325" s="12" t="s">
        <v>134</v>
      </c>
      <c r="E1325" s="12" t="s">
        <v>152</v>
      </c>
      <c r="F1325" s="12" t="s">
        <v>157</v>
      </c>
      <c r="G1325" s="14">
        <f t="shared" ca="1" si="20"/>
        <v>74815.163756793554</v>
      </c>
      <c r="H1325" s="12" t="s">
        <v>172</v>
      </c>
      <c r="I1325">
        <v>0</v>
      </c>
      <c r="J1325">
        <v>60</v>
      </c>
      <c r="K1325" s="12" t="s">
        <v>176</v>
      </c>
      <c r="L1325">
        <v>0</v>
      </c>
      <c r="M1325">
        <v>0</v>
      </c>
      <c r="O1325" s="39"/>
      <c r="P1325" s="16">
        <v>40994.99</v>
      </c>
      <c r="S1325" s="17"/>
    </row>
    <row r="1326" spans="1:19" x14ac:dyDescent="0.4">
      <c r="A1326">
        <v>7147460</v>
      </c>
      <c r="B1326" s="15">
        <v>29</v>
      </c>
      <c r="C1326" s="12" t="s">
        <v>122</v>
      </c>
      <c r="D1326" s="12" t="s">
        <v>134</v>
      </c>
      <c r="E1326" s="12" t="s">
        <v>152</v>
      </c>
      <c r="F1326" s="12" t="s">
        <v>161</v>
      </c>
      <c r="G1326" s="14">
        <f t="shared" ca="1" si="20"/>
        <v>47817.803899027451</v>
      </c>
      <c r="H1326" s="12" t="s">
        <v>172</v>
      </c>
      <c r="I1326">
        <v>0</v>
      </c>
      <c r="J1326">
        <v>50</v>
      </c>
      <c r="K1326" s="12" t="s">
        <v>176</v>
      </c>
      <c r="L1326">
        <v>0</v>
      </c>
      <c r="M1326">
        <v>0</v>
      </c>
      <c r="O1326" s="39"/>
      <c r="P1326" s="15">
        <v>29511.31</v>
      </c>
      <c r="S1326" s="17"/>
    </row>
    <row r="1327" spans="1:19" x14ac:dyDescent="0.4">
      <c r="A1327">
        <v>7149254</v>
      </c>
      <c r="B1327" s="16">
        <v>51</v>
      </c>
      <c r="C1327" s="12" t="s">
        <v>122</v>
      </c>
      <c r="D1327" s="12" t="s">
        <v>135</v>
      </c>
      <c r="E1327" s="12" t="s">
        <v>151</v>
      </c>
      <c r="F1327" s="12" t="s">
        <v>160</v>
      </c>
      <c r="G1327" s="14">
        <f t="shared" ca="1" si="20"/>
        <v>160306.45603700349</v>
      </c>
      <c r="H1327" s="12" t="s">
        <v>172</v>
      </c>
      <c r="I1327">
        <v>0</v>
      </c>
      <c r="J1327">
        <v>50</v>
      </c>
      <c r="K1327" s="12" t="s">
        <v>176</v>
      </c>
      <c r="L1327">
        <v>0</v>
      </c>
      <c r="M1327">
        <v>0</v>
      </c>
      <c r="O1327" s="39"/>
      <c r="P1327" s="16">
        <v>99435.1</v>
      </c>
      <c r="S1327" s="17"/>
    </row>
    <row r="1328" spans="1:19" x14ac:dyDescent="0.4">
      <c r="A1328">
        <v>7150665</v>
      </c>
      <c r="B1328" s="15">
        <v>28</v>
      </c>
      <c r="C1328" s="12" t="s">
        <v>125</v>
      </c>
      <c r="D1328" s="12" t="s">
        <v>135</v>
      </c>
      <c r="E1328" s="12" t="s">
        <v>152</v>
      </c>
      <c r="F1328" s="12" t="s">
        <v>166</v>
      </c>
      <c r="G1328" s="14">
        <f t="shared" ca="1" si="20"/>
        <v>58670.773772805107</v>
      </c>
      <c r="H1328" s="12" t="s">
        <v>172</v>
      </c>
      <c r="I1328">
        <v>0</v>
      </c>
      <c r="J1328">
        <v>42</v>
      </c>
      <c r="K1328" s="12" t="s">
        <v>176</v>
      </c>
      <c r="L1328">
        <v>3532</v>
      </c>
      <c r="M1328">
        <v>1</v>
      </c>
      <c r="O1328" s="39"/>
      <c r="P1328" s="15">
        <v>39495.410000000003</v>
      </c>
      <c r="S1328" s="17"/>
    </row>
    <row r="1329" spans="1:19" x14ac:dyDescent="0.4">
      <c r="A1329">
        <v>7151071</v>
      </c>
      <c r="B1329" s="16">
        <v>59</v>
      </c>
      <c r="C1329" s="12" t="s">
        <v>124</v>
      </c>
      <c r="D1329" s="12" t="s">
        <v>133</v>
      </c>
      <c r="E1329" s="12" t="s">
        <v>152</v>
      </c>
      <c r="F1329" s="12" t="s">
        <v>159</v>
      </c>
      <c r="G1329" s="14">
        <f t="shared" ca="1" si="20"/>
        <v>58056.866447573855</v>
      </c>
      <c r="H1329" s="12" t="s">
        <v>172</v>
      </c>
      <c r="I1329">
        <v>0</v>
      </c>
      <c r="J1329">
        <v>40</v>
      </c>
      <c r="K1329" s="12" t="s">
        <v>176</v>
      </c>
      <c r="L1329">
        <v>0</v>
      </c>
      <c r="M1329">
        <v>0</v>
      </c>
      <c r="O1329" s="39"/>
      <c r="P1329" s="16">
        <v>30614.87</v>
      </c>
      <c r="S1329" s="17"/>
    </row>
    <row r="1330" spans="1:19" x14ac:dyDescent="0.4">
      <c r="A1330">
        <v>7152020</v>
      </c>
      <c r="B1330" s="15">
        <v>18</v>
      </c>
      <c r="C1330" s="12" t="s">
        <v>122</v>
      </c>
      <c r="D1330" s="12" t="s">
        <v>134</v>
      </c>
      <c r="E1330" s="12" t="s">
        <v>150</v>
      </c>
      <c r="F1330" s="12" t="s">
        <v>164</v>
      </c>
      <c r="G1330" s="14">
        <f t="shared" ca="1" si="20"/>
        <v>116561.58072457713</v>
      </c>
      <c r="H1330" s="12" t="s">
        <v>172</v>
      </c>
      <c r="I1330">
        <v>0</v>
      </c>
      <c r="J1330">
        <v>40</v>
      </c>
      <c r="K1330" s="12" t="s">
        <v>176</v>
      </c>
      <c r="L1330">
        <v>0</v>
      </c>
      <c r="M1330">
        <v>0</v>
      </c>
      <c r="O1330" s="39"/>
      <c r="P1330" s="15">
        <v>79100.58</v>
      </c>
      <c r="S1330" s="17"/>
    </row>
    <row r="1331" spans="1:19" x14ac:dyDescent="0.4">
      <c r="A1331">
        <v>7157004</v>
      </c>
      <c r="B1331" s="16">
        <v>18</v>
      </c>
      <c r="C1331" s="12" t="s">
        <v>129</v>
      </c>
      <c r="D1331" s="12" t="s">
        <v>139</v>
      </c>
      <c r="E1331" s="12" t="s">
        <v>150</v>
      </c>
      <c r="F1331" s="12" t="s">
        <v>129</v>
      </c>
      <c r="G1331" s="14">
        <f t="shared" ca="1" si="20"/>
        <v>125227.21860262804</v>
      </c>
      <c r="H1331" s="12" t="s">
        <v>172</v>
      </c>
      <c r="I1331">
        <v>0</v>
      </c>
      <c r="J1331">
        <v>36</v>
      </c>
      <c r="K1331" s="12" t="s">
        <v>176</v>
      </c>
      <c r="L1331">
        <v>0</v>
      </c>
      <c r="M1331">
        <v>0</v>
      </c>
      <c r="O1331" s="39"/>
      <c r="P1331" s="16">
        <v>109723.67</v>
      </c>
      <c r="S1331" s="17"/>
    </row>
    <row r="1332" spans="1:19" x14ac:dyDescent="0.4">
      <c r="A1332">
        <v>7159199</v>
      </c>
      <c r="B1332" s="15">
        <v>42</v>
      </c>
      <c r="C1332" s="12" t="s">
        <v>122</v>
      </c>
      <c r="D1332" s="12" t="s">
        <v>140</v>
      </c>
      <c r="E1332" s="12" t="s">
        <v>152</v>
      </c>
      <c r="F1332" s="12" t="s">
        <v>157</v>
      </c>
      <c r="G1332" s="14">
        <f t="shared" ca="1" si="20"/>
        <v>71707.303186535588</v>
      </c>
      <c r="H1332" s="12" t="s">
        <v>172</v>
      </c>
      <c r="I1332">
        <v>0</v>
      </c>
      <c r="J1332">
        <v>50</v>
      </c>
      <c r="K1332" s="12" t="s">
        <v>176</v>
      </c>
      <c r="L1332">
        <v>0</v>
      </c>
      <c r="M1332">
        <v>0</v>
      </c>
      <c r="O1332" s="39"/>
      <c r="P1332" s="15">
        <v>54238.97</v>
      </c>
      <c r="S1332" s="17"/>
    </row>
    <row r="1333" spans="1:19" x14ac:dyDescent="0.4">
      <c r="A1333">
        <v>7162515</v>
      </c>
      <c r="B1333" s="16">
        <v>39</v>
      </c>
      <c r="C1333" s="12" t="s">
        <v>122</v>
      </c>
      <c r="D1333" s="12" t="s">
        <v>134</v>
      </c>
      <c r="E1333" s="12" t="s">
        <v>152</v>
      </c>
      <c r="F1333" s="12" t="s">
        <v>162</v>
      </c>
      <c r="G1333" s="14">
        <f t="shared" ca="1" si="20"/>
        <v>46266.358720926422</v>
      </c>
      <c r="H1333" s="12" t="s">
        <v>172</v>
      </c>
      <c r="I1333">
        <v>0</v>
      </c>
      <c r="J1333">
        <v>40</v>
      </c>
      <c r="K1333" s="12" t="s">
        <v>176</v>
      </c>
      <c r="L1333">
        <v>0</v>
      </c>
      <c r="M1333">
        <v>1</v>
      </c>
      <c r="O1333" s="39"/>
      <c r="P1333" s="16">
        <v>36839.339999999997</v>
      </c>
      <c r="S1333" s="17"/>
    </row>
    <row r="1334" spans="1:19" x14ac:dyDescent="0.4">
      <c r="A1334">
        <v>7168241</v>
      </c>
      <c r="B1334" s="15">
        <v>24</v>
      </c>
      <c r="C1334" s="12" t="s">
        <v>122</v>
      </c>
      <c r="D1334" s="12" t="s">
        <v>134</v>
      </c>
      <c r="E1334" s="12" t="s">
        <v>150</v>
      </c>
      <c r="F1334" s="12" t="s">
        <v>159</v>
      </c>
      <c r="G1334" s="14">
        <f t="shared" ca="1" si="20"/>
        <v>97874.435929815852</v>
      </c>
      <c r="H1334" s="12" t="s">
        <v>172</v>
      </c>
      <c r="I1334">
        <v>0</v>
      </c>
      <c r="J1334">
        <v>40</v>
      </c>
      <c r="K1334" s="12" t="s">
        <v>176</v>
      </c>
      <c r="L1334">
        <v>0</v>
      </c>
      <c r="M1334">
        <v>0</v>
      </c>
      <c r="O1334" s="39"/>
      <c r="P1334" s="15">
        <v>65928.98</v>
      </c>
      <c r="S1334" s="17"/>
    </row>
    <row r="1335" spans="1:19" x14ac:dyDescent="0.4">
      <c r="A1335">
        <v>7169195</v>
      </c>
      <c r="B1335" s="16">
        <v>40</v>
      </c>
      <c r="C1335" s="12" t="s">
        <v>123</v>
      </c>
      <c r="D1335" s="12" t="s">
        <v>144</v>
      </c>
      <c r="E1335" s="12" t="s">
        <v>152</v>
      </c>
      <c r="F1335" s="12" t="s">
        <v>144</v>
      </c>
      <c r="G1335" s="14">
        <f t="shared" ca="1" si="20"/>
        <v>27812.141215386724</v>
      </c>
      <c r="H1335" s="12" t="s">
        <v>172</v>
      </c>
      <c r="I1335">
        <v>0</v>
      </c>
      <c r="J1335">
        <v>70</v>
      </c>
      <c r="K1335" s="12" t="s">
        <v>176</v>
      </c>
      <c r="L1335">
        <v>99999</v>
      </c>
      <c r="M1335">
        <v>1</v>
      </c>
      <c r="O1335" s="39"/>
      <c r="P1335" s="16">
        <v>17863.060000000001</v>
      </c>
      <c r="S1335" s="17"/>
    </row>
    <row r="1336" spans="1:19" x14ac:dyDescent="0.4">
      <c r="A1336">
        <v>7174548</v>
      </c>
      <c r="B1336" s="15">
        <v>66</v>
      </c>
      <c r="C1336" s="12" t="s">
        <v>129</v>
      </c>
      <c r="D1336" s="12" t="s">
        <v>134</v>
      </c>
      <c r="E1336" s="12" t="s">
        <v>152</v>
      </c>
      <c r="F1336" s="12" t="s">
        <v>129</v>
      </c>
      <c r="G1336" s="14">
        <f t="shared" ca="1" si="20"/>
        <v>40462.341042168649</v>
      </c>
      <c r="H1336" s="12" t="s">
        <v>172</v>
      </c>
      <c r="I1336">
        <v>0</v>
      </c>
      <c r="J1336">
        <v>18</v>
      </c>
      <c r="K1336" s="12" t="s">
        <v>176</v>
      </c>
      <c r="L1336">
        <v>0</v>
      </c>
      <c r="M1336">
        <v>0</v>
      </c>
      <c r="O1336" s="39"/>
      <c r="P1336" s="15">
        <v>35298.69</v>
      </c>
      <c r="S1336" s="17"/>
    </row>
    <row r="1337" spans="1:19" x14ac:dyDescent="0.4">
      <c r="A1337">
        <v>7174595</v>
      </c>
      <c r="B1337" s="16">
        <v>47</v>
      </c>
      <c r="C1337" s="12" t="s">
        <v>122</v>
      </c>
      <c r="D1337" s="12" t="s">
        <v>134</v>
      </c>
      <c r="E1337" s="12" t="s">
        <v>152</v>
      </c>
      <c r="F1337" s="12" t="s">
        <v>160</v>
      </c>
      <c r="G1337" s="14">
        <f t="shared" ca="1" si="20"/>
        <v>119329.31778599613</v>
      </c>
      <c r="H1337" s="12" t="s">
        <v>172</v>
      </c>
      <c r="I1337">
        <v>0</v>
      </c>
      <c r="J1337">
        <v>40</v>
      </c>
      <c r="K1337" s="12" t="s">
        <v>176</v>
      </c>
      <c r="L1337">
        <v>6553</v>
      </c>
      <c r="M1337">
        <v>1</v>
      </c>
      <c r="O1337" s="39"/>
      <c r="P1337" s="16">
        <v>61082.19</v>
      </c>
      <c r="S1337" s="17"/>
    </row>
    <row r="1338" spans="1:19" x14ac:dyDescent="0.4">
      <c r="A1338">
        <v>7174671</v>
      </c>
      <c r="B1338" s="15">
        <v>18</v>
      </c>
      <c r="C1338" s="12" t="s">
        <v>122</v>
      </c>
      <c r="D1338" s="12" t="s">
        <v>139</v>
      </c>
      <c r="E1338" s="12" t="s">
        <v>150</v>
      </c>
      <c r="F1338" s="12" t="s">
        <v>162</v>
      </c>
      <c r="G1338" s="14">
        <f t="shared" ca="1" si="20"/>
        <v>150642.43546796209</v>
      </c>
      <c r="H1338" s="12" t="s">
        <v>172</v>
      </c>
      <c r="I1338">
        <v>0</v>
      </c>
      <c r="J1338">
        <v>18</v>
      </c>
      <c r="K1338" s="12" t="s">
        <v>176</v>
      </c>
      <c r="L1338">
        <v>0</v>
      </c>
      <c r="M1338">
        <v>0</v>
      </c>
      <c r="O1338" s="39"/>
      <c r="P1338" s="15">
        <v>98383.87</v>
      </c>
      <c r="S1338" s="17"/>
    </row>
    <row r="1339" spans="1:19" x14ac:dyDescent="0.4">
      <c r="A1339">
        <v>7185566</v>
      </c>
      <c r="B1339" s="16">
        <v>40</v>
      </c>
      <c r="C1339" s="12" t="s">
        <v>122</v>
      </c>
      <c r="D1339" s="12" t="s">
        <v>135</v>
      </c>
      <c r="E1339" s="12" t="s">
        <v>152</v>
      </c>
      <c r="F1339" s="12" t="s">
        <v>158</v>
      </c>
      <c r="G1339" s="14">
        <f t="shared" ca="1" si="20"/>
        <v>191399.02151076388</v>
      </c>
      <c r="H1339" s="12" t="s">
        <v>171</v>
      </c>
      <c r="I1339">
        <v>0</v>
      </c>
      <c r="J1339">
        <v>40</v>
      </c>
      <c r="K1339" s="12" t="s">
        <v>176</v>
      </c>
      <c r="L1339">
        <v>0</v>
      </c>
      <c r="M1339">
        <v>0</v>
      </c>
      <c r="O1339" s="39"/>
      <c r="P1339" s="16">
        <v>187945.04</v>
      </c>
      <c r="S1339" s="17"/>
    </row>
    <row r="1340" spans="1:19" x14ac:dyDescent="0.4">
      <c r="A1340">
        <v>7188002</v>
      </c>
      <c r="B1340" s="15">
        <v>24</v>
      </c>
      <c r="C1340" s="12" t="s">
        <v>122</v>
      </c>
      <c r="D1340" s="12" t="s">
        <v>132</v>
      </c>
      <c r="E1340" s="12" t="s">
        <v>150</v>
      </c>
      <c r="F1340" s="12" t="s">
        <v>161</v>
      </c>
      <c r="G1340" s="14">
        <f t="shared" ca="1" si="20"/>
        <v>34785.380296187403</v>
      </c>
      <c r="H1340" s="12" t="s">
        <v>172</v>
      </c>
      <c r="I1340">
        <v>0</v>
      </c>
      <c r="J1340">
        <v>40</v>
      </c>
      <c r="K1340" s="12" t="s">
        <v>176</v>
      </c>
      <c r="L1340">
        <v>0</v>
      </c>
      <c r="M1340">
        <v>0</v>
      </c>
      <c r="O1340" s="39"/>
      <c r="P1340" s="15">
        <v>26120.47</v>
      </c>
      <c r="S1340" s="17"/>
    </row>
    <row r="1341" spans="1:19" x14ac:dyDescent="0.4">
      <c r="A1341">
        <v>7193522</v>
      </c>
      <c r="B1341" s="16">
        <v>18</v>
      </c>
      <c r="C1341" s="12" t="s">
        <v>122</v>
      </c>
      <c r="D1341" s="12" t="s">
        <v>134</v>
      </c>
      <c r="E1341" s="12" t="s">
        <v>150</v>
      </c>
      <c r="F1341" s="12" t="s">
        <v>162</v>
      </c>
      <c r="G1341" s="14">
        <f t="shared" ca="1" si="20"/>
        <v>194665.65226126352</v>
      </c>
      <c r="H1341" s="12" t="s">
        <v>171</v>
      </c>
      <c r="I1341">
        <v>0</v>
      </c>
      <c r="J1341">
        <v>25</v>
      </c>
      <c r="K1341" s="12" t="s">
        <v>176</v>
      </c>
      <c r="L1341">
        <v>0</v>
      </c>
      <c r="M1341">
        <v>0</v>
      </c>
      <c r="O1341" s="39"/>
      <c r="P1341" s="16">
        <v>174654.15</v>
      </c>
      <c r="S1341" s="17"/>
    </row>
    <row r="1342" spans="1:19" x14ac:dyDescent="0.4">
      <c r="A1342">
        <v>7195179</v>
      </c>
      <c r="B1342" s="15">
        <v>36</v>
      </c>
      <c r="C1342" s="12" t="s">
        <v>122</v>
      </c>
      <c r="D1342" s="12" t="s">
        <v>134</v>
      </c>
      <c r="E1342" s="12" t="s">
        <v>150</v>
      </c>
      <c r="F1342" s="12" t="s">
        <v>158</v>
      </c>
      <c r="G1342" s="14">
        <f t="shared" ca="1" si="20"/>
        <v>270277.35867535399</v>
      </c>
      <c r="H1342" s="12" t="s">
        <v>171</v>
      </c>
      <c r="I1342">
        <v>0</v>
      </c>
      <c r="J1342">
        <v>40</v>
      </c>
      <c r="K1342" s="12" t="s">
        <v>176</v>
      </c>
      <c r="L1342">
        <v>0</v>
      </c>
      <c r="M1342">
        <v>0</v>
      </c>
      <c r="O1342" s="39"/>
      <c r="P1342" s="15">
        <v>194147.03</v>
      </c>
      <c r="S1342" s="17"/>
    </row>
    <row r="1343" spans="1:19" x14ac:dyDescent="0.4">
      <c r="A1343">
        <v>7205430</v>
      </c>
      <c r="B1343" s="16">
        <v>43</v>
      </c>
      <c r="C1343" s="12" t="s">
        <v>122</v>
      </c>
      <c r="D1343" s="12" t="s">
        <v>137</v>
      </c>
      <c r="E1343" s="12" t="s">
        <v>152</v>
      </c>
      <c r="F1343" s="12" t="s">
        <v>159</v>
      </c>
      <c r="G1343" s="14">
        <f t="shared" ca="1" si="20"/>
        <v>32922.679858064759</v>
      </c>
      <c r="H1343" s="12" t="s">
        <v>172</v>
      </c>
      <c r="I1343">
        <v>0</v>
      </c>
      <c r="J1343">
        <v>99</v>
      </c>
      <c r="K1343" s="12" t="s">
        <v>176</v>
      </c>
      <c r="L1343">
        <v>0</v>
      </c>
      <c r="M1343">
        <v>0</v>
      </c>
      <c r="O1343" s="39"/>
      <c r="P1343" s="16">
        <v>24511.78</v>
      </c>
      <c r="S1343" s="17"/>
    </row>
    <row r="1344" spans="1:19" x14ac:dyDescent="0.4">
      <c r="A1344">
        <v>7210178</v>
      </c>
      <c r="B1344" s="15">
        <v>47</v>
      </c>
      <c r="C1344" s="12" t="s">
        <v>122</v>
      </c>
      <c r="D1344" s="12" t="s">
        <v>137</v>
      </c>
      <c r="E1344" s="12" t="s">
        <v>152</v>
      </c>
      <c r="F1344" s="12" t="s">
        <v>156</v>
      </c>
      <c r="G1344" s="14">
        <f t="shared" ca="1" si="20"/>
        <v>39161.288927899157</v>
      </c>
      <c r="H1344" s="12" t="s">
        <v>172</v>
      </c>
      <c r="I1344">
        <v>0</v>
      </c>
      <c r="J1344">
        <v>26</v>
      </c>
      <c r="K1344" s="12" t="s">
        <v>176</v>
      </c>
      <c r="L1344">
        <v>0</v>
      </c>
      <c r="M1344">
        <v>0</v>
      </c>
      <c r="O1344" s="39"/>
      <c r="P1344" s="15">
        <v>30374.41</v>
      </c>
      <c r="S1344" s="17"/>
    </row>
    <row r="1345" spans="1:19" x14ac:dyDescent="0.4">
      <c r="A1345">
        <v>7217272</v>
      </c>
      <c r="B1345" s="16">
        <v>44</v>
      </c>
      <c r="C1345" s="12" t="s">
        <v>125</v>
      </c>
      <c r="D1345" s="12" t="s">
        <v>133</v>
      </c>
      <c r="E1345" s="12" t="s">
        <v>152</v>
      </c>
      <c r="F1345" s="12" t="s">
        <v>144</v>
      </c>
      <c r="G1345" s="14">
        <f t="shared" ca="1" si="20"/>
        <v>22410.208531815129</v>
      </c>
      <c r="H1345" s="12" t="s">
        <v>172</v>
      </c>
      <c r="I1345">
        <v>0</v>
      </c>
      <c r="J1345">
        <v>48</v>
      </c>
      <c r="K1345" s="12" t="s">
        <v>176</v>
      </c>
      <c r="L1345">
        <v>0</v>
      </c>
      <c r="M1345">
        <v>0</v>
      </c>
      <c r="O1345" s="39"/>
      <c r="P1345" s="16">
        <v>22095.200000000001</v>
      </c>
      <c r="S1345" s="17"/>
    </row>
    <row r="1346" spans="1:19" x14ac:dyDescent="0.4">
      <c r="A1346">
        <v>7217367</v>
      </c>
      <c r="B1346" s="15">
        <v>53</v>
      </c>
      <c r="C1346" s="12" t="s">
        <v>126</v>
      </c>
      <c r="D1346" s="12" t="s">
        <v>132</v>
      </c>
      <c r="E1346" s="12" t="s">
        <v>150</v>
      </c>
      <c r="F1346" s="12" t="s">
        <v>166</v>
      </c>
      <c r="G1346" s="14">
        <f t="shared" ca="1" si="20"/>
        <v>80854.049743928364</v>
      </c>
      <c r="H1346" s="12" t="s">
        <v>171</v>
      </c>
      <c r="I1346">
        <v>0</v>
      </c>
      <c r="J1346">
        <v>40</v>
      </c>
      <c r="K1346" s="12" t="s">
        <v>176</v>
      </c>
      <c r="L1346">
        <v>0</v>
      </c>
      <c r="M1346">
        <v>0</v>
      </c>
      <c r="O1346" s="39"/>
      <c r="P1346" s="15">
        <v>76997.19</v>
      </c>
      <c r="S1346" s="17"/>
    </row>
    <row r="1347" spans="1:19" x14ac:dyDescent="0.4">
      <c r="A1347">
        <v>7219320</v>
      </c>
      <c r="B1347" s="16">
        <v>25</v>
      </c>
      <c r="C1347" s="12" t="s">
        <v>129</v>
      </c>
      <c r="D1347" s="12" t="s">
        <v>135</v>
      </c>
      <c r="E1347" s="12" t="s">
        <v>152</v>
      </c>
      <c r="F1347" s="12" t="s">
        <v>129</v>
      </c>
      <c r="G1347" s="14">
        <f t="shared" ca="1" si="20"/>
        <v>52132.582441812978</v>
      </c>
      <c r="H1347" s="12" t="s">
        <v>172</v>
      </c>
      <c r="I1347">
        <v>0</v>
      </c>
      <c r="J1347">
        <v>60</v>
      </c>
      <c r="K1347" s="12" t="s">
        <v>176</v>
      </c>
      <c r="L1347">
        <v>0</v>
      </c>
      <c r="M1347">
        <v>0</v>
      </c>
      <c r="O1347" s="39"/>
      <c r="P1347" s="16">
        <v>46429.120000000003</v>
      </c>
      <c r="S1347" s="17"/>
    </row>
    <row r="1348" spans="1:19" x14ac:dyDescent="0.4">
      <c r="A1348">
        <v>7222784</v>
      </c>
      <c r="B1348" s="15">
        <v>26</v>
      </c>
      <c r="C1348" s="12" t="s">
        <v>122</v>
      </c>
      <c r="D1348" s="12" t="s">
        <v>134</v>
      </c>
      <c r="E1348" s="12" t="s">
        <v>150</v>
      </c>
      <c r="F1348" s="12" t="s">
        <v>159</v>
      </c>
      <c r="G1348" s="14">
        <f t="shared" ca="1" si="20"/>
        <v>123519.34429621481</v>
      </c>
      <c r="H1348" s="12" t="s">
        <v>172</v>
      </c>
      <c r="I1348">
        <v>0</v>
      </c>
      <c r="J1348">
        <v>40</v>
      </c>
      <c r="K1348" s="12" t="s">
        <v>176</v>
      </c>
      <c r="L1348">
        <v>0</v>
      </c>
      <c r="M1348">
        <v>0</v>
      </c>
      <c r="O1348" s="39"/>
      <c r="P1348" s="15">
        <v>115213.1</v>
      </c>
      <c r="S1348" s="17"/>
    </row>
    <row r="1349" spans="1:19" x14ac:dyDescent="0.4">
      <c r="A1349">
        <v>7225445</v>
      </c>
      <c r="B1349" s="16">
        <v>44</v>
      </c>
      <c r="C1349" s="12" t="s">
        <v>123</v>
      </c>
      <c r="D1349" s="12" t="s">
        <v>132</v>
      </c>
      <c r="E1349" s="12" t="s">
        <v>151</v>
      </c>
      <c r="F1349" s="12" t="s">
        <v>160</v>
      </c>
      <c r="G1349" s="14">
        <f t="shared" ca="1" si="20"/>
        <v>137209.79518388456</v>
      </c>
      <c r="H1349" s="12" t="s">
        <v>171</v>
      </c>
      <c r="I1349">
        <v>0</v>
      </c>
      <c r="J1349">
        <v>40</v>
      </c>
      <c r="K1349" s="12" t="s">
        <v>176</v>
      </c>
      <c r="L1349">
        <v>0</v>
      </c>
      <c r="M1349">
        <v>0</v>
      </c>
      <c r="O1349" s="39"/>
      <c r="P1349" s="16">
        <v>68879.14</v>
      </c>
      <c r="S1349" s="17"/>
    </row>
    <row r="1350" spans="1:19" x14ac:dyDescent="0.4">
      <c r="A1350">
        <v>7225919</v>
      </c>
      <c r="B1350" s="15">
        <v>29</v>
      </c>
      <c r="C1350" s="12" t="s">
        <v>122</v>
      </c>
      <c r="D1350" s="12" t="s">
        <v>134</v>
      </c>
      <c r="E1350" s="12" t="s">
        <v>152</v>
      </c>
      <c r="F1350" s="12" t="s">
        <v>161</v>
      </c>
      <c r="G1350" s="14">
        <f t="shared" ca="1" si="20"/>
        <v>380923.91635087231</v>
      </c>
      <c r="H1350" s="12" t="s">
        <v>171</v>
      </c>
      <c r="I1350">
        <v>0</v>
      </c>
      <c r="J1350">
        <v>40</v>
      </c>
      <c r="K1350" s="12" t="s">
        <v>205</v>
      </c>
      <c r="L1350">
        <v>0</v>
      </c>
      <c r="M1350">
        <v>0</v>
      </c>
      <c r="O1350" s="39"/>
      <c r="P1350" s="15">
        <v>210653.92</v>
      </c>
      <c r="S1350" s="17"/>
    </row>
    <row r="1351" spans="1:19" x14ac:dyDescent="0.4">
      <c r="A1351">
        <v>7233476</v>
      </c>
      <c r="B1351" s="16">
        <v>28</v>
      </c>
      <c r="C1351" s="12" t="s">
        <v>122</v>
      </c>
      <c r="D1351" s="12" t="s">
        <v>135</v>
      </c>
      <c r="E1351" s="12" t="s">
        <v>150</v>
      </c>
      <c r="F1351" s="12" t="s">
        <v>163</v>
      </c>
      <c r="G1351" s="14">
        <f t="shared" ca="1" si="20"/>
        <v>52300.408814584735</v>
      </c>
      <c r="H1351" s="12" t="s">
        <v>171</v>
      </c>
      <c r="I1351">
        <v>1320</v>
      </c>
      <c r="J1351">
        <v>35</v>
      </c>
      <c r="K1351" s="12" t="s">
        <v>176</v>
      </c>
      <c r="L1351">
        <v>0</v>
      </c>
      <c r="M1351">
        <v>0</v>
      </c>
      <c r="O1351" s="39"/>
      <c r="P1351" s="16">
        <v>38866.78</v>
      </c>
      <c r="S1351" s="17"/>
    </row>
    <row r="1352" spans="1:19" x14ac:dyDescent="0.4">
      <c r="A1352">
        <v>7235367</v>
      </c>
      <c r="B1352" s="15">
        <v>47</v>
      </c>
      <c r="C1352" s="12" t="s">
        <v>123</v>
      </c>
      <c r="D1352" s="12" t="s">
        <v>143</v>
      </c>
      <c r="E1352" s="12" t="s">
        <v>152</v>
      </c>
      <c r="F1352" s="12" t="s">
        <v>157</v>
      </c>
      <c r="G1352" s="14">
        <f t="shared" ca="1" si="20"/>
        <v>34761.153531270844</v>
      </c>
      <c r="H1352" s="12" t="s">
        <v>172</v>
      </c>
      <c r="I1352">
        <v>0</v>
      </c>
      <c r="J1352">
        <v>20</v>
      </c>
      <c r="K1352" s="12" t="s">
        <v>176</v>
      </c>
      <c r="L1352">
        <v>0</v>
      </c>
      <c r="M1352">
        <v>0</v>
      </c>
      <c r="O1352" s="39"/>
      <c r="P1352" s="15">
        <v>32283.21</v>
      </c>
      <c r="S1352" s="17"/>
    </row>
    <row r="1353" spans="1:19" x14ac:dyDescent="0.4">
      <c r="A1353">
        <v>7236518</v>
      </c>
      <c r="B1353" s="16">
        <v>27</v>
      </c>
      <c r="C1353" s="12" t="s">
        <v>122</v>
      </c>
      <c r="D1353" s="12" t="s">
        <v>145</v>
      </c>
      <c r="E1353" s="12" t="s">
        <v>152</v>
      </c>
      <c r="F1353" s="12" t="s">
        <v>157</v>
      </c>
      <c r="G1353" s="14">
        <f t="shared" ca="1" si="20"/>
        <v>17713.636996704561</v>
      </c>
      <c r="H1353" s="12" t="s">
        <v>172</v>
      </c>
      <c r="I1353">
        <v>0</v>
      </c>
      <c r="J1353">
        <v>45</v>
      </c>
      <c r="K1353" s="12" t="s">
        <v>176</v>
      </c>
      <c r="L1353">
        <v>0</v>
      </c>
      <c r="M1353">
        <v>0</v>
      </c>
      <c r="O1353" s="39"/>
      <c r="P1353" s="16">
        <v>16442.12</v>
      </c>
      <c r="S1353" s="17"/>
    </row>
    <row r="1354" spans="1:19" x14ac:dyDescent="0.4">
      <c r="A1354">
        <v>7237688</v>
      </c>
      <c r="B1354" s="15">
        <v>54</v>
      </c>
      <c r="C1354" s="12" t="s">
        <v>122</v>
      </c>
      <c r="D1354" s="12" t="s">
        <v>135</v>
      </c>
      <c r="E1354" s="12" t="s">
        <v>151</v>
      </c>
      <c r="F1354" s="12" t="s">
        <v>144</v>
      </c>
      <c r="G1354" s="14">
        <f t="shared" ca="1" si="20"/>
        <v>160250.35381432759</v>
      </c>
      <c r="H1354" s="12" t="s">
        <v>172</v>
      </c>
      <c r="I1354">
        <v>893.33333333333303</v>
      </c>
      <c r="J1354">
        <v>40</v>
      </c>
      <c r="K1354" s="12" t="s">
        <v>176</v>
      </c>
      <c r="L1354">
        <v>0</v>
      </c>
      <c r="M1354">
        <v>0</v>
      </c>
      <c r="O1354" s="39"/>
      <c r="P1354" s="15">
        <v>111806.83</v>
      </c>
      <c r="S1354" s="17"/>
    </row>
    <row r="1355" spans="1:19" x14ac:dyDescent="0.4">
      <c r="A1355">
        <v>7241845</v>
      </c>
      <c r="B1355" s="16">
        <v>31</v>
      </c>
      <c r="C1355" s="12" t="s">
        <v>122</v>
      </c>
      <c r="D1355" s="12" t="s">
        <v>134</v>
      </c>
      <c r="E1355" s="12" t="s">
        <v>152</v>
      </c>
      <c r="F1355" s="12" t="s">
        <v>161</v>
      </c>
      <c r="G1355" s="14">
        <f t="shared" ref="G1355:G1418" ca="1" si="21">P1355*(1+RAND())</f>
        <v>23678.25825642882</v>
      </c>
      <c r="H1355" s="12" t="s">
        <v>172</v>
      </c>
      <c r="I1355">
        <v>0</v>
      </c>
      <c r="J1355">
        <v>40</v>
      </c>
      <c r="K1355" s="12" t="s">
        <v>176</v>
      </c>
      <c r="L1355">
        <v>4572</v>
      </c>
      <c r="M1355">
        <v>1</v>
      </c>
      <c r="O1355" s="39"/>
      <c r="P1355" s="16">
        <v>19547.599999999999</v>
      </c>
      <c r="S1355" s="17"/>
    </row>
    <row r="1356" spans="1:19" x14ac:dyDescent="0.4">
      <c r="A1356">
        <v>7241865</v>
      </c>
      <c r="B1356" s="15">
        <v>49</v>
      </c>
      <c r="C1356" s="12" t="s">
        <v>127</v>
      </c>
      <c r="D1356" s="12" t="s">
        <v>137</v>
      </c>
      <c r="E1356" s="12" t="s">
        <v>152</v>
      </c>
      <c r="F1356" s="12" t="s">
        <v>159</v>
      </c>
      <c r="G1356" s="14">
        <f t="shared" ca="1" si="21"/>
        <v>62099.888577862592</v>
      </c>
      <c r="H1356" s="12" t="s">
        <v>172</v>
      </c>
      <c r="I1356">
        <v>0</v>
      </c>
      <c r="J1356">
        <v>40</v>
      </c>
      <c r="K1356" s="12" t="s">
        <v>176</v>
      </c>
      <c r="L1356">
        <v>0</v>
      </c>
      <c r="M1356">
        <v>0</v>
      </c>
      <c r="O1356" s="39"/>
      <c r="P1356" s="15">
        <v>36021.230000000003</v>
      </c>
      <c r="S1356" s="17"/>
    </row>
    <row r="1357" spans="1:19" x14ac:dyDescent="0.4">
      <c r="A1357">
        <v>7243607</v>
      </c>
      <c r="B1357" s="16">
        <v>57</v>
      </c>
      <c r="C1357" s="12" t="s">
        <v>123</v>
      </c>
      <c r="D1357" s="12" t="s">
        <v>134</v>
      </c>
      <c r="E1357" s="12" t="s">
        <v>152</v>
      </c>
      <c r="F1357" s="12" t="s">
        <v>156</v>
      </c>
      <c r="G1357" s="14">
        <f t="shared" ca="1" si="21"/>
        <v>57462.579728174365</v>
      </c>
      <c r="H1357" s="12" t="s">
        <v>172</v>
      </c>
      <c r="I1357">
        <v>0</v>
      </c>
      <c r="J1357">
        <v>60</v>
      </c>
      <c r="K1357" s="12" t="s">
        <v>176</v>
      </c>
      <c r="L1357">
        <v>0</v>
      </c>
      <c r="M1357">
        <v>0</v>
      </c>
      <c r="O1357" s="39"/>
      <c r="P1357" s="16">
        <v>28827.9</v>
      </c>
      <c r="S1357" s="17"/>
    </row>
    <row r="1358" spans="1:19" x14ac:dyDescent="0.4">
      <c r="A1358">
        <v>7244045</v>
      </c>
      <c r="B1358" s="15">
        <v>81</v>
      </c>
      <c r="C1358" s="12" t="s">
        <v>123</v>
      </c>
      <c r="D1358" s="12" t="s">
        <v>134</v>
      </c>
      <c r="E1358" s="12" t="s">
        <v>152</v>
      </c>
      <c r="F1358" s="12" t="s">
        <v>160</v>
      </c>
      <c r="G1358" s="14">
        <f t="shared" ca="1" si="21"/>
        <v>40843.749621696355</v>
      </c>
      <c r="H1358" s="12" t="s">
        <v>172</v>
      </c>
      <c r="I1358">
        <v>0</v>
      </c>
      <c r="J1358">
        <v>30</v>
      </c>
      <c r="K1358" s="12" t="s">
        <v>176</v>
      </c>
      <c r="L1358">
        <v>0</v>
      </c>
      <c r="M1358">
        <v>0</v>
      </c>
      <c r="O1358" s="39"/>
      <c r="P1358" s="15">
        <v>34614.18</v>
      </c>
      <c r="S1358" s="17"/>
    </row>
    <row r="1359" spans="1:19" x14ac:dyDescent="0.4">
      <c r="A1359">
        <v>7249029</v>
      </c>
      <c r="B1359" s="16">
        <v>37</v>
      </c>
      <c r="C1359" s="12" t="s">
        <v>122</v>
      </c>
      <c r="D1359" s="12" t="s">
        <v>135</v>
      </c>
      <c r="E1359" s="12" t="s">
        <v>149</v>
      </c>
      <c r="F1359" s="12" t="s">
        <v>156</v>
      </c>
      <c r="G1359" s="14">
        <f t="shared" ca="1" si="21"/>
        <v>66280.407136746027</v>
      </c>
      <c r="H1359" s="12" t="s">
        <v>172</v>
      </c>
      <c r="I1359">
        <v>0</v>
      </c>
      <c r="J1359">
        <v>70</v>
      </c>
      <c r="K1359" s="12" t="s">
        <v>188</v>
      </c>
      <c r="L1359">
        <v>0</v>
      </c>
      <c r="M1359">
        <v>0</v>
      </c>
      <c r="O1359" s="39"/>
      <c r="P1359" s="16">
        <v>39308.870000000003</v>
      </c>
      <c r="S1359" s="17"/>
    </row>
    <row r="1360" spans="1:19" x14ac:dyDescent="0.4">
      <c r="A1360">
        <v>7259543</v>
      </c>
      <c r="B1360" s="15">
        <v>34</v>
      </c>
      <c r="C1360" s="12" t="s">
        <v>125</v>
      </c>
      <c r="D1360" s="12" t="s">
        <v>132</v>
      </c>
      <c r="E1360" s="12" t="s">
        <v>152</v>
      </c>
      <c r="F1360" s="12" t="s">
        <v>159</v>
      </c>
      <c r="G1360" s="14">
        <f t="shared" ca="1" si="21"/>
        <v>90944.882808133916</v>
      </c>
      <c r="H1360" s="12" t="s">
        <v>172</v>
      </c>
      <c r="I1360">
        <v>1160</v>
      </c>
      <c r="J1360">
        <v>40</v>
      </c>
      <c r="K1360" s="12" t="s">
        <v>176</v>
      </c>
      <c r="L1360">
        <v>0</v>
      </c>
      <c r="M1360">
        <v>0</v>
      </c>
      <c r="O1360" s="39"/>
      <c r="P1360" s="15">
        <v>62334.04</v>
      </c>
      <c r="S1360" s="17"/>
    </row>
    <row r="1361" spans="1:19" x14ac:dyDescent="0.4">
      <c r="A1361">
        <v>7265762</v>
      </c>
      <c r="B1361" s="16">
        <v>34</v>
      </c>
      <c r="C1361" s="12" t="s">
        <v>123</v>
      </c>
      <c r="D1361" s="12" t="s">
        <v>133</v>
      </c>
      <c r="E1361" s="12" t="s">
        <v>152</v>
      </c>
      <c r="F1361" s="12" t="s">
        <v>144</v>
      </c>
      <c r="G1361" s="14">
        <f t="shared" ca="1" si="21"/>
        <v>569860.10066174797</v>
      </c>
      <c r="H1361" s="12" t="s">
        <v>171</v>
      </c>
      <c r="I1361">
        <v>0</v>
      </c>
      <c r="J1361">
        <v>25</v>
      </c>
      <c r="K1361" s="12" t="s">
        <v>176</v>
      </c>
      <c r="L1361">
        <v>13355</v>
      </c>
      <c r="M1361">
        <v>1</v>
      </c>
      <c r="O1361" s="39"/>
      <c r="P1361" s="16">
        <v>354356.88</v>
      </c>
      <c r="S1361" s="17"/>
    </row>
    <row r="1362" spans="1:19" x14ac:dyDescent="0.4">
      <c r="A1362">
        <v>7266311</v>
      </c>
      <c r="B1362" s="15">
        <v>32</v>
      </c>
      <c r="C1362" s="12" t="s">
        <v>122</v>
      </c>
      <c r="D1362" s="12" t="s">
        <v>132</v>
      </c>
      <c r="E1362" s="12" t="s">
        <v>150</v>
      </c>
      <c r="F1362" s="12" t="s">
        <v>161</v>
      </c>
      <c r="G1362" s="14">
        <f t="shared" ca="1" si="21"/>
        <v>100807.1248784675</v>
      </c>
      <c r="H1362" s="12" t="s">
        <v>172</v>
      </c>
      <c r="I1362">
        <v>0</v>
      </c>
      <c r="J1362">
        <v>55</v>
      </c>
      <c r="K1362" s="12" t="s">
        <v>206</v>
      </c>
      <c r="L1362">
        <v>0</v>
      </c>
      <c r="M1362">
        <v>0</v>
      </c>
      <c r="O1362" s="39"/>
      <c r="P1362" s="15">
        <v>65824.460000000006</v>
      </c>
      <c r="S1362" s="17"/>
    </row>
    <row r="1363" spans="1:19" x14ac:dyDescent="0.4">
      <c r="A1363">
        <v>7268127</v>
      </c>
      <c r="B1363" s="16">
        <v>31</v>
      </c>
      <c r="C1363" s="12" t="s">
        <v>122</v>
      </c>
      <c r="D1363" s="12" t="s">
        <v>132</v>
      </c>
      <c r="E1363" s="12" t="s">
        <v>150</v>
      </c>
      <c r="F1363" s="12" t="s">
        <v>159</v>
      </c>
      <c r="G1363" s="14">
        <f t="shared" ca="1" si="21"/>
        <v>236109.51928009529</v>
      </c>
      <c r="H1363" s="12" t="s">
        <v>172</v>
      </c>
      <c r="I1363">
        <v>0</v>
      </c>
      <c r="J1363">
        <v>42</v>
      </c>
      <c r="K1363" s="12" t="s">
        <v>179</v>
      </c>
      <c r="L1363">
        <v>0</v>
      </c>
      <c r="M1363">
        <v>0</v>
      </c>
      <c r="O1363" s="39"/>
      <c r="P1363" s="16">
        <v>124130.16</v>
      </c>
      <c r="S1363" s="17"/>
    </row>
    <row r="1364" spans="1:19" x14ac:dyDescent="0.4">
      <c r="A1364">
        <v>7269447</v>
      </c>
      <c r="B1364" s="15">
        <v>41</v>
      </c>
      <c r="C1364" s="12" t="s">
        <v>127</v>
      </c>
      <c r="D1364" s="12" t="s">
        <v>138</v>
      </c>
      <c r="E1364" s="12" t="s">
        <v>152</v>
      </c>
      <c r="F1364" s="12" t="s">
        <v>160</v>
      </c>
      <c r="G1364" s="14">
        <f t="shared" ca="1" si="21"/>
        <v>35377.907605345383</v>
      </c>
      <c r="H1364" s="12" t="s">
        <v>172</v>
      </c>
      <c r="I1364">
        <v>1848</v>
      </c>
      <c r="J1364">
        <v>40</v>
      </c>
      <c r="K1364" s="12" t="s">
        <v>176</v>
      </c>
      <c r="L1364">
        <v>3293</v>
      </c>
      <c r="M1364">
        <v>1</v>
      </c>
      <c r="O1364" s="39"/>
      <c r="P1364" s="15">
        <v>27753.37</v>
      </c>
      <c r="S1364" s="17"/>
    </row>
    <row r="1365" spans="1:19" x14ac:dyDescent="0.4">
      <c r="A1365">
        <v>7269552</v>
      </c>
      <c r="B1365" s="16">
        <v>21</v>
      </c>
      <c r="C1365" s="12" t="s">
        <v>122</v>
      </c>
      <c r="D1365" s="12" t="s">
        <v>134</v>
      </c>
      <c r="E1365" s="12" t="s">
        <v>150</v>
      </c>
      <c r="F1365" s="12" t="s">
        <v>164</v>
      </c>
      <c r="G1365" s="14">
        <f t="shared" ca="1" si="21"/>
        <v>483763.6590616735</v>
      </c>
      <c r="H1365" s="12" t="s">
        <v>172</v>
      </c>
      <c r="I1365">
        <v>0</v>
      </c>
      <c r="J1365">
        <v>36</v>
      </c>
      <c r="K1365" s="12" t="s">
        <v>176</v>
      </c>
      <c r="L1365">
        <v>0</v>
      </c>
      <c r="M1365">
        <v>0</v>
      </c>
      <c r="O1365" s="39"/>
      <c r="P1365" s="16">
        <v>243862.28</v>
      </c>
      <c r="S1365" s="17"/>
    </row>
    <row r="1366" spans="1:19" x14ac:dyDescent="0.4">
      <c r="A1366">
        <v>7272049</v>
      </c>
      <c r="B1366" s="15">
        <v>19</v>
      </c>
      <c r="C1366" s="12" t="s">
        <v>122</v>
      </c>
      <c r="D1366" s="12" t="s">
        <v>134</v>
      </c>
      <c r="E1366" s="12" t="s">
        <v>150</v>
      </c>
      <c r="F1366" s="12" t="s">
        <v>158</v>
      </c>
      <c r="G1366" s="14">
        <f t="shared" ca="1" si="21"/>
        <v>170596.39008925264</v>
      </c>
      <c r="H1366" s="12" t="s">
        <v>171</v>
      </c>
      <c r="I1366">
        <v>0</v>
      </c>
      <c r="J1366">
        <v>25</v>
      </c>
      <c r="K1366" s="12" t="s">
        <v>176</v>
      </c>
      <c r="L1366">
        <v>0</v>
      </c>
      <c r="M1366">
        <v>0</v>
      </c>
      <c r="O1366" s="39"/>
      <c r="P1366" s="15">
        <v>151313.29999999999</v>
      </c>
      <c r="S1366" s="17"/>
    </row>
    <row r="1367" spans="1:19" x14ac:dyDescent="0.4">
      <c r="A1367">
        <v>7273459</v>
      </c>
      <c r="B1367" s="16">
        <v>61</v>
      </c>
      <c r="C1367" s="12" t="s">
        <v>129</v>
      </c>
      <c r="D1367" s="12" t="s">
        <v>132</v>
      </c>
      <c r="E1367" s="12" t="s">
        <v>152</v>
      </c>
      <c r="F1367" s="12" t="s">
        <v>129</v>
      </c>
      <c r="G1367" s="14">
        <f t="shared" ca="1" si="21"/>
        <v>107295.45189536092</v>
      </c>
      <c r="H1367" s="12" t="s">
        <v>172</v>
      </c>
      <c r="I1367">
        <v>0</v>
      </c>
      <c r="J1367">
        <v>30</v>
      </c>
      <c r="K1367" s="12" t="s">
        <v>176</v>
      </c>
      <c r="L1367">
        <v>99999</v>
      </c>
      <c r="M1367">
        <v>1</v>
      </c>
      <c r="O1367" s="39"/>
      <c r="P1367" s="16">
        <v>74899.13</v>
      </c>
      <c r="S1367" s="17"/>
    </row>
    <row r="1368" spans="1:19" x14ac:dyDescent="0.4">
      <c r="A1368">
        <v>7276340</v>
      </c>
      <c r="B1368" s="15">
        <v>39</v>
      </c>
      <c r="C1368" s="12" t="s">
        <v>122</v>
      </c>
      <c r="D1368" s="12" t="s">
        <v>139</v>
      </c>
      <c r="E1368" s="12" t="s">
        <v>152</v>
      </c>
      <c r="F1368" s="12" t="s">
        <v>159</v>
      </c>
      <c r="G1368" s="14">
        <f t="shared" ca="1" si="21"/>
        <v>54495.615223672794</v>
      </c>
      <c r="H1368" s="12" t="s">
        <v>172</v>
      </c>
      <c r="I1368">
        <v>0</v>
      </c>
      <c r="J1368">
        <v>35</v>
      </c>
      <c r="K1368" s="12" t="s">
        <v>176</v>
      </c>
      <c r="L1368">
        <v>0</v>
      </c>
      <c r="M1368">
        <v>0</v>
      </c>
      <c r="O1368" s="39"/>
      <c r="P1368" s="15">
        <v>38183.120000000003</v>
      </c>
      <c r="S1368" s="17"/>
    </row>
    <row r="1369" spans="1:19" x14ac:dyDescent="0.4">
      <c r="A1369">
        <v>7282622</v>
      </c>
      <c r="B1369" s="16">
        <v>41</v>
      </c>
      <c r="C1369" s="12" t="s">
        <v>122</v>
      </c>
      <c r="D1369" s="12" t="s">
        <v>135</v>
      </c>
      <c r="E1369" s="12" t="s">
        <v>151</v>
      </c>
      <c r="F1369" s="12" t="s">
        <v>157</v>
      </c>
      <c r="G1369" s="14">
        <f t="shared" ca="1" si="21"/>
        <v>213013.88130567563</v>
      </c>
      <c r="H1369" s="12" t="s">
        <v>172</v>
      </c>
      <c r="I1369">
        <v>0</v>
      </c>
      <c r="J1369">
        <v>40</v>
      </c>
      <c r="K1369" s="12" t="s">
        <v>176</v>
      </c>
      <c r="L1369">
        <v>0</v>
      </c>
      <c r="M1369">
        <v>0</v>
      </c>
      <c r="O1369" s="39"/>
      <c r="P1369" s="16">
        <v>140899.75</v>
      </c>
      <c r="S1369" s="17"/>
    </row>
    <row r="1370" spans="1:19" x14ac:dyDescent="0.4">
      <c r="A1370">
        <v>7283069</v>
      </c>
      <c r="B1370" s="15">
        <v>61</v>
      </c>
      <c r="C1370" s="12" t="s">
        <v>122</v>
      </c>
      <c r="D1370" s="12" t="s">
        <v>132</v>
      </c>
      <c r="E1370" s="12" t="s">
        <v>150</v>
      </c>
      <c r="F1370" s="12" t="s">
        <v>163</v>
      </c>
      <c r="G1370" s="14">
        <f t="shared" ca="1" si="21"/>
        <v>386731.05409363651</v>
      </c>
      <c r="H1370" s="12" t="s">
        <v>172</v>
      </c>
      <c r="I1370">
        <v>0</v>
      </c>
      <c r="J1370">
        <v>16</v>
      </c>
      <c r="K1370" s="12" t="s">
        <v>176</v>
      </c>
      <c r="L1370">
        <v>0</v>
      </c>
      <c r="M1370">
        <v>0</v>
      </c>
      <c r="O1370" s="39"/>
      <c r="P1370" s="15">
        <v>203401.76</v>
      </c>
      <c r="S1370" s="17"/>
    </row>
    <row r="1371" spans="1:19" x14ac:dyDescent="0.4">
      <c r="A1371">
        <v>7286892</v>
      </c>
      <c r="B1371" s="16">
        <v>24</v>
      </c>
      <c r="C1371" s="12" t="s">
        <v>129</v>
      </c>
      <c r="D1371" s="12" t="s">
        <v>135</v>
      </c>
      <c r="E1371" s="12" t="s">
        <v>150</v>
      </c>
      <c r="F1371" s="12" t="s">
        <v>129</v>
      </c>
      <c r="G1371" s="14">
        <f t="shared" ca="1" si="21"/>
        <v>54975.187320395744</v>
      </c>
      <c r="H1371" s="12" t="s">
        <v>171</v>
      </c>
      <c r="I1371">
        <v>0</v>
      </c>
      <c r="J1371">
        <v>40</v>
      </c>
      <c r="K1371" s="12" t="s">
        <v>176</v>
      </c>
      <c r="L1371">
        <v>0</v>
      </c>
      <c r="M1371">
        <v>0</v>
      </c>
      <c r="O1371" s="39"/>
      <c r="P1371" s="16">
        <v>34151.9</v>
      </c>
      <c r="S1371" s="17"/>
    </row>
    <row r="1372" spans="1:19" x14ac:dyDescent="0.4">
      <c r="A1372">
        <v>7289449</v>
      </c>
      <c r="B1372" s="15">
        <v>41</v>
      </c>
      <c r="C1372" s="12" t="s">
        <v>122</v>
      </c>
      <c r="D1372" s="12" t="s">
        <v>134</v>
      </c>
      <c r="E1372" s="12" t="s">
        <v>149</v>
      </c>
      <c r="F1372" s="12" t="s">
        <v>159</v>
      </c>
      <c r="G1372" s="14">
        <f t="shared" ca="1" si="21"/>
        <v>135098.87077836855</v>
      </c>
      <c r="H1372" s="12" t="s">
        <v>172</v>
      </c>
      <c r="I1372">
        <v>0</v>
      </c>
      <c r="J1372">
        <v>40</v>
      </c>
      <c r="K1372" s="12" t="s">
        <v>176</v>
      </c>
      <c r="L1372">
        <v>0</v>
      </c>
      <c r="M1372">
        <v>0</v>
      </c>
      <c r="O1372" s="39"/>
      <c r="P1372" s="15">
        <v>77925.679999999993</v>
      </c>
      <c r="S1372" s="17"/>
    </row>
    <row r="1373" spans="1:19" x14ac:dyDescent="0.4">
      <c r="A1373">
        <v>7293366</v>
      </c>
      <c r="B1373" s="16">
        <v>28</v>
      </c>
      <c r="C1373" s="12" t="s">
        <v>127</v>
      </c>
      <c r="D1373" s="12" t="s">
        <v>135</v>
      </c>
      <c r="E1373" s="12" t="s">
        <v>150</v>
      </c>
      <c r="F1373" s="12" t="s">
        <v>160</v>
      </c>
      <c r="G1373" s="14">
        <f t="shared" ca="1" si="21"/>
        <v>141638.48291838297</v>
      </c>
      <c r="H1373" s="12" t="s">
        <v>172</v>
      </c>
      <c r="I1373">
        <v>0</v>
      </c>
      <c r="J1373">
        <v>40</v>
      </c>
      <c r="K1373" s="12" t="s">
        <v>176</v>
      </c>
      <c r="L1373">
        <v>0</v>
      </c>
      <c r="M1373">
        <v>0</v>
      </c>
      <c r="O1373" s="39"/>
      <c r="P1373" s="16">
        <v>95210.3</v>
      </c>
      <c r="S1373" s="17"/>
    </row>
    <row r="1374" spans="1:19" x14ac:dyDescent="0.4">
      <c r="A1374">
        <v>7295772</v>
      </c>
      <c r="B1374" s="15">
        <v>41</v>
      </c>
      <c r="C1374" s="12" t="s">
        <v>122</v>
      </c>
      <c r="D1374" s="12" t="s">
        <v>134</v>
      </c>
      <c r="E1374" s="12" t="s">
        <v>152</v>
      </c>
      <c r="F1374" s="12" t="s">
        <v>156</v>
      </c>
      <c r="G1374" s="14">
        <f t="shared" ca="1" si="21"/>
        <v>41045.870855685658</v>
      </c>
      <c r="H1374" s="12" t="s">
        <v>172</v>
      </c>
      <c r="I1374">
        <v>0</v>
      </c>
      <c r="J1374">
        <v>45</v>
      </c>
      <c r="K1374" s="12" t="s">
        <v>176</v>
      </c>
      <c r="L1374">
        <v>0</v>
      </c>
      <c r="M1374">
        <v>0</v>
      </c>
      <c r="O1374" s="39"/>
      <c r="P1374" s="15">
        <v>32964.61</v>
      </c>
      <c r="S1374" s="17"/>
    </row>
    <row r="1375" spans="1:19" x14ac:dyDescent="0.4">
      <c r="A1375">
        <v>7301119</v>
      </c>
      <c r="B1375" s="16">
        <v>65</v>
      </c>
      <c r="C1375" s="12" t="s">
        <v>122</v>
      </c>
      <c r="D1375" s="12" t="s">
        <v>135</v>
      </c>
      <c r="E1375" s="12" t="s">
        <v>151</v>
      </c>
      <c r="F1375" s="12" t="s">
        <v>144</v>
      </c>
      <c r="G1375" s="14">
        <f t="shared" ca="1" si="21"/>
        <v>84553.408545413549</v>
      </c>
      <c r="H1375" s="12" t="s">
        <v>172</v>
      </c>
      <c r="I1375">
        <v>0</v>
      </c>
      <c r="J1375">
        <v>40</v>
      </c>
      <c r="K1375" s="12" t="s">
        <v>176</v>
      </c>
      <c r="L1375">
        <v>0</v>
      </c>
      <c r="M1375">
        <v>0</v>
      </c>
      <c r="O1375" s="39"/>
      <c r="P1375" s="16">
        <v>80894.679999999993</v>
      </c>
      <c r="S1375" s="17"/>
    </row>
    <row r="1376" spans="1:19" x14ac:dyDescent="0.4">
      <c r="A1376">
        <v>7301486</v>
      </c>
      <c r="B1376" s="15">
        <v>57</v>
      </c>
      <c r="C1376" s="12" t="s">
        <v>122</v>
      </c>
      <c r="D1376" s="12" t="s">
        <v>132</v>
      </c>
      <c r="E1376" s="12" t="s">
        <v>150</v>
      </c>
      <c r="F1376" s="12" t="s">
        <v>164</v>
      </c>
      <c r="G1376" s="14">
        <f t="shared" ca="1" si="21"/>
        <v>124242.5691241832</v>
      </c>
      <c r="H1376" s="12" t="s">
        <v>172</v>
      </c>
      <c r="I1376">
        <v>0</v>
      </c>
      <c r="J1376">
        <v>40</v>
      </c>
      <c r="K1376" s="12" t="s">
        <v>176</v>
      </c>
      <c r="L1376">
        <v>0</v>
      </c>
      <c r="M1376">
        <v>0</v>
      </c>
      <c r="O1376" s="39"/>
      <c r="P1376" s="15">
        <v>122460.76</v>
      </c>
      <c r="S1376" s="17"/>
    </row>
    <row r="1377" spans="1:19" x14ac:dyDescent="0.4">
      <c r="A1377">
        <v>7302632</v>
      </c>
      <c r="B1377" s="16">
        <v>54</v>
      </c>
      <c r="C1377" s="12" t="s">
        <v>122</v>
      </c>
      <c r="D1377" s="12" t="s">
        <v>132</v>
      </c>
      <c r="E1377" s="12" t="s">
        <v>152</v>
      </c>
      <c r="F1377" s="12" t="s">
        <v>161</v>
      </c>
      <c r="G1377" s="14">
        <f t="shared" ca="1" si="21"/>
        <v>76363.213378952074</v>
      </c>
      <c r="H1377" s="12" t="s">
        <v>172</v>
      </c>
      <c r="I1377">
        <v>0</v>
      </c>
      <c r="J1377">
        <v>40</v>
      </c>
      <c r="K1377" s="12" t="s">
        <v>176</v>
      </c>
      <c r="L1377">
        <v>0</v>
      </c>
      <c r="M1377">
        <v>0</v>
      </c>
      <c r="O1377" s="39"/>
      <c r="P1377" s="16">
        <v>45751.88</v>
      </c>
      <c r="S1377" s="17"/>
    </row>
    <row r="1378" spans="1:19" x14ac:dyDescent="0.4">
      <c r="A1378">
        <v>7316220</v>
      </c>
      <c r="B1378" s="15">
        <v>18</v>
      </c>
      <c r="C1378" s="12" t="s">
        <v>122</v>
      </c>
      <c r="D1378" s="12" t="s">
        <v>136</v>
      </c>
      <c r="E1378" s="12" t="s">
        <v>150</v>
      </c>
      <c r="F1378" s="12" t="s">
        <v>164</v>
      </c>
      <c r="G1378" s="14">
        <f t="shared" ca="1" si="21"/>
        <v>127730.52975842961</v>
      </c>
      <c r="H1378" s="12" t="s">
        <v>172</v>
      </c>
      <c r="I1378">
        <v>0</v>
      </c>
      <c r="J1378">
        <v>18</v>
      </c>
      <c r="K1378" s="12" t="s">
        <v>176</v>
      </c>
      <c r="L1378">
        <v>0</v>
      </c>
      <c r="M1378">
        <v>0</v>
      </c>
      <c r="O1378" s="39"/>
      <c r="P1378" s="15">
        <v>90012.47</v>
      </c>
      <c r="S1378" s="17"/>
    </row>
    <row r="1379" spans="1:19" x14ac:dyDescent="0.4">
      <c r="A1379">
        <v>7326188</v>
      </c>
      <c r="B1379" s="16">
        <v>30</v>
      </c>
      <c r="C1379" s="12" t="s">
        <v>122</v>
      </c>
      <c r="D1379" s="12" t="s">
        <v>134</v>
      </c>
      <c r="E1379" s="12" t="s">
        <v>150</v>
      </c>
      <c r="F1379" s="12" t="s">
        <v>161</v>
      </c>
      <c r="G1379" s="14">
        <f t="shared" ca="1" si="21"/>
        <v>108556.52207063838</v>
      </c>
      <c r="H1379" s="12" t="s">
        <v>172</v>
      </c>
      <c r="I1379">
        <v>0</v>
      </c>
      <c r="J1379">
        <v>44</v>
      </c>
      <c r="K1379" s="12" t="s">
        <v>176</v>
      </c>
      <c r="L1379">
        <v>0</v>
      </c>
      <c r="M1379">
        <v>0</v>
      </c>
      <c r="O1379" s="39"/>
      <c r="P1379" s="16">
        <v>102081.85</v>
      </c>
      <c r="S1379" s="17"/>
    </row>
    <row r="1380" spans="1:19" x14ac:dyDescent="0.4">
      <c r="A1380">
        <v>7327994</v>
      </c>
      <c r="B1380" s="15">
        <v>60</v>
      </c>
      <c r="C1380" s="12" t="s">
        <v>122</v>
      </c>
      <c r="D1380" s="12" t="s">
        <v>145</v>
      </c>
      <c r="E1380" s="12" t="s">
        <v>152</v>
      </c>
      <c r="F1380" s="12" t="s">
        <v>161</v>
      </c>
      <c r="G1380" s="14">
        <f t="shared" ca="1" si="21"/>
        <v>300892.0759659512</v>
      </c>
      <c r="H1380" s="12" t="s">
        <v>171</v>
      </c>
      <c r="I1380">
        <v>0</v>
      </c>
      <c r="J1380">
        <v>40</v>
      </c>
      <c r="K1380" s="12" t="s">
        <v>176</v>
      </c>
      <c r="L1380">
        <v>0</v>
      </c>
      <c r="M1380">
        <v>0</v>
      </c>
      <c r="O1380" s="39"/>
      <c r="P1380" s="15">
        <v>247476.53</v>
      </c>
      <c r="S1380" s="17"/>
    </row>
    <row r="1381" spans="1:19" x14ac:dyDescent="0.4">
      <c r="A1381">
        <v>7332459</v>
      </c>
      <c r="B1381" s="16">
        <v>32</v>
      </c>
      <c r="C1381" s="12" t="s">
        <v>122</v>
      </c>
      <c r="D1381" s="12" t="s">
        <v>138</v>
      </c>
      <c r="E1381" s="12" t="s">
        <v>152</v>
      </c>
      <c r="F1381" s="12" t="s">
        <v>160</v>
      </c>
      <c r="G1381" s="14">
        <f t="shared" ca="1" si="21"/>
        <v>112787.64008067072</v>
      </c>
      <c r="H1381" s="12" t="s">
        <v>172</v>
      </c>
      <c r="I1381">
        <v>0</v>
      </c>
      <c r="J1381">
        <v>55</v>
      </c>
      <c r="K1381" s="12" t="s">
        <v>176</v>
      </c>
      <c r="L1381">
        <v>9023</v>
      </c>
      <c r="M1381">
        <v>1</v>
      </c>
      <c r="O1381" s="39"/>
      <c r="P1381" s="16">
        <v>61766.3</v>
      </c>
      <c r="S1381" s="17"/>
    </row>
    <row r="1382" spans="1:19" x14ac:dyDescent="0.4">
      <c r="A1382">
        <v>7337814</v>
      </c>
      <c r="B1382" s="15">
        <v>54</v>
      </c>
      <c r="C1382" s="12" t="s">
        <v>122</v>
      </c>
      <c r="D1382" s="12" t="s">
        <v>137</v>
      </c>
      <c r="E1382" s="12" t="s">
        <v>152</v>
      </c>
      <c r="F1382" s="12" t="s">
        <v>166</v>
      </c>
      <c r="G1382" s="14">
        <f t="shared" ca="1" si="21"/>
        <v>6245.9774870051469</v>
      </c>
      <c r="H1382" s="12" t="s">
        <v>172</v>
      </c>
      <c r="I1382">
        <v>0</v>
      </c>
      <c r="J1382">
        <v>38</v>
      </c>
      <c r="K1382" s="12" t="s">
        <v>177</v>
      </c>
      <c r="L1382">
        <v>15024</v>
      </c>
      <c r="M1382">
        <v>1</v>
      </c>
      <c r="O1382" s="39"/>
      <c r="P1382" s="15">
        <v>5301.23</v>
      </c>
      <c r="S1382" s="17"/>
    </row>
    <row r="1383" spans="1:19" x14ac:dyDescent="0.4">
      <c r="A1383">
        <v>7338092</v>
      </c>
      <c r="B1383" s="16">
        <v>53</v>
      </c>
      <c r="C1383" s="12" t="s">
        <v>122</v>
      </c>
      <c r="D1383" s="12" t="s">
        <v>134</v>
      </c>
      <c r="E1383" s="12" t="s">
        <v>151</v>
      </c>
      <c r="F1383" s="12" t="s">
        <v>162</v>
      </c>
      <c r="G1383" s="14">
        <f t="shared" ca="1" si="21"/>
        <v>283948.48442673316</v>
      </c>
      <c r="H1383" s="12" t="s">
        <v>171</v>
      </c>
      <c r="I1383">
        <v>0</v>
      </c>
      <c r="J1383">
        <v>35</v>
      </c>
      <c r="K1383" s="12" t="s">
        <v>176</v>
      </c>
      <c r="L1383">
        <v>0</v>
      </c>
      <c r="M1383">
        <v>0</v>
      </c>
      <c r="O1383" s="39"/>
      <c r="P1383" s="16">
        <v>252025.95</v>
      </c>
      <c r="S1383" s="17"/>
    </row>
    <row r="1384" spans="1:19" x14ac:dyDescent="0.4">
      <c r="A1384">
        <v>7343010</v>
      </c>
      <c r="B1384" s="15">
        <v>56</v>
      </c>
      <c r="C1384" s="12" t="s">
        <v>122</v>
      </c>
      <c r="D1384" s="12" t="s">
        <v>145</v>
      </c>
      <c r="E1384" s="12" t="s">
        <v>150</v>
      </c>
      <c r="F1384" s="12" t="s">
        <v>158</v>
      </c>
      <c r="G1384" s="14">
        <f t="shared" ca="1" si="21"/>
        <v>73282.373661014441</v>
      </c>
      <c r="H1384" s="12" t="s">
        <v>172</v>
      </c>
      <c r="I1384">
        <v>0</v>
      </c>
      <c r="J1384">
        <v>40</v>
      </c>
      <c r="K1384" s="12" t="s">
        <v>176</v>
      </c>
      <c r="L1384">
        <v>0</v>
      </c>
      <c r="M1384">
        <v>0</v>
      </c>
      <c r="O1384" s="39"/>
      <c r="P1384" s="15">
        <v>45542.3</v>
      </c>
      <c r="S1384" s="17"/>
    </row>
    <row r="1385" spans="1:19" x14ac:dyDescent="0.4">
      <c r="A1385">
        <v>7349138</v>
      </c>
      <c r="B1385" s="16">
        <v>34</v>
      </c>
      <c r="C1385" s="12" t="s">
        <v>125</v>
      </c>
      <c r="D1385" s="12" t="s">
        <v>134</v>
      </c>
      <c r="E1385" s="12" t="s">
        <v>150</v>
      </c>
      <c r="F1385" s="12" t="s">
        <v>166</v>
      </c>
      <c r="G1385" s="14">
        <f t="shared" ca="1" si="21"/>
        <v>44023.385085407259</v>
      </c>
      <c r="H1385" s="12" t="s">
        <v>172</v>
      </c>
      <c r="I1385">
        <v>0</v>
      </c>
      <c r="J1385">
        <v>40</v>
      </c>
      <c r="K1385" s="12" t="s">
        <v>176</v>
      </c>
      <c r="L1385">
        <v>0</v>
      </c>
      <c r="M1385">
        <v>0</v>
      </c>
      <c r="O1385" s="39"/>
      <c r="P1385" s="16">
        <v>28364</v>
      </c>
      <c r="S1385" s="17"/>
    </row>
    <row r="1386" spans="1:19" x14ac:dyDescent="0.4">
      <c r="A1386">
        <v>7359532</v>
      </c>
      <c r="B1386" s="15">
        <v>27</v>
      </c>
      <c r="C1386" s="12" t="s">
        <v>122</v>
      </c>
      <c r="D1386" s="12" t="s">
        <v>132</v>
      </c>
      <c r="E1386" s="12" t="s">
        <v>150</v>
      </c>
      <c r="F1386" s="12" t="s">
        <v>156</v>
      </c>
      <c r="G1386" s="14">
        <f t="shared" ca="1" si="21"/>
        <v>108410.58945986</v>
      </c>
      <c r="H1386" s="12" t="s">
        <v>171</v>
      </c>
      <c r="I1386">
        <v>0</v>
      </c>
      <c r="J1386">
        <v>30</v>
      </c>
      <c r="K1386" s="12" t="s">
        <v>176</v>
      </c>
      <c r="L1386">
        <v>0</v>
      </c>
      <c r="M1386">
        <v>0</v>
      </c>
      <c r="O1386" s="39"/>
      <c r="P1386" s="15">
        <v>80795.429999999993</v>
      </c>
      <c r="S1386" s="17"/>
    </row>
    <row r="1387" spans="1:19" x14ac:dyDescent="0.4">
      <c r="A1387">
        <v>7359673</v>
      </c>
      <c r="B1387" s="16">
        <v>18</v>
      </c>
      <c r="C1387" s="12" t="s">
        <v>122</v>
      </c>
      <c r="D1387" s="12" t="s">
        <v>136</v>
      </c>
      <c r="E1387" s="12" t="s">
        <v>150</v>
      </c>
      <c r="F1387" s="12" t="s">
        <v>158</v>
      </c>
      <c r="G1387" s="14">
        <f t="shared" ca="1" si="21"/>
        <v>42343.221771683078</v>
      </c>
      <c r="H1387" s="12" t="s">
        <v>171</v>
      </c>
      <c r="I1387">
        <v>0</v>
      </c>
      <c r="J1387">
        <v>30</v>
      </c>
      <c r="K1387" s="12" t="s">
        <v>176</v>
      </c>
      <c r="L1387">
        <v>0</v>
      </c>
      <c r="M1387">
        <v>0</v>
      </c>
      <c r="O1387" s="39"/>
      <c r="P1387" s="16">
        <v>34914.620000000003</v>
      </c>
      <c r="S1387" s="17"/>
    </row>
    <row r="1388" spans="1:19" x14ac:dyDescent="0.4">
      <c r="A1388">
        <v>7360828</v>
      </c>
      <c r="B1388" s="15">
        <v>20</v>
      </c>
      <c r="C1388" s="12" t="s">
        <v>129</v>
      </c>
      <c r="D1388" s="12" t="s">
        <v>139</v>
      </c>
      <c r="E1388" s="12" t="s">
        <v>150</v>
      </c>
      <c r="F1388" s="12" t="s">
        <v>129</v>
      </c>
      <c r="G1388" s="14">
        <f t="shared" ca="1" si="21"/>
        <v>163301.39272289941</v>
      </c>
      <c r="H1388" s="12" t="s">
        <v>171</v>
      </c>
      <c r="I1388">
        <v>0</v>
      </c>
      <c r="J1388">
        <v>20</v>
      </c>
      <c r="K1388" s="12" t="s">
        <v>176</v>
      </c>
      <c r="L1388">
        <v>0</v>
      </c>
      <c r="M1388">
        <v>0</v>
      </c>
      <c r="O1388" s="39"/>
      <c r="P1388" s="15">
        <v>126005.37</v>
      </c>
      <c r="S1388" s="17"/>
    </row>
    <row r="1389" spans="1:19" x14ac:dyDescent="0.4">
      <c r="A1389">
        <v>7364017</v>
      </c>
      <c r="B1389" s="16">
        <v>41</v>
      </c>
      <c r="C1389" s="12" t="s">
        <v>126</v>
      </c>
      <c r="D1389" s="12" t="s">
        <v>138</v>
      </c>
      <c r="E1389" s="12" t="s">
        <v>150</v>
      </c>
      <c r="F1389" s="12" t="s">
        <v>144</v>
      </c>
      <c r="G1389" s="14">
        <f t="shared" ca="1" si="21"/>
        <v>289156.24586572259</v>
      </c>
      <c r="H1389" s="12" t="s">
        <v>171</v>
      </c>
      <c r="I1389">
        <v>0</v>
      </c>
      <c r="J1389">
        <v>35</v>
      </c>
      <c r="K1389" s="12" t="s">
        <v>176</v>
      </c>
      <c r="L1389">
        <v>0</v>
      </c>
      <c r="M1389">
        <v>0</v>
      </c>
      <c r="O1389" s="39"/>
      <c r="P1389" s="16">
        <v>173409.55</v>
      </c>
      <c r="S1389" s="17"/>
    </row>
    <row r="1390" spans="1:19" x14ac:dyDescent="0.4">
      <c r="A1390">
        <v>7364201</v>
      </c>
      <c r="B1390" s="15">
        <v>21</v>
      </c>
      <c r="C1390" s="12" t="s">
        <v>122</v>
      </c>
      <c r="D1390" s="12" t="s">
        <v>132</v>
      </c>
      <c r="E1390" s="12" t="s">
        <v>150</v>
      </c>
      <c r="F1390" s="12" t="s">
        <v>158</v>
      </c>
      <c r="G1390" s="14">
        <f t="shared" ca="1" si="21"/>
        <v>203858.79191616949</v>
      </c>
      <c r="H1390" s="12" t="s">
        <v>172</v>
      </c>
      <c r="I1390">
        <v>0</v>
      </c>
      <c r="J1390">
        <v>40</v>
      </c>
      <c r="K1390" s="12" t="s">
        <v>176</v>
      </c>
      <c r="L1390">
        <v>0</v>
      </c>
      <c r="M1390">
        <v>0</v>
      </c>
      <c r="O1390" s="39"/>
      <c r="P1390" s="15">
        <v>164901.74</v>
      </c>
      <c r="S1390" s="17"/>
    </row>
    <row r="1391" spans="1:19" x14ac:dyDescent="0.4">
      <c r="A1391">
        <v>7365093</v>
      </c>
      <c r="B1391" s="16">
        <v>20</v>
      </c>
      <c r="C1391" s="12" t="s">
        <v>126</v>
      </c>
      <c r="D1391" s="12" t="s">
        <v>132</v>
      </c>
      <c r="E1391" s="12" t="s">
        <v>150</v>
      </c>
      <c r="F1391" s="12" t="s">
        <v>158</v>
      </c>
      <c r="G1391" s="14">
        <f t="shared" ca="1" si="21"/>
        <v>213555.08330479026</v>
      </c>
      <c r="H1391" s="12" t="s">
        <v>171</v>
      </c>
      <c r="I1391">
        <v>0</v>
      </c>
      <c r="J1391">
        <v>40</v>
      </c>
      <c r="K1391" s="12" t="s">
        <v>176</v>
      </c>
      <c r="L1391">
        <v>0</v>
      </c>
      <c r="M1391">
        <v>0</v>
      </c>
      <c r="O1391" s="39"/>
      <c r="P1391" s="16">
        <v>143458.20000000001</v>
      </c>
      <c r="S1391" s="17"/>
    </row>
    <row r="1392" spans="1:19" x14ac:dyDescent="0.4">
      <c r="A1392">
        <v>7366290</v>
      </c>
      <c r="B1392" s="15">
        <v>68</v>
      </c>
      <c r="C1392" s="12" t="s">
        <v>123</v>
      </c>
      <c r="D1392" s="12" t="s">
        <v>134</v>
      </c>
      <c r="E1392" s="12" t="s">
        <v>152</v>
      </c>
      <c r="F1392" s="12" t="s">
        <v>165</v>
      </c>
      <c r="G1392" s="14">
        <f t="shared" ca="1" si="21"/>
        <v>23736.924842518572</v>
      </c>
      <c r="H1392" s="12" t="s">
        <v>172</v>
      </c>
      <c r="I1392">
        <v>0</v>
      </c>
      <c r="J1392">
        <v>45</v>
      </c>
      <c r="K1392" s="12" t="s">
        <v>176</v>
      </c>
      <c r="L1392">
        <v>0</v>
      </c>
      <c r="M1392">
        <v>0</v>
      </c>
      <c r="O1392" s="39"/>
      <c r="P1392" s="15">
        <v>16250.15</v>
      </c>
      <c r="S1392" s="17"/>
    </row>
    <row r="1393" spans="1:19" x14ac:dyDescent="0.4">
      <c r="A1393">
        <v>7367336</v>
      </c>
      <c r="B1393" s="16">
        <v>42</v>
      </c>
      <c r="C1393" s="12" t="s">
        <v>122</v>
      </c>
      <c r="D1393" s="12" t="s">
        <v>133</v>
      </c>
      <c r="E1393" s="12" t="s">
        <v>152</v>
      </c>
      <c r="F1393" s="12" t="s">
        <v>160</v>
      </c>
      <c r="G1393" s="14">
        <f t="shared" ca="1" si="21"/>
        <v>34518.168205567032</v>
      </c>
      <c r="H1393" s="12" t="s">
        <v>172</v>
      </c>
      <c r="I1393">
        <v>0</v>
      </c>
      <c r="J1393">
        <v>40</v>
      </c>
      <c r="K1393" s="12" t="s">
        <v>176</v>
      </c>
      <c r="L1393">
        <v>4385</v>
      </c>
      <c r="M1393">
        <v>1</v>
      </c>
      <c r="O1393" s="39"/>
      <c r="P1393" s="16">
        <v>28449.38</v>
      </c>
      <c r="S1393" s="17"/>
    </row>
    <row r="1394" spans="1:19" x14ac:dyDescent="0.4">
      <c r="A1394">
        <v>7374615</v>
      </c>
      <c r="B1394" s="15">
        <v>47</v>
      </c>
      <c r="C1394" s="12" t="s">
        <v>122</v>
      </c>
      <c r="D1394" s="12" t="s">
        <v>134</v>
      </c>
      <c r="E1394" s="12" t="s">
        <v>149</v>
      </c>
      <c r="F1394" s="12" t="s">
        <v>144</v>
      </c>
      <c r="G1394" s="14">
        <f t="shared" ca="1" si="21"/>
        <v>399310.69469729782</v>
      </c>
      <c r="H1394" s="12" t="s">
        <v>171</v>
      </c>
      <c r="I1394">
        <v>0</v>
      </c>
      <c r="J1394">
        <v>40</v>
      </c>
      <c r="K1394" s="12" t="s">
        <v>181</v>
      </c>
      <c r="L1394">
        <v>0</v>
      </c>
      <c r="M1394">
        <v>0</v>
      </c>
      <c r="O1394" s="39"/>
      <c r="P1394" s="15">
        <v>209330.06</v>
      </c>
      <c r="S1394" s="17"/>
    </row>
    <row r="1395" spans="1:19" x14ac:dyDescent="0.4">
      <c r="A1395">
        <v>7389747</v>
      </c>
      <c r="B1395" s="16">
        <v>39</v>
      </c>
      <c r="C1395" s="12" t="s">
        <v>122</v>
      </c>
      <c r="D1395" s="12" t="s">
        <v>135</v>
      </c>
      <c r="E1395" s="12" t="s">
        <v>150</v>
      </c>
      <c r="F1395" s="12" t="s">
        <v>160</v>
      </c>
      <c r="G1395" s="14">
        <f t="shared" ca="1" si="21"/>
        <v>56923.680418967808</v>
      </c>
      <c r="H1395" s="12" t="s">
        <v>172</v>
      </c>
      <c r="I1395">
        <v>0</v>
      </c>
      <c r="J1395">
        <v>40</v>
      </c>
      <c r="K1395" s="12" t="s">
        <v>176</v>
      </c>
      <c r="L1395">
        <v>0</v>
      </c>
      <c r="M1395">
        <v>0</v>
      </c>
      <c r="O1395" s="39"/>
      <c r="P1395" s="16">
        <v>28472.93</v>
      </c>
      <c r="S1395" s="17"/>
    </row>
    <row r="1396" spans="1:19" x14ac:dyDescent="0.4">
      <c r="A1396">
        <v>7390233</v>
      </c>
      <c r="B1396" s="15">
        <v>35</v>
      </c>
      <c r="C1396" s="12" t="s">
        <v>122</v>
      </c>
      <c r="D1396" s="12" t="s">
        <v>134</v>
      </c>
      <c r="E1396" s="12" t="s">
        <v>149</v>
      </c>
      <c r="F1396" s="12" t="s">
        <v>157</v>
      </c>
      <c r="G1396" s="14">
        <f t="shared" ca="1" si="21"/>
        <v>78890.888313759104</v>
      </c>
      <c r="H1396" s="12" t="s">
        <v>172</v>
      </c>
      <c r="I1396">
        <v>0</v>
      </c>
      <c r="J1396">
        <v>50</v>
      </c>
      <c r="K1396" s="12" t="s">
        <v>176</v>
      </c>
      <c r="L1396">
        <v>0</v>
      </c>
      <c r="M1396">
        <v>0</v>
      </c>
      <c r="O1396" s="39"/>
      <c r="P1396" s="15">
        <v>57337.88</v>
      </c>
      <c r="S1396" s="17"/>
    </row>
    <row r="1397" spans="1:19" x14ac:dyDescent="0.4">
      <c r="A1397">
        <v>7391275</v>
      </c>
      <c r="B1397" s="16">
        <v>18</v>
      </c>
      <c r="C1397" s="12" t="s">
        <v>122</v>
      </c>
      <c r="D1397" s="12" t="s">
        <v>134</v>
      </c>
      <c r="E1397" s="12" t="s">
        <v>150</v>
      </c>
      <c r="F1397" s="12" t="s">
        <v>162</v>
      </c>
      <c r="G1397" s="14">
        <f t="shared" ca="1" si="21"/>
        <v>283378.96383950376</v>
      </c>
      <c r="H1397" s="12" t="s">
        <v>171</v>
      </c>
      <c r="I1397">
        <v>0</v>
      </c>
      <c r="J1397">
        <v>24</v>
      </c>
      <c r="K1397" s="12" t="s">
        <v>176</v>
      </c>
      <c r="L1397">
        <v>0</v>
      </c>
      <c r="M1397">
        <v>0</v>
      </c>
      <c r="O1397" s="39"/>
      <c r="P1397" s="16">
        <v>233575.14</v>
      </c>
      <c r="S1397" s="17"/>
    </row>
    <row r="1398" spans="1:19" x14ac:dyDescent="0.4">
      <c r="A1398">
        <v>7395861</v>
      </c>
      <c r="B1398" s="15">
        <v>45</v>
      </c>
      <c r="C1398" s="12" t="s">
        <v>124</v>
      </c>
      <c r="D1398" s="12" t="s">
        <v>143</v>
      </c>
      <c r="E1398" s="12" t="s">
        <v>152</v>
      </c>
      <c r="F1398" s="12" t="s">
        <v>159</v>
      </c>
      <c r="G1398" s="14">
        <f t="shared" ca="1" si="21"/>
        <v>76745.722513881497</v>
      </c>
      <c r="H1398" s="12" t="s">
        <v>172</v>
      </c>
      <c r="I1398">
        <v>0</v>
      </c>
      <c r="J1398">
        <v>40</v>
      </c>
      <c r="K1398" s="12" t="s">
        <v>129</v>
      </c>
      <c r="L1398">
        <v>1083</v>
      </c>
      <c r="M1398">
        <v>1</v>
      </c>
      <c r="O1398" s="39"/>
      <c r="P1398" s="15">
        <v>52650.6</v>
      </c>
      <c r="S1398" s="17"/>
    </row>
    <row r="1399" spans="1:19" x14ac:dyDescent="0.4">
      <c r="A1399">
        <v>7403264</v>
      </c>
      <c r="B1399" s="16">
        <v>38</v>
      </c>
      <c r="C1399" s="12" t="s">
        <v>126</v>
      </c>
      <c r="D1399" s="12" t="s">
        <v>138</v>
      </c>
      <c r="E1399" s="12" t="s">
        <v>151</v>
      </c>
      <c r="F1399" s="12" t="s">
        <v>158</v>
      </c>
      <c r="G1399" s="14">
        <f t="shared" ca="1" si="21"/>
        <v>87826.2058641779</v>
      </c>
      <c r="H1399" s="12" t="s">
        <v>171</v>
      </c>
      <c r="I1399">
        <v>0</v>
      </c>
      <c r="J1399">
        <v>40</v>
      </c>
      <c r="K1399" s="12" t="s">
        <v>176</v>
      </c>
      <c r="L1399">
        <v>0</v>
      </c>
      <c r="M1399">
        <v>0</v>
      </c>
      <c r="O1399" s="39"/>
      <c r="P1399" s="16">
        <v>68740.66</v>
      </c>
      <c r="S1399" s="17"/>
    </row>
    <row r="1400" spans="1:19" x14ac:dyDescent="0.4">
      <c r="A1400">
        <v>7414277</v>
      </c>
      <c r="B1400" s="15">
        <v>34</v>
      </c>
      <c r="C1400" s="12" t="s">
        <v>122</v>
      </c>
      <c r="D1400" s="12" t="s">
        <v>134</v>
      </c>
      <c r="E1400" s="12" t="s">
        <v>150</v>
      </c>
      <c r="F1400" s="12" t="s">
        <v>156</v>
      </c>
      <c r="G1400" s="14">
        <f t="shared" ca="1" si="21"/>
        <v>206896.743975063</v>
      </c>
      <c r="H1400" s="12" t="s">
        <v>172</v>
      </c>
      <c r="I1400">
        <v>0</v>
      </c>
      <c r="J1400">
        <v>40</v>
      </c>
      <c r="K1400" s="12" t="s">
        <v>207</v>
      </c>
      <c r="L1400">
        <v>0</v>
      </c>
      <c r="M1400">
        <v>0</v>
      </c>
      <c r="O1400" s="39"/>
      <c r="P1400" s="15">
        <v>114444.64</v>
      </c>
      <c r="S1400" s="17"/>
    </row>
    <row r="1401" spans="1:19" x14ac:dyDescent="0.4">
      <c r="A1401">
        <v>7422638</v>
      </c>
      <c r="B1401" s="16">
        <v>19</v>
      </c>
      <c r="C1401" s="12" t="s">
        <v>122</v>
      </c>
      <c r="D1401" s="12" t="s">
        <v>132</v>
      </c>
      <c r="E1401" s="12" t="s">
        <v>150</v>
      </c>
      <c r="F1401" s="12" t="s">
        <v>166</v>
      </c>
      <c r="G1401" s="14">
        <f t="shared" ca="1" si="21"/>
        <v>298675.7118525519</v>
      </c>
      <c r="H1401" s="12" t="s">
        <v>172</v>
      </c>
      <c r="I1401">
        <v>0</v>
      </c>
      <c r="J1401">
        <v>8</v>
      </c>
      <c r="K1401" s="12" t="s">
        <v>176</v>
      </c>
      <c r="L1401">
        <v>0</v>
      </c>
      <c r="M1401">
        <v>0</v>
      </c>
      <c r="O1401" s="39"/>
      <c r="P1401" s="16">
        <v>153227.35</v>
      </c>
      <c r="S1401" s="17"/>
    </row>
    <row r="1402" spans="1:19" x14ac:dyDescent="0.4">
      <c r="A1402">
        <v>7423390</v>
      </c>
      <c r="B1402" s="15">
        <v>55</v>
      </c>
      <c r="C1402" s="12" t="s">
        <v>122</v>
      </c>
      <c r="D1402" s="12" t="s">
        <v>132</v>
      </c>
      <c r="E1402" s="12" t="s">
        <v>152</v>
      </c>
      <c r="F1402" s="12" t="s">
        <v>166</v>
      </c>
      <c r="G1402" s="14">
        <f t="shared" ca="1" si="21"/>
        <v>73730.376928378275</v>
      </c>
      <c r="H1402" s="12" t="s">
        <v>172</v>
      </c>
      <c r="I1402">
        <v>0</v>
      </c>
      <c r="J1402">
        <v>40</v>
      </c>
      <c r="K1402" s="12" t="s">
        <v>129</v>
      </c>
      <c r="L1402">
        <v>5486</v>
      </c>
      <c r="M1402">
        <v>1</v>
      </c>
      <c r="O1402" s="39"/>
      <c r="P1402" s="15">
        <v>56010.67</v>
      </c>
      <c r="S1402" s="17"/>
    </row>
    <row r="1403" spans="1:19" x14ac:dyDescent="0.4">
      <c r="A1403">
        <v>7433018</v>
      </c>
      <c r="B1403" s="16">
        <v>24</v>
      </c>
      <c r="C1403" s="12" t="s">
        <v>122</v>
      </c>
      <c r="D1403" s="12" t="s">
        <v>134</v>
      </c>
      <c r="E1403" s="12" t="s">
        <v>152</v>
      </c>
      <c r="F1403" s="12" t="s">
        <v>159</v>
      </c>
      <c r="G1403" s="14">
        <f t="shared" ca="1" si="21"/>
        <v>110429.41861410956</v>
      </c>
      <c r="H1403" s="12" t="s">
        <v>172</v>
      </c>
      <c r="I1403">
        <v>0</v>
      </c>
      <c r="J1403">
        <v>50</v>
      </c>
      <c r="K1403" s="12" t="s">
        <v>176</v>
      </c>
      <c r="L1403">
        <v>0</v>
      </c>
      <c r="M1403">
        <v>0</v>
      </c>
      <c r="O1403" s="39"/>
      <c r="P1403" s="16">
        <v>56339.72</v>
      </c>
      <c r="S1403" s="17"/>
    </row>
    <row r="1404" spans="1:19" x14ac:dyDescent="0.4">
      <c r="A1404">
        <v>7434560</v>
      </c>
      <c r="B1404" s="15">
        <v>48</v>
      </c>
      <c r="C1404" s="12" t="s">
        <v>122</v>
      </c>
      <c r="D1404" s="12" t="s">
        <v>134</v>
      </c>
      <c r="E1404" s="12" t="s">
        <v>152</v>
      </c>
      <c r="F1404" s="12" t="s">
        <v>157</v>
      </c>
      <c r="G1404" s="14">
        <f t="shared" ca="1" si="21"/>
        <v>56592.574762352982</v>
      </c>
      <c r="H1404" s="12" t="s">
        <v>172</v>
      </c>
      <c r="I1404">
        <v>0</v>
      </c>
      <c r="J1404">
        <v>45</v>
      </c>
      <c r="K1404" s="12" t="s">
        <v>176</v>
      </c>
      <c r="L1404">
        <v>0</v>
      </c>
      <c r="M1404">
        <v>0</v>
      </c>
      <c r="O1404" s="39"/>
      <c r="P1404" s="15">
        <v>42018.75</v>
      </c>
      <c r="S1404" s="17"/>
    </row>
    <row r="1405" spans="1:19" x14ac:dyDescent="0.4">
      <c r="A1405">
        <v>7439452</v>
      </c>
      <c r="B1405" s="16">
        <v>57</v>
      </c>
      <c r="C1405" s="12" t="s">
        <v>129</v>
      </c>
      <c r="D1405" s="12" t="s">
        <v>134</v>
      </c>
      <c r="E1405" s="12" t="s">
        <v>152</v>
      </c>
      <c r="F1405" s="12" t="s">
        <v>129</v>
      </c>
      <c r="G1405" s="14">
        <f t="shared" ca="1" si="21"/>
        <v>45800.688608835255</v>
      </c>
      <c r="H1405" s="12" t="s">
        <v>172</v>
      </c>
      <c r="I1405">
        <v>0</v>
      </c>
      <c r="J1405">
        <v>60</v>
      </c>
      <c r="K1405" s="12" t="s">
        <v>176</v>
      </c>
      <c r="L1405">
        <v>0</v>
      </c>
      <c r="M1405">
        <v>0</v>
      </c>
      <c r="O1405" s="39"/>
      <c r="P1405" s="16">
        <v>26957.360000000001</v>
      </c>
      <c r="S1405" s="17"/>
    </row>
    <row r="1406" spans="1:19" x14ac:dyDescent="0.4">
      <c r="A1406">
        <v>7440283</v>
      </c>
      <c r="B1406" s="15">
        <v>61</v>
      </c>
      <c r="C1406" s="12" t="s">
        <v>122</v>
      </c>
      <c r="D1406" s="12" t="s">
        <v>134</v>
      </c>
      <c r="E1406" s="12" t="s">
        <v>153</v>
      </c>
      <c r="F1406" s="12" t="s">
        <v>160</v>
      </c>
      <c r="G1406" s="14">
        <f t="shared" ca="1" si="21"/>
        <v>138357.28283213681</v>
      </c>
      <c r="H1406" s="12" t="s">
        <v>171</v>
      </c>
      <c r="I1406">
        <v>0</v>
      </c>
      <c r="J1406">
        <v>40</v>
      </c>
      <c r="K1406" s="12" t="s">
        <v>176</v>
      </c>
      <c r="L1406">
        <v>0</v>
      </c>
      <c r="M1406">
        <v>0</v>
      </c>
      <c r="O1406" s="39"/>
      <c r="P1406" s="15">
        <v>70465.25</v>
      </c>
      <c r="S1406" s="17"/>
    </row>
    <row r="1407" spans="1:19" x14ac:dyDescent="0.4">
      <c r="A1407">
        <v>7451499</v>
      </c>
      <c r="B1407" s="16">
        <v>48</v>
      </c>
      <c r="C1407" s="12" t="s">
        <v>122</v>
      </c>
      <c r="D1407" s="12" t="s">
        <v>139</v>
      </c>
      <c r="E1407" s="12" t="s">
        <v>151</v>
      </c>
      <c r="F1407" s="12" t="s">
        <v>156</v>
      </c>
      <c r="G1407" s="14">
        <f t="shared" ca="1" si="21"/>
        <v>131301.71564296653</v>
      </c>
      <c r="H1407" s="12" t="s">
        <v>171</v>
      </c>
      <c r="I1407">
        <v>0</v>
      </c>
      <c r="J1407">
        <v>31</v>
      </c>
      <c r="K1407" s="12" t="s">
        <v>176</v>
      </c>
      <c r="L1407">
        <v>0</v>
      </c>
      <c r="M1407">
        <v>0</v>
      </c>
      <c r="O1407" s="39"/>
      <c r="P1407" s="16">
        <v>87539.7</v>
      </c>
      <c r="S1407" s="17"/>
    </row>
    <row r="1408" spans="1:19" x14ac:dyDescent="0.4">
      <c r="A1408">
        <v>7452500</v>
      </c>
      <c r="B1408" s="15">
        <v>23</v>
      </c>
      <c r="C1408" s="12" t="s">
        <v>123</v>
      </c>
      <c r="D1408" s="12" t="s">
        <v>134</v>
      </c>
      <c r="E1408" s="12" t="s">
        <v>150</v>
      </c>
      <c r="F1408" s="12" t="s">
        <v>157</v>
      </c>
      <c r="G1408" s="14">
        <f t="shared" ca="1" si="21"/>
        <v>51433.692730401417</v>
      </c>
      <c r="H1408" s="12" t="s">
        <v>172</v>
      </c>
      <c r="I1408">
        <v>0</v>
      </c>
      <c r="J1408">
        <v>40</v>
      </c>
      <c r="K1408" s="12" t="s">
        <v>176</v>
      </c>
      <c r="L1408">
        <v>0</v>
      </c>
      <c r="M1408">
        <v>0</v>
      </c>
      <c r="O1408" s="39"/>
      <c r="P1408" s="15">
        <v>30045.279999999999</v>
      </c>
      <c r="S1408" s="17"/>
    </row>
    <row r="1409" spans="1:19" x14ac:dyDescent="0.4">
      <c r="A1409">
        <v>7455833</v>
      </c>
      <c r="B1409" s="16">
        <v>26</v>
      </c>
      <c r="C1409" s="12" t="s">
        <v>122</v>
      </c>
      <c r="D1409" s="12" t="s">
        <v>134</v>
      </c>
      <c r="E1409" s="12" t="s">
        <v>150</v>
      </c>
      <c r="F1409" s="12" t="s">
        <v>161</v>
      </c>
      <c r="G1409" s="14">
        <f t="shared" ca="1" si="21"/>
        <v>314703.11909841432</v>
      </c>
      <c r="H1409" s="12" t="s">
        <v>172</v>
      </c>
      <c r="I1409">
        <v>0</v>
      </c>
      <c r="J1409">
        <v>40</v>
      </c>
      <c r="K1409" s="12" t="s">
        <v>176</v>
      </c>
      <c r="L1409">
        <v>0</v>
      </c>
      <c r="M1409">
        <v>0</v>
      </c>
      <c r="O1409" s="39"/>
      <c r="P1409" s="16">
        <v>206381.36</v>
      </c>
      <c r="S1409" s="17"/>
    </row>
    <row r="1410" spans="1:19" x14ac:dyDescent="0.4">
      <c r="A1410">
        <v>7459731</v>
      </c>
      <c r="B1410" s="15">
        <v>32</v>
      </c>
      <c r="C1410" s="12" t="s">
        <v>122</v>
      </c>
      <c r="D1410" s="12" t="s">
        <v>134</v>
      </c>
      <c r="E1410" s="12" t="s">
        <v>150</v>
      </c>
      <c r="F1410" s="12" t="s">
        <v>164</v>
      </c>
      <c r="G1410" s="14">
        <f t="shared" ca="1" si="21"/>
        <v>196745.38276534373</v>
      </c>
      <c r="H1410" s="12" t="s">
        <v>171</v>
      </c>
      <c r="I1410">
        <v>0</v>
      </c>
      <c r="J1410">
        <v>45</v>
      </c>
      <c r="K1410" s="12" t="s">
        <v>176</v>
      </c>
      <c r="L1410">
        <v>0</v>
      </c>
      <c r="M1410">
        <v>0</v>
      </c>
      <c r="O1410" s="39"/>
      <c r="P1410" s="15">
        <v>132792.04</v>
      </c>
      <c r="S1410" s="17"/>
    </row>
    <row r="1411" spans="1:19" x14ac:dyDescent="0.4">
      <c r="A1411">
        <v>7461816</v>
      </c>
      <c r="B1411" s="16">
        <v>33</v>
      </c>
      <c r="C1411" s="12" t="s">
        <v>129</v>
      </c>
      <c r="D1411" s="12" t="s">
        <v>139</v>
      </c>
      <c r="E1411" s="12" t="s">
        <v>151</v>
      </c>
      <c r="F1411" s="12" t="s">
        <v>129</v>
      </c>
      <c r="G1411" s="14">
        <f t="shared" ca="1" si="21"/>
        <v>138441.13533584596</v>
      </c>
      <c r="H1411" s="12" t="s">
        <v>172</v>
      </c>
      <c r="I1411">
        <v>0</v>
      </c>
      <c r="J1411">
        <v>53</v>
      </c>
      <c r="K1411" s="12" t="s">
        <v>176</v>
      </c>
      <c r="L1411">
        <v>0</v>
      </c>
      <c r="M1411">
        <v>0</v>
      </c>
      <c r="O1411" s="39"/>
      <c r="P1411" s="16">
        <v>137801.39000000001</v>
      </c>
      <c r="S1411" s="17"/>
    </row>
    <row r="1412" spans="1:19" x14ac:dyDescent="0.4">
      <c r="A1412">
        <v>7476540</v>
      </c>
      <c r="B1412" s="15">
        <v>42</v>
      </c>
      <c r="C1412" s="12" t="s">
        <v>122</v>
      </c>
      <c r="D1412" s="12" t="s">
        <v>134</v>
      </c>
      <c r="E1412" s="12" t="s">
        <v>149</v>
      </c>
      <c r="F1412" s="12" t="s">
        <v>156</v>
      </c>
      <c r="G1412" s="14">
        <f t="shared" ca="1" si="21"/>
        <v>473158.503040849</v>
      </c>
      <c r="H1412" s="12" t="s">
        <v>171</v>
      </c>
      <c r="I1412">
        <v>0</v>
      </c>
      <c r="J1412">
        <v>25</v>
      </c>
      <c r="K1412" s="12" t="s">
        <v>176</v>
      </c>
      <c r="L1412">
        <v>0</v>
      </c>
      <c r="M1412">
        <v>0</v>
      </c>
      <c r="O1412" s="39"/>
      <c r="P1412" s="15">
        <v>267843.59000000003</v>
      </c>
      <c r="S1412" s="17"/>
    </row>
    <row r="1413" spans="1:19" x14ac:dyDescent="0.4">
      <c r="A1413">
        <v>7481047</v>
      </c>
      <c r="B1413" s="16">
        <v>47</v>
      </c>
      <c r="C1413" s="12" t="s">
        <v>126</v>
      </c>
      <c r="D1413" s="12" t="s">
        <v>137</v>
      </c>
      <c r="E1413" s="12" t="s">
        <v>152</v>
      </c>
      <c r="F1413" s="12" t="s">
        <v>160</v>
      </c>
      <c r="G1413" s="14">
        <f t="shared" ca="1" si="21"/>
        <v>19282.796177515447</v>
      </c>
      <c r="H1413" s="12" t="s">
        <v>172</v>
      </c>
      <c r="I1413">
        <v>0</v>
      </c>
      <c r="J1413">
        <v>38</v>
      </c>
      <c r="K1413" s="12" t="s">
        <v>176</v>
      </c>
      <c r="L1413">
        <v>14026</v>
      </c>
      <c r="M1413">
        <v>1</v>
      </c>
      <c r="O1413" s="39"/>
      <c r="P1413" s="16">
        <v>17357.59</v>
      </c>
      <c r="S1413" s="17"/>
    </row>
    <row r="1414" spans="1:19" x14ac:dyDescent="0.4">
      <c r="A1414">
        <v>7488134</v>
      </c>
      <c r="B1414" s="15">
        <v>45</v>
      </c>
      <c r="C1414" s="12" t="s">
        <v>125</v>
      </c>
      <c r="D1414" s="12" t="s">
        <v>138</v>
      </c>
      <c r="E1414" s="12" t="s">
        <v>150</v>
      </c>
      <c r="F1414" s="12" t="s">
        <v>144</v>
      </c>
      <c r="G1414" s="14">
        <f t="shared" ca="1" si="21"/>
        <v>56539.294634867976</v>
      </c>
      <c r="H1414" s="12" t="s">
        <v>171</v>
      </c>
      <c r="I1414">
        <v>0</v>
      </c>
      <c r="J1414">
        <v>40</v>
      </c>
      <c r="K1414" s="12" t="s">
        <v>176</v>
      </c>
      <c r="L1414">
        <v>0</v>
      </c>
      <c r="M1414">
        <v>0</v>
      </c>
      <c r="O1414" s="39"/>
      <c r="P1414" s="15">
        <v>54304.38</v>
      </c>
      <c r="S1414" s="17"/>
    </row>
    <row r="1415" spans="1:19" x14ac:dyDescent="0.4">
      <c r="A1415">
        <v>7488473</v>
      </c>
      <c r="B1415" s="16">
        <v>45</v>
      </c>
      <c r="C1415" s="12" t="s">
        <v>129</v>
      </c>
      <c r="D1415" s="12" t="s">
        <v>134</v>
      </c>
      <c r="E1415" s="12" t="s">
        <v>153</v>
      </c>
      <c r="F1415" s="12" t="s">
        <v>129</v>
      </c>
      <c r="G1415" s="14">
        <f t="shared" ca="1" si="21"/>
        <v>200050.68662176444</v>
      </c>
      <c r="H1415" s="12" t="s">
        <v>171</v>
      </c>
      <c r="I1415">
        <v>0</v>
      </c>
      <c r="J1415">
        <v>38</v>
      </c>
      <c r="K1415" s="12" t="s">
        <v>176</v>
      </c>
      <c r="L1415">
        <v>0</v>
      </c>
      <c r="M1415">
        <v>0</v>
      </c>
      <c r="O1415" s="39"/>
      <c r="P1415" s="16">
        <v>119448.83</v>
      </c>
      <c r="S1415" s="17"/>
    </row>
    <row r="1416" spans="1:19" x14ac:dyDescent="0.4">
      <c r="A1416">
        <v>7498193</v>
      </c>
      <c r="B1416" s="15">
        <v>29</v>
      </c>
      <c r="C1416" s="12" t="s">
        <v>122</v>
      </c>
      <c r="D1416" s="12" t="s">
        <v>134</v>
      </c>
      <c r="E1416" s="12" t="s">
        <v>151</v>
      </c>
      <c r="F1416" s="12" t="s">
        <v>156</v>
      </c>
      <c r="G1416" s="14">
        <f t="shared" ca="1" si="21"/>
        <v>113631.30109491528</v>
      </c>
      <c r="H1416" s="12" t="s">
        <v>171</v>
      </c>
      <c r="I1416">
        <v>0</v>
      </c>
      <c r="J1416">
        <v>40</v>
      </c>
      <c r="K1416" s="12" t="s">
        <v>176</v>
      </c>
      <c r="L1416">
        <v>0</v>
      </c>
      <c r="M1416">
        <v>0</v>
      </c>
      <c r="O1416" s="39"/>
      <c r="P1416" s="15">
        <v>112370.96</v>
      </c>
      <c r="S1416" s="17"/>
    </row>
    <row r="1417" spans="1:19" x14ac:dyDescent="0.4">
      <c r="A1417">
        <v>7500338</v>
      </c>
      <c r="B1417" s="16">
        <v>26</v>
      </c>
      <c r="C1417" s="12" t="s">
        <v>127</v>
      </c>
      <c r="D1417" s="12" t="s">
        <v>134</v>
      </c>
      <c r="E1417" s="12" t="s">
        <v>150</v>
      </c>
      <c r="F1417" s="12" t="s">
        <v>158</v>
      </c>
      <c r="G1417" s="14">
        <f t="shared" ca="1" si="21"/>
        <v>83437.912786133209</v>
      </c>
      <c r="H1417" s="12" t="s">
        <v>171</v>
      </c>
      <c r="I1417">
        <v>0</v>
      </c>
      <c r="J1417">
        <v>40</v>
      </c>
      <c r="K1417" s="12" t="s">
        <v>176</v>
      </c>
      <c r="L1417">
        <v>0</v>
      </c>
      <c r="M1417">
        <v>0</v>
      </c>
      <c r="O1417" s="39"/>
      <c r="P1417" s="16">
        <v>42159.58</v>
      </c>
      <c r="S1417" s="17"/>
    </row>
    <row r="1418" spans="1:19" x14ac:dyDescent="0.4">
      <c r="A1418">
        <v>7501430</v>
      </c>
      <c r="B1418" s="15">
        <v>43</v>
      </c>
      <c r="C1418" s="12" t="s">
        <v>122</v>
      </c>
      <c r="D1418" s="12" t="s">
        <v>134</v>
      </c>
      <c r="E1418" s="12" t="s">
        <v>152</v>
      </c>
      <c r="F1418" s="12" t="s">
        <v>156</v>
      </c>
      <c r="G1418" s="14">
        <f t="shared" ca="1" si="21"/>
        <v>23814.115587122771</v>
      </c>
      <c r="H1418" s="12" t="s">
        <v>172</v>
      </c>
      <c r="I1418">
        <v>0</v>
      </c>
      <c r="J1418">
        <v>60</v>
      </c>
      <c r="K1418" s="12" t="s">
        <v>193</v>
      </c>
      <c r="L1418">
        <v>0</v>
      </c>
      <c r="M1418">
        <v>0</v>
      </c>
      <c r="O1418" s="39"/>
      <c r="P1418" s="15">
        <v>14387.48</v>
      </c>
      <c r="S1418" s="17"/>
    </row>
    <row r="1419" spans="1:19" x14ac:dyDescent="0.4">
      <c r="A1419">
        <v>7502026</v>
      </c>
      <c r="B1419" s="16">
        <v>37</v>
      </c>
      <c r="C1419" s="12" t="s">
        <v>122</v>
      </c>
      <c r="D1419" s="12" t="s">
        <v>134</v>
      </c>
      <c r="E1419" s="12" t="s">
        <v>151</v>
      </c>
      <c r="F1419" s="12" t="s">
        <v>161</v>
      </c>
      <c r="G1419" s="14">
        <f t="shared" ref="G1419:G1482" ca="1" si="22">P1419*(1+RAND())</f>
        <v>227444.10233803617</v>
      </c>
      <c r="H1419" s="12" t="s">
        <v>171</v>
      </c>
      <c r="I1419">
        <v>0</v>
      </c>
      <c r="J1419">
        <v>32</v>
      </c>
      <c r="K1419" s="12" t="s">
        <v>176</v>
      </c>
      <c r="L1419">
        <v>0</v>
      </c>
      <c r="M1419">
        <v>0</v>
      </c>
      <c r="O1419" s="39"/>
      <c r="P1419" s="16">
        <v>122630.3</v>
      </c>
      <c r="S1419" s="17"/>
    </row>
    <row r="1420" spans="1:19" x14ac:dyDescent="0.4">
      <c r="A1420">
        <v>7502930</v>
      </c>
      <c r="B1420" s="15">
        <v>39</v>
      </c>
      <c r="C1420" s="12" t="s">
        <v>122</v>
      </c>
      <c r="D1420" s="12" t="s">
        <v>138</v>
      </c>
      <c r="E1420" s="12" t="s">
        <v>152</v>
      </c>
      <c r="F1420" s="12" t="s">
        <v>144</v>
      </c>
      <c r="G1420" s="14">
        <f t="shared" ca="1" si="22"/>
        <v>96531.727740084345</v>
      </c>
      <c r="H1420" s="12" t="s">
        <v>172</v>
      </c>
      <c r="I1420">
        <v>0</v>
      </c>
      <c r="J1420">
        <v>50</v>
      </c>
      <c r="K1420" s="12" t="s">
        <v>176</v>
      </c>
      <c r="L1420">
        <v>0</v>
      </c>
      <c r="M1420">
        <v>1</v>
      </c>
      <c r="O1420" s="39"/>
      <c r="P1420" s="15">
        <v>50729.09</v>
      </c>
      <c r="S1420" s="17"/>
    </row>
    <row r="1421" spans="1:19" x14ac:dyDescent="0.4">
      <c r="A1421">
        <v>7509431</v>
      </c>
      <c r="B1421" s="16">
        <v>30</v>
      </c>
      <c r="C1421" s="12" t="s">
        <v>122</v>
      </c>
      <c r="D1421" s="12" t="s">
        <v>134</v>
      </c>
      <c r="E1421" s="12" t="s">
        <v>152</v>
      </c>
      <c r="F1421" s="12" t="s">
        <v>157</v>
      </c>
      <c r="G1421" s="14">
        <f t="shared" ca="1" si="22"/>
        <v>90729.679623614618</v>
      </c>
      <c r="H1421" s="12" t="s">
        <v>172</v>
      </c>
      <c r="I1421">
        <v>0</v>
      </c>
      <c r="J1421">
        <v>40</v>
      </c>
      <c r="K1421" s="12" t="s">
        <v>176</v>
      </c>
      <c r="L1421">
        <v>0</v>
      </c>
      <c r="M1421">
        <v>0</v>
      </c>
      <c r="O1421" s="39"/>
      <c r="P1421" s="16">
        <v>51135.68</v>
      </c>
      <c r="S1421" s="17"/>
    </row>
    <row r="1422" spans="1:19" x14ac:dyDescent="0.4">
      <c r="A1422">
        <v>7516885</v>
      </c>
      <c r="B1422" s="15">
        <v>42</v>
      </c>
      <c r="C1422" s="12" t="s">
        <v>122</v>
      </c>
      <c r="D1422" s="12" t="s">
        <v>135</v>
      </c>
      <c r="E1422" s="12" t="s">
        <v>150</v>
      </c>
      <c r="F1422" s="12" t="s">
        <v>162</v>
      </c>
      <c r="G1422" s="14">
        <f t="shared" ca="1" si="22"/>
        <v>52268.896013887184</v>
      </c>
      <c r="H1422" s="12" t="s">
        <v>172</v>
      </c>
      <c r="I1422">
        <v>0</v>
      </c>
      <c r="J1422">
        <v>50</v>
      </c>
      <c r="K1422" s="12" t="s">
        <v>176</v>
      </c>
      <c r="L1422">
        <v>10520</v>
      </c>
      <c r="M1422">
        <v>1</v>
      </c>
      <c r="O1422" s="39"/>
      <c r="P1422" s="15">
        <v>34061.72</v>
      </c>
      <c r="S1422" s="17"/>
    </row>
    <row r="1423" spans="1:19" x14ac:dyDescent="0.4">
      <c r="A1423">
        <v>7522837</v>
      </c>
      <c r="B1423" s="16">
        <v>59</v>
      </c>
      <c r="C1423" s="12" t="s">
        <v>122</v>
      </c>
      <c r="D1423" s="12" t="s">
        <v>132</v>
      </c>
      <c r="E1423" s="12" t="s">
        <v>152</v>
      </c>
      <c r="F1423" s="12" t="s">
        <v>159</v>
      </c>
      <c r="G1423" s="14">
        <f t="shared" ca="1" si="22"/>
        <v>61271.936019953573</v>
      </c>
      <c r="H1423" s="12" t="s">
        <v>172</v>
      </c>
      <c r="I1423">
        <v>0</v>
      </c>
      <c r="J1423">
        <v>40</v>
      </c>
      <c r="K1423" s="12" t="s">
        <v>176</v>
      </c>
      <c r="L1423">
        <v>0</v>
      </c>
      <c r="M1423">
        <v>0</v>
      </c>
      <c r="O1423" s="39"/>
      <c r="P1423" s="16">
        <v>41927.58</v>
      </c>
      <c r="S1423" s="17"/>
    </row>
    <row r="1424" spans="1:19" x14ac:dyDescent="0.4">
      <c r="A1424">
        <v>7540496</v>
      </c>
      <c r="B1424" s="15">
        <v>35</v>
      </c>
      <c r="C1424" s="12" t="s">
        <v>124</v>
      </c>
      <c r="D1424" s="12" t="s">
        <v>134</v>
      </c>
      <c r="E1424" s="12" t="s">
        <v>152</v>
      </c>
      <c r="F1424" s="12" t="s">
        <v>156</v>
      </c>
      <c r="G1424" s="14">
        <f t="shared" ca="1" si="22"/>
        <v>68580.461474788492</v>
      </c>
      <c r="H1424" s="12" t="s">
        <v>172</v>
      </c>
      <c r="I1424">
        <v>0</v>
      </c>
      <c r="J1424">
        <v>60</v>
      </c>
      <c r="K1424" s="12" t="s">
        <v>176</v>
      </c>
      <c r="L1424">
        <v>0</v>
      </c>
      <c r="M1424">
        <v>0</v>
      </c>
      <c r="O1424" s="39"/>
      <c r="P1424" s="15">
        <v>45725.31</v>
      </c>
      <c r="S1424" s="17"/>
    </row>
    <row r="1425" spans="1:19" x14ac:dyDescent="0.4">
      <c r="A1425">
        <v>7547024</v>
      </c>
      <c r="B1425" s="16">
        <v>46</v>
      </c>
      <c r="C1425" s="12" t="s">
        <v>122</v>
      </c>
      <c r="D1425" s="12" t="s">
        <v>135</v>
      </c>
      <c r="E1425" s="12" t="s">
        <v>152</v>
      </c>
      <c r="F1425" s="12" t="s">
        <v>160</v>
      </c>
      <c r="G1425" s="14">
        <f t="shared" ca="1" si="22"/>
        <v>39145.791175973034</v>
      </c>
      <c r="H1425" s="12" t="s">
        <v>172</v>
      </c>
      <c r="I1425">
        <v>1902</v>
      </c>
      <c r="J1425">
        <v>50</v>
      </c>
      <c r="K1425" s="12" t="s">
        <v>176</v>
      </c>
      <c r="L1425">
        <v>11409</v>
      </c>
      <c r="M1425">
        <v>1</v>
      </c>
      <c r="O1425" s="39"/>
      <c r="P1425" s="16">
        <v>20933.41</v>
      </c>
      <c r="S1425" s="17"/>
    </row>
    <row r="1426" spans="1:19" x14ac:dyDescent="0.4">
      <c r="A1426">
        <v>7547102</v>
      </c>
      <c r="B1426" s="15">
        <v>20</v>
      </c>
      <c r="C1426" s="12" t="s">
        <v>122</v>
      </c>
      <c r="D1426" s="12" t="s">
        <v>132</v>
      </c>
      <c r="E1426" s="12" t="s">
        <v>150</v>
      </c>
      <c r="F1426" s="12" t="s">
        <v>158</v>
      </c>
      <c r="G1426" s="14">
        <f t="shared" ca="1" si="22"/>
        <v>219444.1833953922</v>
      </c>
      <c r="H1426" s="12" t="s">
        <v>171</v>
      </c>
      <c r="I1426">
        <v>0</v>
      </c>
      <c r="J1426">
        <v>20</v>
      </c>
      <c r="K1426" s="12" t="s">
        <v>176</v>
      </c>
      <c r="L1426">
        <v>0</v>
      </c>
      <c r="M1426">
        <v>0</v>
      </c>
      <c r="O1426" s="39"/>
      <c r="P1426" s="15">
        <v>139851.93</v>
      </c>
      <c r="S1426" s="17"/>
    </row>
    <row r="1427" spans="1:19" x14ac:dyDescent="0.4">
      <c r="A1427">
        <v>7549346</v>
      </c>
      <c r="B1427" s="16">
        <v>58</v>
      </c>
      <c r="C1427" s="12" t="s">
        <v>122</v>
      </c>
      <c r="D1427" s="12" t="s">
        <v>132</v>
      </c>
      <c r="E1427" s="12" t="s">
        <v>152</v>
      </c>
      <c r="F1427" s="12" t="s">
        <v>162</v>
      </c>
      <c r="G1427" s="14">
        <f t="shared" ca="1" si="22"/>
        <v>62425.180645072294</v>
      </c>
      <c r="H1427" s="12" t="s">
        <v>172</v>
      </c>
      <c r="I1427">
        <v>1887</v>
      </c>
      <c r="J1427">
        <v>40</v>
      </c>
      <c r="K1427" s="12" t="s">
        <v>176</v>
      </c>
      <c r="L1427">
        <v>5554</v>
      </c>
      <c r="M1427">
        <v>1</v>
      </c>
      <c r="O1427" s="39"/>
      <c r="P1427" s="16">
        <v>34827.24</v>
      </c>
      <c r="S1427" s="17"/>
    </row>
    <row r="1428" spans="1:19" x14ac:dyDescent="0.4">
      <c r="A1428">
        <v>7558814</v>
      </c>
      <c r="B1428" s="15">
        <v>25</v>
      </c>
      <c r="C1428" s="12" t="s">
        <v>126</v>
      </c>
      <c r="D1428" s="12" t="s">
        <v>132</v>
      </c>
      <c r="E1428" s="12" t="s">
        <v>150</v>
      </c>
      <c r="F1428" s="12" t="s">
        <v>164</v>
      </c>
      <c r="G1428" s="14">
        <f t="shared" ca="1" si="22"/>
        <v>322392.99013300601</v>
      </c>
      <c r="H1428" s="12" t="s">
        <v>172</v>
      </c>
      <c r="I1428">
        <v>0</v>
      </c>
      <c r="J1428">
        <v>40</v>
      </c>
      <c r="K1428" s="12" t="s">
        <v>176</v>
      </c>
      <c r="L1428">
        <v>0</v>
      </c>
      <c r="M1428">
        <v>0</v>
      </c>
      <c r="O1428" s="39"/>
      <c r="P1428" s="15">
        <v>167025.01</v>
      </c>
      <c r="S1428" s="17"/>
    </row>
    <row r="1429" spans="1:19" x14ac:dyDescent="0.4">
      <c r="A1429">
        <v>7565097</v>
      </c>
      <c r="B1429" s="16">
        <v>25</v>
      </c>
      <c r="C1429" s="12" t="s">
        <v>122</v>
      </c>
      <c r="D1429" s="12" t="s">
        <v>137</v>
      </c>
      <c r="E1429" s="12" t="s">
        <v>150</v>
      </c>
      <c r="F1429" s="12" t="s">
        <v>158</v>
      </c>
      <c r="G1429" s="14">
        <f t="shared" ca="1" si="22"/>
        <v>53377.512460997445</v>
      </c>
      <c r="H1429" s="12" t="s">
        <v>172</v>
      </c>
      <c r="I1429">
        <v>0</v>
      </c>
      <c r="J1429">
        <v>40</v>
      </c>
      <c r="K1429" s="12" t="s">
        <v>129</v>
      </c>
      <c r="L1429">
        <v>0</v>
      </c>
      <c r="M1429">
        <v>0</v>
      </c>
      <c r="O1429" s="39"/>
      <c r="P1429" s="16">
        <v>40121.65</v>
      </c>
      <c r="S1429" s="17"/>
    </row>
    <row r="1430" spans="1:19" x14ac:dyDescent="0.4">
      <c r="A1430">
        <v>7567290</v>
      </c>
      <c r="B1430" s="15">
        <v>33</v>
      </c>
      <c r="C1430" s="12" t="s">
        <v>122</v>
      </c>
      <c r="D1430" s="12" t="s">
        <v>134</v>
      </c>
      <c r="E1430" s="12" t="s">
        <v>152</v>
      </c>
      <c r="F1430" s="12" t="s">
        <v>157</v>
      </c>
      <c r="G1430" s="14">
        <f t="shared" ca="1" si="22"/>
        <v>51176.644837104781</v>
      </c>
      <c r="H1430" s="12" t="s">
        <v>172</v>
      </c>
      <c r="I1430">
        <v>0</v>
      </c>
      <c r="J1430">
        <v>40</v>
      </c>
      <c r="K1430" s="12" t="s">
        <v>176</v>
      </c>
      <c r="L1430">
        <v>0</v>
      </c>
      <c r="M1430">
        <v>0</v>
      </c>
      <c r="O1430" s="39"/>
      <c r="P1430" s="15">
        <v>51170.79</v>
      </c>
      <c r="S1430" s="17"/>
    </row>
    <row r="1431" spans="1:19" x14ac:dyDescent="0.4">
      <c r="A1431">
        <v>7567708</v>
      </c>
      <c r="B1431" s="16">
        <v>23</v>
      </c>
      <c r="C1431" s="12" t="s">
        <v>122</v>
      </c>
      <c r="D1431" s="12" t="s">
        <v>135</v>
      </c>
      <c r="E1431" s="12" t="s">
        <v>150</v>
      </c>
      <c r="F1431" s="12" t="s">
        <v>144</v>
      </c>
      <c r="G1431" s="14">
        <f t="shared" ca="1" si="22"/>
        <v>123930.92546155879</v>
      </c>
      <c r="H1431" s="12" t="s">
        <v>172</v>
      </c>
      <c r="I1431">
        <v>0</v>
      </c>
      <c r="J1431">
        <v>40</v>
      </c>
      <c r="K1431" s="12" t="s">
        <v>176</v>
      </c>
      <c r="L1431">
        <v>0</v>
      </c>
      <c r="M1431">
        <v>0</v>
      </c>
      <c r="O1431" s="39"/>
      <c r="P1431" s="16">
        <v>70436.56</v>
      </c>
      <c r="S1431" s="17"/>
    </row>
    <row r="1432" spans="1:19" x14ac:dyDescent="0.4">
      <c r="A1432">
        <v>7567947</v>
      </c>
      <c r="B1432" s="15">
        <v>27</v>
      </c>
      <c r="C1432" s="12" t="s">
        <v>122</v>
      </c>
      <c r="D1432" s="12" t="s">
        <v>134</v>
      </c>
      <c r="E1432" s="12" t="s">
        <v>152</v>
      </c>
      <c r="F1432" s="12" t="s">
        <v>159</v>
      </c>
      <c r="G1432" s="14">
        <f t="shared" ca="1" si="22"/>
        <v>22118.329234753648</v>
      </c>
      <c r="H1432" s="12" t="s">
        <v>172</v>
      </c>
      <c r="I1432">
        <v>0</v>
      </c>
      <c r="J1432">
        <v>40</v>
      </c>
      <c r="K1432" s="12" t="s">
        <v>176</v>
      </c>
      <c r="L1432">
        <v>0</v>
      </c>
      <c r="M1432">
        <v>0</v>
      </c>
      <c r="O1432" s="39"/>
      <c r="P1432" s="15">
        <v>19421.23</v>
      </c>
      <c r="S1432" s="17"/>
    </row>
    <row r="1433" spans="1:19" x14ac:dyDescent="0.4">
      <c r="A1433">
        <v>7572880</v>
      </c>
      <c r="B1433" s="16">
        <v>38</v>
      </c>
      <c r="C1433" s="12" t="s">
        <v>125</v>
      </c>
      <c r="D1433" s="12" t="s">
        <v>132</v>
      </c>
      <c r="E1433" s="12" t="s">
        <v>151</v>
      </c>
      <c r="F1433" s="12" t="s">
        <v>160</v>
      </c>
      <c r="G1433" s="14">
        <f t="shared" ca="1" si="22"/>
        <v>107362.91195073703</v>
      </c>
      <c r="H1433" s="12" t="s">
        <v>171</v>
      </c>
      <c r="I1433">
        <v>0</v>
      </c>
      <c r="J1433">
        <v>45</v>
      </c>
      <c r="K1433" s="12" t="s">
        <v>176</v>
      </c>
      <c r="L1433">
        <v>0</v>
      </c>
      <c r="M1433">
        <v>0</v>
      </c>
      <c r="O1433" s="39"/>
      <c r="P1433" s="16">
        <v>77851.75</v>
      </c>
      <c r="S1433" s="17"/>
    </row>
    <row r="1434" spans="1:19" x14ac:dyDescent="0.4">
      <c r="A1434">
        <v>7573552</v>
      </c>
      <c r="B1434" s="15">
        <v>53</v>
      </c>
      <c r="C1434" s="12" t="s">
        <v>122</v>
      </c>
      <c r="D1434" s="12" t="s">
        <v>142</v>
      </c>
      <c r="E1434" s="12" t="s">
        <v>151</v>
      </c>
      <c r="F1434" s="12" t="s">
        <v>156</v>
      </c>
      <c r="G1434" s="14">
        <f t="shared" ca="1" si="22"/>
        <v>76139.313057873151</v>
      </c>
      <c r="H1434" s="12" t="s">
        <v>171</v>
      </c>
      <c r="I1434">
        <v>0</v>
      </c>
      <c r="J1434">
        <v>36</v>
      </c>
      <c r="K1434" s="12" t="s">
        <v>208</v>
      </c>
      <c r="L1434">
        <v>0</v>
      </c>
      <c r="M1434">
        <v>0</v>
      </c>
      <c r="O1434" s="39"/>
      <c r="P1434" s="15">
        <v>55820.76</v>
      </c>
      <c r="S1434" s="17"/>
    </row>
    <row r="1435" spans="1:19" x14ac:dyDescent="0.4">
      <c r="A1435">
        <v>7573914</v>
      </c>
      <c r="B1435" s="16">
        <v>25</v>
      </c>
      <c r="C1435" s="12" t="s">
        <v>122</v>
      </c>
      <c r="D1435" s="12" t="s">
        <v>135</v>
      </c>
      <c r="E1435" s="12" t="s">
        <v>150</v>
      </c>
      <c r="F1435" s="12" t="s">
        <v>162</v>
      </c>
      <c r="G1435" s="14">
        <f t="shared" ca="1" si="22"/>
        <v>97647.184136641037</v>
      </c>
      <c r="H1435" s="12" t="s">
        <v>171</v>
      </c>
      <c r="I1435">
        <v>1250.6666666666699</v>
      </c>
      <c r="J1435">
        <v>40</v>
      </c>
      <c r="K1435" s="12" t="s">
        <v>176</v>
      </c>
      <c r="L1435">
        <v>0</v>
      </c>
      <c r="M1435">
        <v>0</v>
      </c>
      <c r="O1435" s="39"/>
      <c r="P1435" s="16">
        <v>82791.039999999994</v>
      </c>
      <c r="S1435" s="17"/>
    </row>
    <row r="1436" spans="1:19" x14ac:dyDescent="0.4">
      <c r="A1436">
        <v>7578258</v>
      </c>
      <c r="B1436" s="15">
        <v>46</v>
      </c>
      <c r="C1436" s="12" t="s">
        <v>122</v>
      </c>
      <c r="D1436" s="12" t="s">
        <v>142</v>
      </c>
      <c r="E1436" s="12" t="s">
        <v>152</v>
      </c>
      <c r="F1436" s="12" t="s">
        <v>156</v>
      </c>
      <c r="G1436" s="14">
        <f t="shared" ca="1" si="22"/>
        <v>7262.0966399283434</v>
      </c>
      <c r="H1436" s="12" t="s">
        <v>172</v>
      </c>
      <c r="I1436">
        <v>0</v>
      </c>
      <c r="J1436">
        <v>40</v>
      </c>
      <c r="K1436" s="12" t="s">
        <v>176</v>
      </c>
      <c r="L1436">
        <v>0</v>
      </c>
      <c r="M1436">
        <v>0</v>
      </c>
      <c r="O1436" s="39"/>
      <c r="P1436" s="15">
        <v>6469.39</v>
      </c>
      <c r="S1436" s="17"/>
    </row>
    <row r="1437" spans="1:19" x14ac:dyDescent="0.4">
      <c r="A1437">
        <v>7579532</v>
      </c>
      <c r="B1437" s="16">
        <v>17</v>
      </c>
      <c r="C1437" s="12" t="s">
        <v>124</v>
      </c>
      <c r="D1437" s="12" t="s">
        <v>140</v>
      </c>
      <c r="E1437" s="12" t="s">
        <v>150</v>
      </c>
      <c r="F1437" s="12" t="s">
        <v>159</v>
      </c>
      <c r="G1437" s="14">
        <f t="shared" ca="1" si="22"/>
        <v>111841.50299188853</v>
      </c>
      <c r="H1437" s="12" t="s">
        <v>172</v>
      </c>
      <c r="I1437">
        <v>0</v>
      </c>
      <c r="J1437">
        <v>40</v>
      </c>
      <c r="K1437" s="12" t="s">
        <v>176</v>
      </c>
      <c r="L1437">
        <v>0</v>
      </c>
      <c r="M1437">
        <v>0</v>
      </c>
      <c r="O1437" s="39"/>
      <c r="P1437" s="16">
        <v>97728.98</v>
      </c>
      <c r="S1437" s="17"/>
    </row>
    <row r="1438" spans="1:19" x14ac:dyDescent="0.4">
      <c r="A1438">
        <v>7582617</v>
      </c>
      <c r="B1438" s="15">
        <v>51</v>
      </c>
      <c r="C1438" s="12" t="s">
        <v>122</v>
      </c>
      <c r="D1438" s="12" t="s">
        <v>132</v>
      </c>
      <c r="E1438" s="12" t="s">
        <v>152</v>
      </c>
      <c r="F1438" s="12" t="s">
        <v>159</v>
      </c>
      <c r="G1438" s="14">
        <f t="shared" ca="1" si="22"/>
        <v>131730.34593989261</v>
      </c>
      <c r="H1438" s="12" t="s">
        <v>172</v>
      </c>
      <c r="I1438">
        <v>0</v>
      </c>
      <c r="J1438">
        <v>40</v>
      </c>
      <c r="K1438" s="12" t="s">
        <v>176</v>
      </c>
      <c r="L1438">
        <v>10753</v>
      </c>
      <c r="M1438">
        <v>1</v>
      </c>
      <c r="O1438" s="39"/>
      <c r="P1438" s="15">
        <v>70373.5</v>
      </c>
      <c r="S1438" s="17"/>
    </row>
    <row r="1439" spans="1:19" x14ac:dyDescent="0.4">
      <c r="A1439">
        <v>7584056</v>
      </c>
      <c r="B1439" s="16">
        <v>56</v>
      </c>
      <c r="C1439" s="12" t="s">
        <v>127</v>
      </c>
      <c r="D1439" s="12" t="s">
        <v>132</v>
      </c>
      <c r="E1439" s="12" t="s">
        <v>149</v>
      </c>
      <c r="F1439" s="12" t="s">
        <v>156</v>
      </c>
      <c r="G1439" s="14">
        <f t="shared" ca="1" si="22"/>
        <v>221362.9600503314</v>
      </c>
      <c r="H1439" s="12" t="s">
        <v>172</v>
      </c>
      <c r="I1439">
        <v>0</v>
      </c>
      <c r="J1439">
        <v>40</v>
      </c>
      <c r="K1439" s="12" t="s">
        <v>176</v>
      </c>
      <c r="L1439">
        <v>0</v>
      </c>
      <c r="M1439">
        <v>0</v>
      </c>
      <c r="O1439" s="39"/>
      <c r="P1439" s="16">
        <v>121064.39</v>
      </c>
      <c r="S1439" s="17"/>
    </row>
    <row r="1440" spans="1:19" x14ac:dyDescent="0.4">
      <c r="A1440">
        <v>7592464</v>
      </c>
      <c r="B1440" s="15">
        <v>39</v>
      </c>
      <c r="C1440" s="12" t="s">
        <v>122</v>
      </c>
      <c r="D1440" s="12" t="s">
        <v>134</v>
      </c>
      <c r="E1440" s="12" t="s">
        <v>152</v>
      </c>
      <c r="F1440" s="12" t="s">
        <v>156</v>
      </c>
      <c r="G1440" s="14">
        <f t="shared" ca="1" si="22"/>
        <v>423661.01829756395</v>
      </c>
      <c r="H1440" s="12" t="s">
        <v>171</v>
      </c>
      <c r="I1440">
        <v>0</v>
      </c>
      <c r="J1440">
        <v>40</v>
      </c>
      <c r="K1440" s="12" t="s">
        <v>176</v>
      </c>
      <c r="L1440">
        <v>0</v>
      </c>
      <c r="M1440">
        <v>0</v>
      </c>
      <c r="O1440" s="39"/>
      <c r="P1440" s="15">
        <v>261593.85</v>
      </c>
      <c r="S1440" s="17"/>
    </row>
    <row r="1441" spans="1:19" x14ac:dyDescent="0.4">
      <c r="A1441">
        <v>7606776</v>
      </c>
      <c r="B1441" s="16">
        <v>25</v>
      </c>
      <c r="C1441" s="12" t="s">
        <v>126</v>
      </c>
      <c r="D1441" s="12" t="s">
        <v>132</v>
      </c>
      <c r="E1441" s="12" t="s">
        <v>150</v>
      </c>
      <c r="F1441" s="12" t="s">
        <v>159</v>
      </c>
      <c r="G1441" s="14">
        <f t="shared" ca="1" si="22"/>
        <v>75193.410228295674</v>
      </c>
      <c r="H1441" s="12" t="s">
        <v>172</v>
      </c>
      <c r="I1441">
        <v>0</v>
      </c>
      <c r="J1441">
        <v>20</v>
      </c>
      <c r="K1441" s="12" t="s">
        <v>176</v>
      </c>
      <c r="L1441">
        <v>0</v>
      </c>
      <c r="M1441">
        <v>0</v>
      </c>
      <c r="O1441" s="39"/>
      <c r="P1441" s="16">
        <v>71150.2</v>
      </c>
      <c r="S1441" s="17"/>
    </row>
    <row r="1442" spans="1:19" x14ac:dyDescent="0.4">
      <c r="A1442">
        <v>7609967</v>
      </c>
      <c r="B1442" s="15">
        <v>32</v>
      </c>
      <c r="C1442" s="12" t="s">
        <v>122</v>
      </c>
      <c r="D1442" s="12" t="s">
        <v>146</v>
      </c>
      <c r="E1442" s="12" t="s">
        <v>152</v>
      </c>
      <c r="F1442" s="12" t="s">
        <v>161</v>
      </c>
      <c r="G1442" s="14">
        <f t="shared" ca="1" si="22"/>
        <v>38422.941647196123</v>
      </c>
      <c r="H1442" s="12" t="s">
        <v>172</v>
      </c>
      <c r="I1442">
        <v>0</v>
      </c>
      <c r="J1442">
        <v>40</v>
      </c>
      <c r="K1442" s="12" t="s">
        <v>179</v>
      </c>
      <c r="L1442">
        <v>0</v>
      </c>
      <c r="M1442">
        <v>0</v>
      </c>
      <c r="O1442" s="39"/>
      <c r="P1442" s="15">
        <v>27584.13</v>
      </c>
      <c r="S1442" s="17"/>
    </row>
    <row r="1443" spans="1:19" x14ac:dyDescent="0.4">
      <c r="A1443">
        <v>7614013</v>
      </c>
      <c r="B1443" s="16">
        <v>25</v>
      </c>
      <c r="C1443" s="12" t="s">
        <v>122</v>
      </c>
      <c r="D1443" s="12" t="s">
        <v>132</v>
      </c>
      <c r="E1443" s="12" t="s">
        <v>152</v>
      </c>
      <c r="F1443" s="12" t="s">
        <v>162</v>
      </c>
      <c r="G1443" s="14">
        <f t="shared" ca="1" si="22"/>
        <v>44146.844563359875</v>
      </c>
      <c r="H1443" s="12" t="s">
        <v>172</v>
      </c>
      <c r="I1443">
        <v>0</v>
      </c>
      <c r="J1443">
        <v>44</v>
      </c>
      <c r="K1443" s="12" t="s">
        <v>176</v>
      </c>
      <c r="L1443">
        <v>1413</v>
      </c>
      <c r="M1443">
        <v>1</v>
      </c>
      <c r="O1443" s="39"/>
      <c r="P1443" s="16">
        <v>38306.26</v>
      </c>
      <c r="S1443" s="17"/>
    </row>
    <row r="1444" spans="1:19" x14ac:dyDescent="0.4">
      <c r="A1444">
        <v>7614878</v>
      </c>
      <c r="B1444" s="15">
        <v>21</v>
      </c>
      <c r="C1444" s="12" t="s">
        <v>122</v>
      </c>
      <c r="D1444" s="12" t="s">
        <v>134</v>
      </c>
      <c r="E1444" s="12" t="s">
        <v>150</v>
      </c>
      <c r="F1444" s="12" t="s">
        <v>164</v>
      </c>
      <c r="G1444" s="14">
        <f t="shared" ca="1" si="22"/>
        <v>140181.19792918564</v>
      </c>
      <c r="H1444" s="12" t="s">
        <v>172</v>
      </c>
      <c r="I1444">
        <v>0</v>
      </c>
      <c r="J1444">
        <v>40</v>
      </c>
      <c r="K1444" s="12" t="s">
        <v>176</v>
      </c>
      <c r="L1444">
        <v>0</v>
      </c>
      <c r="M1444">
        <v>0</v>
      </c>
      <c r="O1444" s="39"/>
      <c r="P1444" s="15">
        <v>118942.87</v>
      </c>
      <c r="S1444" s="17"/>
    </row>
    <row r="1445" spans="1:19" x14ac:dyDescent="0.4">
      <c r="A1445">
        <v>7617242</v>
      </c>
      <c r="B1445" s="16">
        <v>47</v>
      </c>
      <c r="C1445" s="12" t="s">
        <v>122</v>
      </c>
      <c r="D1445" s="12" t="s">
        <v>135</v>
      </c>
      <c r="E1445" s="12" t="s">
        <v>152</v>
      </c>
      <c r="F1445" s="12" t="s">
        <v>160</v>
      </c>
      <c r="G1445" s="14">
        <f t="shared" ca="1" si="22"/>
        <v>49312.835519889224</v>
      </c>
      <c r="H1445" s="12" t="s">
        <v>172</v>
      </c>
      <c r="I1445">
        <v>0</v>
      </c>
      <c r="J1445">
        <v>44</v>
      </c>
      <c r="K1445" s="12" t="s">
        <v>176</v>
      </c>
      <c r="L1445">
        <v>7298</v>
      </c>
      <c r="M1445">
        <v>1</v>
      </c>
      <c r="O1445" s="39"/>
      <c r="P1445" s="16">
        <v>40638.29</v>
      </c>
      <c r="S1445" s="17"/>
    </row>
    <row r="1446" spans="1:19" x14ac:dyDescent="0.4">
      <c r="A1446">
        <v>7617517</v>
      </c>
      <c r="B1446" s="15">
        <v>61</v>
      </c>
      <c r="C1446" s="12" t="s">
        <v>123</v>
      </c>
      <c r="D1446" s="12" t="s">
        <v>134</v>
      </c>
      <c r="E1446" s="12" t="s">
        <v>153</v>
      </c>
      <c r="F1446" s="12" t="s">
        <v>156</v>
      </c>
      <c r="G1446" s="14">
        <f t="shared" ca="1" si="22"/>
        <v>154769.53337974739</v>
      </c>
      <c r="H1446" s="12" t="s">
        <v>171</v>
      </c>
      <c r="I1446">
        <v>0</v>
      </c>
      <c r="J1446">
        <v>40</v>
      </c>
      <c r="K1446" s="12" t="s">
        <v>176</v>
      </c>
      <c r="L1446">
        <v>0</v>
      </c>
      <c r="M1446">
        <v>0</v>
      </c>
      <c r="O1446" s="39"/>
      <c r="P1446" s="15">
        <v>81250.19</v>
      </c>
      <c r="S1446" s="17"/>
    </row>
    <row r="1447" spans="1:19" x14ac:dyDescent="0.4">
      <c r="A1447">
        <v>7618649</v>
      </c>
      <c r="B1447" s="16">
        <v>59</v>
      </c>
      <c r="C1447" s="12" t="s">
        <v>122</v>
      </c>
      <c r="D1447" s="12" t="s">
        <v>135</v>
      </c>
      <c r="E1447" s="12" t="s">
        <v>152</v>
      </c>
      <c r="F1447" s="12" t="s">
        <v>160</v>
      </c>
      <c r="G1447" s="14">
        <f t="shared" ca="1" si="22"/>
        <v>60399.935033190239</v>
      </c>
      <c r="H1447" s="12" t="s">
        <v>172</v>
      </c>
      <c r="I1447">
        <v>1977</v>
      </c>
      <c r="J1447">
        <v>50</v>
      </c>
      <c r="K1447" s="12" t="s">
        <v>176</v>
      </c>
      <c r="L1447">
        <v>0</v>
      </c>
      <c r="M1447">
        <v>1</v>
      </c>
      <c r="O1447" s="39"/>
      <c r="P1447" s="16">
        <v>53336.36</v>
      </c>
      <c r="S1447" s="17"/>
    </row>
    <row r="1448" spans="1:19" x14ac:dyDescent="0.4">
      <c r="A1448">
        <v>7621163</v>
      </c>
      <c r="B1448" s="15">
        <v>35</v>
      </c>
      <c r="C1448" s="12" t="s">
        <v>122</v>
      </c>
      <c r="D1448" s="12" t="s">
        <v>134</v>
      </c>
      <c r="E1448" s="12" t="s">
        <v>150</v>
      </c>
      <c r="F1448" s="12" t="s">
        <v>157</v>
      </c>
      <c r="G1448" s="14">
        <f t="shared" ca="1" si="22"/>
        <v>189396.42681836852</v>
      </c>
      <c r="H1448" s="12" t="s">
        <v>172</v>
      </c>
      <c r="I1448">
        <v>0</v>
      </c>
      <c r="J1448">
        <v>40</v>
      </c>
      <c r="K1448" s="12" t="s">
        <v>176</v>
      </c>
      <c r="L1448">
        <v>0</v>
      </c>
      <c r="M1448">
        <v>0</v>
      </c>
      <c r="O1448" s="39"/>
      <c r="P1448" s="15">
        <v>175176.75</v>
      </c>
      <c r="S1448" s="17"/>
    </row>
    <row r="1449" spans="1:19" x14ac:dyDescent="0.4">
      <c r="A1449">
        <v>7624681</v>
      </c>
      <c r="B1449" s="16">
        <v>62</v>
      </c>
      <c r="C1449" s="12" t="s">
        <v>129</v>
      </c>
      <c r="D1449" s="12" t="s">
        <v>138</v>
      </c>
      <c r="E1449" s="12" t="s">
        <v>152</v>
      </c>
      <c r="F1449" s="12" t="s">
        <v>129</v>
      </c>
      <c r="G1449" s="14">
        <f t="shared" ca="1" si="22"/>
        <v>46096.688244929479</v>
      </c>
      <c r="H1449" s="12" t="s">
        <v>172</v>
      </c>
      <c r="I1449">
        <v>0</v>
      </c>
      <c r="J1449">
        <v>50</v>
      </c>
      <c r="K1449" s="12" t="s">
        <v>176</v>
      </c>
      <c r="L1449">
        <v>0</v>
      </c>
      <c r="M1449">
        <v>0</v>
      </c>
      <c r="O1449" s="39"/>
      <c r="P1449" s="16">
        <v>38844.68</v>
      </c>
      <c r="S1449" s="17"/>
    </row>
    <row r="1450" spans="1:19" x14ac:dyDescent="0.4">
      <c r="A1450">
        <v>7625568</v>
      </c>
      <c r="B1450" s="15">
        <v>23</v>
      </c>
      <c r="C1450" s="12" t="s">
        <v>122</v>
      </c>
      <c r="D1450" s="12" t="s">
        <v>132</v>
      </c>
      <c r="E1450" s="12" t="s">
        <v>150</v>
      </c>
      <c r="F1450" s="12" t="s">
        <v>160</v>
      </c>
      <c r="G1450" s="14">
        <f t="shared" ca="1" si="22"/>
        <v>85014.863441043504</v>
      </c>
      <c r="H1450" s="12" t="s">
        <v>171</v>
      </c>
      <c r="I1450">
        <v>0</v>
      </c>
      <c r="J1450">
        <v>35</v>
      </c>
      <c r="K1450" s="12" t="s">
        <v>176</v>
      </c>
      <c r="L1450">
        <v>0</v>
      </c>
      <c r="M1450">
        <v>0</v>
      </c>
      <c r="O1450" s="39"/>
      <c r="P1450" s="15">
        <v>72222.2</v>
      </c>
      <c r="S1450" s="17"/>
    </row>
    <row r="1451" spans="1:19" x14ac:dyDescent="0.4">
      <c r="A1451">
        <v>7627468</v>
      </c>
      <c r="B1451" s="16">
        <v>29</v>
      </c>
      <c r="C1451" s="12" t="s">
        <v>122</v>
      </c>
      <c r="D1451" s="12" t="s">
        <v>144</v>
      </c>
      <c r="E1451" s="12" t="s">
        <v>150</v>
      </c>
      <c r="F1451" s="12" t="s">
        <v>144</v>
      </c>
      <c r="G1451" s="14">
        <f t="shared" ca="1" si="22"/>
        <v>385460.1572008385</v>
      </c>
      <c r="H1451" s="12" t="s">
        <v>172</v>
      </c>
      <c r="I1451">
        <v>0</v>
      </c>
      <c r="J1451">
        <v>50</v>
      </c>
      <c r="K1451" s="12" t="s">
        <v>176</v>
      </c>
      <c r="L1451">
        <v>0</v>
      </c>
      <c r="M1451">
        <v>0</v>
      </c>
      <c r="O1451" s="39"/>
      <c r="P1451" s="16">
        <v>260192.76</v>
      </c>
      <c r="S1451" s="17"/>
    </row>
    <row r="1452" spans="1:19" x14ac:dyDescent="0.4">
      <c r="A1452">
        <v>7628291</v>
      </c>
      <c r="B1452" s="15">
        <v>37</v>
      </c>
      <c r="C1452" s="12" t="s">
        <v>122</v>
      </c>
      <c r="D1452" s="12" t="s">
        <v>134</v>
      </c>
      <c r="E1452" s="12" t="s">
        <v>150</v>
      </c>
      <c r="F1452" s="12" t="s">
        <v>162</v>
      </c>
      <c r="G1452" s="14">
        <f t="shared" ca="1" si="22"/>
        <v>86663.848002275161</v>
      </c>
      <c r="H1452" s="12" t="s">
        <v>172</v>
      </c>
      <c r="I1452">
        <v>0</v>
      </c>
      <c r="J1452">
        <v>44</v>
      </c>
      <c r="K1452" s="12" t="s">
        <v>176</v>
      </c>
      <c r="L1452">
        <v>0</v>
      </c>
      <c r="M1452">
        <v>0</v>
      </c>
      <c r="O1452" s="39"/>
      <c r="P1452" s="15">
        <v>62936.81</v>
      </c>
      <c r="S1452" s="17"/>
    </row>
    <row r="1453" spans="1:19" x14ac:dyDescent="0.4">
      <c r="A1453">
        <v>7629748</v>
      </c>
      <c r="B1453" s="16">
        <v>26</v>
      </c>
      <c r="C1453" s="12" t="s">
        <v>122</v>
      </c>
      <c r="D1453" s="12" t="s">
        <v>135</v>
      </c>
      <c r="E1453" s="12" t="s">
        <v>152</v>
      </c>
      <c r="F1453" s="12" t="s">
        <v>160</v>
      </c>
      <c r="G1453" s="14">
        <f t="shared" ca="1" si="22"/>
        <v>364290.20418172091</v>
      </c>
      <c r="H1453" s="12" t="s">
        <v>171</v>
      </c>
      <c r="I1453">
        <v>0</v>
      </c>
      <c r="J1453">
        <v>45</v>
      </c>
      <c r="K1453" s="12" t="s">
        <v>176</v>
      </c>
      <c r="L1453">
        <v>13440</v>
      </c>
      <c r="M1453">
        <v>1</v>
      </c>
      <c r="O1453" s="39"/>
      <c r="P1453" s="16">
        <v>253612.7</v>
      </c>
      <c r="S1453" s="17"/>
    </row>
    <row r="1454" spans="1:19" x14ac:dyDescent="0.4">
      <c r="A1454">
        <v>7631109</v>
      </c>
      <c r="B1454" s="15">
        <v>56</v>
      </c>
      <c r="C1454" s="12" t="s">
        <v>123</v>
      </c>
      <c r="D1454" s="12" t="s">
        <v>134</v>
      </c>
      <c r="E1454" s="12" t="s">
        <v>152</v>
      </c>
      <c r="F1454" s="12" t="s">
        <v>159</v>
      </c>
      <c r="G1454" s="14">
        <f t="shared" ca="1" si="22"/>
        <v>75398.113072735185</v>
      </c>
      <c r="H1454" s="12" t="s">
        <v>172</v>
      </c>
      <c r="I1454">
        <v>0</v>
      </c>
      <c r="J1454">
        <v>55</v>
      </c>
      <c r="K1454" s="12" t="s">
        <v>176</v>
      </c>
      <c r="L1454">
        <v>0</v>
      </c>
      <c r="M1454">
        <v>0</v>
      </c>
      <c r="O1454" s="39"/>
      <c r="P1454" s="15">
        <v>48466.38</v>
      </c>
      <c r="S1454" s="17"/>
    </row>
    <row r="1455" spans="1:19" x14ac:dyDescent="0.4">
      <c r="A1455">
        <v>7634782</v>
      </c>
      <c r="B1455" s="16">
        <v>39</v>
      </c>
      <c r="C1455" s="12" t="s">
        <v>122</v>
      </c>
      <c r="D1455" s="12" t="s">
        <v>132</v>
      </c>
      <c r="E1455" s="12" t="s">
        <v>149</v>
      </c>
      <c r="F1455" s="12" t="s">
        <v>158</v>
      </c>
      <c r="G1455" s="14">
        <f t="shared" ca="1" si="22"/>
        <v>284163.6118445649</v>
      </c>
      <c r="H1455" s="12" t="s">
        <v>171</v>
      </c>
      <c r="I1455">
        <v>0</v>
      </c>
      <c r="J1455">
        <v>40</v>
      </c>
      <c r="K1455" s="12" t="s">
        <v>176</v>
      </c>
      <c r="L1455">
        <v>0</v>
      </c>
      <c r="M1455">
        <v>0</v>
      </c>
      <c r="O1455" s="39"/>
      <c r="P1455" s="16">
        <v>240251.41</v>
      </c>
      <c r="S1455" s="17"/>
    </row>
    <row r="1456" spans="1:19" x14ac:dyDescent="0.4">
      <c r="A1456">
        <v>7636676</v>
      </c>
      <c r="B1456" s="15">
        <v>40</v>
      </c>
      <c r="C1456" s="12" t="s">
        <v>123</v>
      </c>
      <c r="D1456" s="12" t="s">
        <v>134</v>
      </c>
      <c r="E1456" s="12" t="s">
        <v>152</v>
      </c>
      <c r="F1456" s="12" t="s">
        <v>165</v>
      </c>
      <c r="G1456" s="14">
        <f t="shared" ca="1" si="22"/>
        <v>72292.161729861327</v>
      </c>
      <c r="H1456" s="12" t="s">
        <v>172</v>
      </c>
      <c r="I1456">
        <v>0</v>
      </c>
      <c r="J1456">
        <v>70</v>
      </c>
      <c r="K1456" s="12" t="s">
        <v>176</v>
      </c>
      <c r="L1456">
        <v>1639</v>
      </c>
      <c r="M1456">
        <v>1</v>
      </c>
      <c r="O1456" s="39"/>
      <c r="P1456" s="15">
        <v>66292.070000000007</v>
      </c>
      <c r="S1456" s="17"/>
    </row>
    <row r="1457" spans="1:19" x14ac:dyDescent="0.4">
      <c r="A1457">
        <v>7639062</v>
      </c>
      <c r="B1457" s="16">
        <v>47</v>
      </c>
      <c r="C1457" s="12" t="s">
        <v>126</v>
      </c>
      <c r="D1457" s="12" t="s">
        <v>132</v>
      </c>
      <c r="E1457" s="12" t="s">
        <v>152</v>
      </c>
      <c r="F1457" s="12" t="s">
        <v>159</v>
      </c>
      <c r="G1457" s="14">
        <f t="shared" ca="1" si="22"/>
        <v>15163.023353026292</v>
      </c>
      <c r="H1457" s="12" t="s">
        <v>172</v>
      </c>
      <c r="I1457">
        <v>0</v>
      </c>
      <c r="J1457">
        <v>40</v>
      </c>
      <c r="K1457" s="12" t="s">
        <v>176</v>
      </c>
      <c r="L1457">
        <v>5810</v>
      </c>
      <c r="M1457">
        <v>1</v>
      </c>
      <c r="O1457" s="39"/>
      <c r="P1457" s="16">
        <v>14665.52</v>
      </c>
      <c r="S1457" s="17"/>
    </row>
    <row r="1458" spans="1:19" x14ac:dyDescent="0.4">
      <c r="A1458">
        <v>7647301</v>
      </c>
      <c r="B1458" s="15">
        <v>42</v>
      </c>
      <c r="C1458" s="12" t="s">
        <v>122</v>
      </c>
      <c r="D1458" s="12" t="s">
        <v>137</v>
      </c>
      <c r="E1458" s="12" t="s">
        <v>150</v>
      </c>
      <c r="F1458" s="12" t="s">
        <v>163</v>
      </c>
      <c r="G1458" s="14">
        <f t="shared" ca="1" si="22"/>
        <v>195919.440683194</v>
      </c>
      <c r="H1458" s="12" t="s">
        <v>172</v>
      </c>
      <c r="I1458">
        <v>0</v>
      </c>
      <c r="J1458">
        <v>40</v>
      </c>
      <c r="K1458" s="12" t="s">
        <v>176</v>
      </c>
      <c r="L1458">
        <v>0</v>
      </c>
      <c r="M1458">
        <v>0</v>
      </c>
      <c r="O1458" s="39"/>
      <c r="P1458" s="15">
        <v>103966.05</v>
      </c>
      <c r="S1458" s="17"/>
    </row>
    <row r="1459" spans="1:19" x14ac:dyDescent="0.4">
      <c r="A1459">
        <v>7652383</v>
      </c>
      <c r="B1459" s="16">
        <v>32</v>
      </c>
      <c r="C1459" s="12" t="s">
        <v>122</v>
      </c>
      <c r="D1459" s="12" t="s">
        <v>132</v>
      </c>
      <c r="E1459" s="12" t="s">
        <v>151</v>
      </c>
      <c r="F1459" s="12" t="s">
        <v>160</v>
      </c>
      <c r="G1459" s="14">
        <f t="shared" ca="1" si="22"/>
        <v>216792.30179841263</v>
      </c>
      <c r="H1459" s="12" t="s">
        <v>171</v>
      </c>
      <c r="I1459">
        <v>0</v>
      </c>
      <c r="J1459">
        <v>42</v>
      </c>
      <c r="K1459" s="12" t="s">
        <v>176</v>
      </c>
      <c r="L1459">
        <v>0</v>
      </c>
      <c r="M1459">
        <v>0</v>
      </c>
      <c r="O1459" s="39"/>
      <c r="P1459" s="16">
        <v>143377.9</v>
      </c>
      <c r="S1459" s="17"/>
    </row>
    <row r="1460" spans="1:19" x14ac:dyDescent="0.4">
      <c r="A1460">
        <v>7655395</v>
      </c>
      <c r="B1460" s="15">
        <v>28</v>
      </c>
      <c r="C1460" s="12" t="s">
        <v>122</v>
      </c>
      <c r="D1460" s="12" t="s">
        <v>134</v>
      </c>
      <c r="E1460" s="12" t="s">
        <v>152</v>
      </c>
      <c r="F1460" s="12" t="s">
        <v>161</v>
      </c>
      <c r="G1460" s="14">
        <f t="shared" ca="1" si="22"/>
        <v>99321.516954969469</v>
      </c>
      <c r="H1460" s="12" t="s">
        <v>172</v>
      </c>
      <c r="I1460">
        <v>0</v>
      </c>
      <c r="J1460">
        <v>40</v>
      </c>
      <c r="K1460" s="12" t="s">
        <v>176</v>
      </c>
      <c r="L1460">
        <v>0</v>
      </c>
      <c r="M1460">
        <v>0</v>
      </c>
      <c r="O1460" s="39"/>
      <c r="P1460" s="15">
        <v>52831.47</v>
      </c>
      <c r="S1460" s="17"/>
    </row>
    <row r="1461" spans="1:19" x14ac:dyDescent="0.4">
      <c r="A1461">
        <v>7665547</v>
      </c>
      <c r="B1461" s="16">
        <v>26</v>
      </c>
      <c r="C1461" s="12" t="s">
        <v>122</v>
      </c>
      <c r="D1461" s="12" t="s">
        <v>132</v>
      </c>
      <c r="E1461" s="12" t="s">
        <v>152</v>
      </c>
      <c r="F1461" s="12" t="s">
        <v>160</v>
      </c>
      <c r="G1461" s="14">
        <f t="shared" ca="1" si="22"/>
        <v>163532.28215988592</v>
      </c>
      <c r="H1461" s="12" t="s">
        <v>171</v>
      </c>
      <c r="I1461">
        <v>0</v>
      </c>
      <c r="J1461">
        <v>35</v>
      </c>
      <c r="K1461" s="12" t="s">
        <v>176</v>
      </c>
      <c r="L1461">
        <v>0</v>
      </c>
      <c r="M1461">
        <v>0</v>
      </c>
      <c r="O1461" s="39"/>
      <c r="P1461" s="16">
        <v>155720.99</v>
      </c>
      <c r="S1461" s="17"/>
    </row>
    <row r="1462" spans="1:19" x14ac:dyDescent="0.4">
      <c r="A1462">
        <v>7665943</v>
      </c>
      <c r="B1462" s="15">
        <v>28</v>
      </c>
      <c r="C1462" s="12" t="s">
        <v>122</v>
      </c>
      <c r="D1462" s="12" t="s">
        <v>135</v>
      </c>
      <c r="E1462" s="12" t="s">
        <v>150</v>
      </c>
      <c r="F1462" s="12" t="s">
        <v>158</v>
      </c>
      <c r="G1462" s="14">
        <f t="shared" ca="1" si="22"/>
        <v>115491.72052799021</v>
      </c>
      <c r="H1462" s="12" t="s">
        <v>171</v>
      </c>
      <c r="I1462">
        <v>0</v>
      </c>
      <c r="J1462">
        <v>30</v>
      </c>
      <c r="K1462" s="12" t="s">
        <v>129</v>
      </c>
      <c r="L1462">
        <v>0</v>
      </c>
      <c r="M1462">
        <v>0</v>
      </c>
      <c r="O1462" s="39"/>
      <c r="P1462" s="15">
        <v>62975.92</v>
      </c>
      <c r="S1462" s="17"/>
    </row>
    <row r="1463" spans="1:19" x14ac:dyDescent="0.4">
      <c r="A1463">
        <v>7666025</v>
      </c>
      <c r="B1463" s="16">
        <v>46</v>
      </c>
      <c r="C1463" s="12" t="s">
        <v>127</v>
      </c>
      <c r="D1463" s="12" t="s">
        <v>134</v>
      </c>
      <c r="E1463" s="12" t="s">
        <v>151</v>
      </c>
      <c r="F1463" s="12" t="s">
        <v>158</v>
      </c>
      <c r="G1463" s="14">
        <f t="shared" ca="1" si="22"/>
        <v>100889.5650649918</v>
      </c>
      <c r="H1463" s="12" t="s">
        <v>172</v>
      </c>
      <c r="I1463">
        <v>0</v>
      </c>
      <c r="J1463">
        <v>40</v>
      </c>
      <c r="K1463" s="12" t="s">
        <v>176</v>
      </c>
      <c r="L1463">
        <v>0</v>
      </c>
      <c r="M1463">
        <v>0</v>
      </c>
      <c r="O1463" s="39"/>
      <c r="P1463" s="16">
        <v>95639.76</v>
      </c>
      <c r="S1463" s="17"/>
    </row>
    <row r="1464" spans="1:19" x14ac:dyDescent="0.4">
      <c r="A1464">
        <v>7669483</v>
      </c>
      <c r="B1464" s="15">
        <v>24</v>
      </c>
      <c r="C1464" s="12" t="s">
        <v>122</v>
      </c>
      <c r="D1464" s="12" t="s">
        <v>134</v>
      </c>
      <c r="E1464" s="12" t="s">
        <v>150</v>
      </c>
      <c r="F1464" s="12" t="s">
        <v>165</v>
      </c>
      <c r="G1464" s="14">
        <f t="shared" ca="1" si="22"/>
        <v>171961.67105702183</v>
      </c>
      <c r="H1464" s="12" t="s">
        <v>172</v>
      </c>
      <c r="I1464">
        <v>0</v>
      </c>
      <c r="J1464">
        <v>40</v>
      </c>
      <c r="K1464" s="12" t="s">
        <v>176</v>
      </c>
      <c r="L1464">
        <v>0</v>
      </c>
      <c r="M1464">
        <v>0</v>
      </c>
      <c r="O1464" s="39"/>
      <c r="P1464" s="15">
        <v>106737.31</v>
      </c>
      <c r="S1464" s="17"/>
    </row>
    <row r="1465" spans="1:19" x14ac:dyDescent="0.4">
      <c r="A1465">
        <v>7672445</v>
      </c>
      <c r="B1465" s="16">
        <v>20</v>
      </c>
      <c r="C1465" s="12" t="s">
        <v>122</v>
      </c>
      <c r="D1465" s="12" t="s">
        <v>134</v>
      </c>
      <c r="E1465" s="12" t="s">
        <v>150</v>
      </c>
      <c r="F1465" s="12" t="s">
        <v>161</v>
      </c>
      <c r="G1465" s="14">
        <f t="shared" ca="1" si="22"/>
        <v>460069.84534260252</v>
      </c>
      <c r="H1465" s="12" t="s">
        <v>172</v>
      </c>
      <c r="I1465">
        <v>0</v>
      </c>
      <c r="J1465">
        <v>40</v>
      </c>
      <c r="K1465" s="12" t="s">
        <v>176</v>
      </c>
      <c r="L1465">
        <v>0</v>
      </c>
      <c r="M1465">
        <v>0</v>
      </c>
      <c r="O1465" s="39"/>
      <c r="P1465" s="16">
        <v>254079.71</v>
      </c>
      <c r="S1465" s="17"/>
    </row>
    <row r="1466" spans="1:19" x14ac:dyDescent="0.4">
      <c r="A1466">
        <v>7676170</v>
      </c>
      <c r="B1466" s="15">
        <v>23</v>
      </c>
      <c r="C1466" s="12" t="s">
        <v>122</v>
      </c>
      <c r="D1466" s="12" t="s">
        <v>137</v>
      </c>
      <c r="E1466" s="12" t="s">
        <v>150</v>
      </c>
      <c r="F1466" s="12" t="s">
        <v>163</v>
      </c>
      <c r="G1466" s="14">
        <f t="shared" ca="1" si="22"/>
        <v>99991.619397402363</v>
      </c>
      <c r="H1466" s="12" t="s">
        <v>172</v>
      </c>
      <c r="I1466">
        <v>0</v>
      </c>
      <c r="J1466">
        <v>40</v>
      </c>
      <c r="K1466" s="12" t="s">
        <v>176</v>
      </c>
      <c r="L1466">
        <v>0</v>
      </c>
      <c r="M1466">
        <v>0</v>
      </c>
      <c r="O1466" s="39"/>
      <c r="P1466" s="15">
        <v>56311.93</v>
      </c>
      <c r="S1466" s="17"/>
    </row>
    <row r="1467" spans="1:19" x14ac:dyDescent="0.4">
      <c r="A1467">
        <v>7677175</v>
      </c>
      <c r="B1467" s="16">
        <v>25</v>
      </c>
      <c r="C1467" s="12" t="s">
        <v>122</v>
      </c>
      <c r="D1467" s="12" t="s">
        <v>134</v>
      </c>
      <c r="E1467" s="12" t="s">
        <v>150</v>
      </c>
      <c r="F1467" s="12" t="s">
        <v>158</v>
      </c>
      <c r="G1467" s="14">
        <f t="shared" ca="1" si="22"/>
        <v>175786.45901851545</v>
      </c>
      <c r="H1467" s="12" t="s">
        <v>172</v>
      </c>
      <c r="I1467">
        <v>0</v>
      </c>
      <c r="J1467">
        <v>50</v>
      </c>
      <c r="K1467" s="12" t="s">
        <v>176</v>
      </c>
      <c r="L1467">
        <v>0</v>
      </c>
      <c r="M1467">
        <v>0</v>
      </c>
      <c r="O1467" s="39"/>
      <c r="P1467" s="16">
        <v>130201.98</v>
      </c>
      <c r="S1467" s="17"/>
    </row>
    <row r="1468" spans="1:19" x14ac:dyDescent="0.4">
      <c r="A1468">
        <v>7680276</v>
      </c>
      <c r="B1468" s="15">
        <v>29</v>
      </c>
      <c r="C1468" s="12" t="s">
        <v>122</v>
      </c>
      <c r="D1468" s="12" t="s">
        <v>134</v>
      </c>
      <c r="E1468" s="12" t="s">
        <v>152</v>
      </c>
      <c r="F1468" s="12" t="s">
        <v>157</v>
      </c>
      <c r="G1468" s="14">
        <f t="shared" ca="1" si="22"/>
        <v>218016.0289665981</v>
      </c>
      <c r="H1468" s="12" t="s">
        <v>172</v>
      </c>
      <c r="I1468">
        <v>0</v>
      </c>
      <c r="J1468">
        <v>40</v>
      </c>
      <c r="K1468" s="12" t="s">
        <v>176</v>
      </c>
      <c r="L1468">
        <v>0</v>
      </c>
      <c r="M1468">
        <v>0</v>
      </c>
      <c r="O1468" s="39"/>
      <c r="P1468" s="15">
        <v>132856.26999999999</v>
      </c>
      <c r="S1468" s="17"/>
    </row>
    <row r="1469" spans="1:19" x14ac:dyDescent="0.4">
      <c r="A1469">
        <v>7680633</v>
      </c>
      <c r="B1469" s="16">
        <v>23</v>
      </c>
      <c r="C1469" s="12" t="s">
        <v>127</v>
      </c>
      <c r="D1469" s="12" t="s">
        <v>133</v>
      </c>
      <c r="E1469" s="12" t="s">
        <v>150</v>
      </c>
      <c r="F1469" s="12" t="s">
        <v>160</v>
      </c>
      <c r="G1469" s="14">
        <f t="shared" ca="1" si="22"/>
        <v>257018.45047192156</v>
      </c>
      <c r="H1469" s="12" t="s">
        <v>171</v>
      </c>
      <c r="I1469">
        <v>0</v>
      </c>
      <c r="J1469">
        <v>40</v>
      </c>
      <c r="K1469" s="12" t="s">
        <v>192</v>
      </c>
      <c r="L1469">
        <v>0</v>
      </c>
      <c r="M1469">
        <v>0</v>
      </c>
      <c r="O1469" s="39"/>
      <c r="P1469" s="16">
        <v>152543.64000000001</v>
      </c>
      <c r="S1469" s="17"/>
    </row>
    <row r="1470" spans="1:19" x14ac:dyDescent="0.4">
      <c r="A1470">
        <v>7680634</v>
      </c>
      <c r="B1470" s="15">
        <v>44</v>
      </c>
      <c r="C1470" s="12" t="s">
        <v>123</v>
      </c>
      <c r="D1470" s="12" t="s">
        <v>134</v>
      </c>
      <c r="E1470" s="12" t="s">
        <v>151</v>
      </c>
      <c r="F1470" s="12" t="s">
        <v>157</v>
      </c>
      <c r="G1470" s="14">
        <f t="shared" ca="1" si="22"/>
        <v>113628.35938618591</v>
      </c>
      <c r="H1470" s="12" t="s">
        <v>172</v>
      </c>
      <c r="I1470">
        <v>0</v>
      </c>
      <c r="J1470">
        <v>60</v>
      </c>
      <c r="K1470" s="12" t="s">
        <v>176</v>
      </c>
      <c r="L1470">
        <v>0</v>
      </c>
      <c r="M1470">
        <v>0</v>
      </c>
      <c r="O1470" s="39"/>
      <c r="P1470" s="15">
        <v>100000.66</v>
      </c>
      <c r="S1470" s="17"/>
    </row>
    <row r="1471" spans="1:19" x14ac:dyDescent="0.4">
      <c r="A1471">
        <v>7687979</v>
      </c>
      <c r="B1471" s="16">
        <v>42</v>
      </c>
      <c r="C1471" s="12" t="s">
        <v>122</v>
      </c>
      <c r="D1471" s="12" t="s">
        <v>132</v>
      </c>
      <c r="E1471" s="12" t="s">
        <v>150</v>
      </c>
      <c r="F1471" s="12" t="s">
        <v>161</v>
      </c>
      <c r="G1471" s="14">
        <f t="shared" ca="1" si="22"/>
        <v>137590.50098222549</v>
      </c>
      <c r="H1471" s="12" t="s">
        <v>172</v>
      </c>
      <c r="I1471">
        <v>0</v>
      </c>
      <c r="J1471">
        <v>45</v>
      </c>
      <c r="K1471" s="12" t="s">
        <v>176</v>
      </c>
      <c r="L1471">
        <v>0</v>
      </c>
      <c r="M1471">
        <v>0</v>
      </c>
      <c r="O1471" s="39"/>
      <c r="P1471" s="16">
        <v>94864.3</v>
      </c>
      <c r="S1471" s="17"/>
    </row>
    <row r="1472" spans="1:19" x14ac:dyDescent="0.4">
      <c r="A1472">
        <v>7709204</v>
      </c>
      <c r="B1472" s="15">
        <v>38</v>
      </c>
      <c r="C1472" s="12" t="s">
        <v>123</v>
      </c>
      <c r="D1472" s="12" t="s">
        <v>132</v>
      </c>
      <c r="E1472" s="12" t="s">
        <v>152</v>
      </c>
      <c r="F1472" s="12" t="s">
        <v>157</v>
      </c>
      <c r="G1472" s="14">
        <f t="shared" ca="1" si="22"/>
        <v>131247.67223003483</v>
      </c>
      <c r="H1472" s="12" t="s">
        <v>172</v>
      </c>
      <c r="I1472">
        <v>0</v>
      </c>
      <c r="J1472">
        <v>40</v>
      </c>
      <c r="K1472" s="12" t="s">
        <v>176</v>
      </c>
      <c r="L1472">
        <v>0</v>
      </c>
      <c r="M1472">
        <v>0</v>
      </c>
      <c r="O1472" s="39"/>
      <c r="P1472" s="15">
        <v>69478.37</v>
      </c>
      <c r="S1472" s="17"/>
    </row>
    <row r="1473" spans="1:19" x14ac:dyDescent="0.4">
      <c r="A1473">
        <v>7725708</v>
      </c>
      <c r="B1473" s="16">
        <v>57</v>
      </c>
      <c r="C1473" s="12" t="s">
        <v>122</v>
      </c>
      <c r="D1473" s="12" t="s">
        <v>135</v>
      </c>
      <c r="E1473" s="12" t="s">
        <v>152</v>
      </c>
      <c r="F1473" s="12" t="s">
        <v>157</v>
      </c>
      <c r="G1473" s="14">
        <f t="shared" ca="1" si="22"/>
        <v>29214.895098787154</v>
      </c>
      <c r="H1473" s="12" t="s">
        <v>172</v>
      </c>
      <c r="I1473">
        <v>0</v>
      </c>
      <c r="J1473">
        <v>40</v>
      </c>
      <c r="K1473" s="12" t="s">
        <v>176</v>
      </c>
      <c r="L1473">
        <v>0</v>
      </c>
      <c r="M1473">
        <v>0</v>
      </c>
      <c r="O1473" s="39"/>
      <c r="P1473" s="16">
        <v>21281.7</v>
      </c>
      <c r="S1473" s="17"/>
    </row>
    <row r="1474" spans="1:19" x14ac:dyDescent="0.4">
      <c r="A1474">
        <v>7729462</v>
      </c>
      <c r="B1474" s="15">
        <v>18</v>
      </c>
      <c r="C1474" s="12" t="s">
        <v>122</v>
      </c>
      <c r="D1474" s="12" t="s">
        <v>132</v>
      </c>
      <c r="E1474" s="12" t="s">
        <v>150</v>
      </c>
      <c r="F1474" s="12" t="s">
        <v>156</v>
      </c>
      <c r="G1474" s="14">
        <f t="shared" ca="1" si="22"/>
        <v>165505.33128272271</v>
      </c>
      <c r="H1474" s="12" t="s">
        <v>171</v>
      </c>
      <c r="I1474">
        <v>0</v>
      </c>
      <c r="J1474">
        <v>24</v>
      </c>
      <c r="K1474" s="12" t="s">
        <v>176</v>
      </c>
      <c r="L1474">
        <v>0</v>
      </c>
      <c r="M1474">
        <v>0</v>
      </c>
      <c r="O1474" s="39"/>
      <c r="P1474" s="15">
        <v>112692.93</v>
      </c>
      <c r="S1474" s="17"/>
    </row>
    <row r="1475" spans="1:19" x14ac:dyDescent="0.4">
      <c r="A1475">
        <v>7729542</v>
      </c>
      <c r="B1475" s="16">
        <v>22</v>
      </c>
      <c r="C1475" s="12" t="s">
        <v>122</v>
      </c>
      <c r="D1475" s="12" t="s">
        <v>132</v>
      </c>
      <c r="E1475" s="12" t="s">
        <v>150</v>
      </c>
      <c r="F1475" s="12" t="s">
        <v>158</v>
      </c>
      <c r="G1475" s="14">
        <f t="shared" ca="1" si="22"/>
        <v>222716.38259037229</v>
      </c>
      <c r="H1475" s="12" t="s">
        <v>172</v>
      </c>
      <c r="I1475">
        <v>0</v>
      </c>
      <c r="J1475">
        <v>22</v>
      </c>
      <c r="K1475" s="12" t="s">
        <v>176</v>
      </c>
      <c r="L1475">
        <v>0</v>
      </c>
      <c r="M1475">
        <v>0</v>
      </c>
      <c r="O1475" s="39"/>
      <c r="P1475" s="16">
        <v>184332.59</v>
      </c>
      <c r="S1475" s="17"/>
    </row>
    <row r="1476" spans="1:19" x14ac:dyDescent="0.4">
      <c r="A1476">
        <v>7730086</v>
      </c>
      <c r="B1476" s="15">
        <v>23</v>
      </c>
      <c r="C1476" s="12" t="s">
        <v>122</v>
      </c>
      <c r="D1476" s="12" t="s">
        <v>135</v>
      </c>
      <c r="E1476" s="12" t="s">
        <v>150</v>
      </c>
      <c r="F1476" s="12" t="s">
        <v>162</v>
      </c>
      <c r="G1476" s="14">
        <f t="shared" ca="1" si="22"/>
        <v>85036.31101701218</v>
      </c>
      <c r="H1476" s="12" t="s">
        <v>172</v>
      </c>
      <c r="I1476">
        <v>0</v>
      </c>
      <c r="J1476">
        <v>40</v>
      </c>
      <c r="K1476" s="12" t="s">
        <v>176</v>
      </c>
      <c r="L1476">
        <v>0</v>
      </c>
      <c r="M1476">
        <v>0</v>
      </c>
      <c r="O1476" s="39"/>
      <c r="P1476" s="15">
        <v>67374.539999999994</v>
      </c>
      <c r="S1476" s="17"/>
    </row>
    <row r="1477" spans="1:19" x14ac:dyDescent="0.4">
      <c r="A1477">
        <v>7734044</v>
      </c>
      <c r="B1477" s="16">
        <v>53</v>
      </c>
      <c r="C1477" s="12" t="s">
        <v>122</v>
      </c>
      <c r="D1477" s="12" t="s">
        <v>135</v>
      </c>
      <c r="E1477" s="12" t="s">
        <v>152</v>
      </c>
      <c r="F1477" s="12" t="s">
        <v>144</v>
      </c>
      <c r="G1477" s="14">
        <f t="shared" ca="1" si="22"/>
        <v>44421.537131586781</v>
      </c>
      <c r="H1477" s="12" t="s">
        <v>172</v>
      </c>
      <c r="I1477">
        <v>0</v>
      </c>
      <c r="J1477">
        <v>52</v>
      </c>
      <c r="K1477" s="12" t="s">
        <v>176</v>
      </c>
      <c r="L1477">
        <v>0</v>
      </c>
      <c r="M1477">
        <v>1</v>
      </c>
      <c r="O1477" s="39"/>
      <c r="P1477" s="16">
        <v>25820.54</v>
      </c>
      <c r="S1477" s="17"/>
    </row>
    <row r="1478" spans="1:19" x14ac:dyDescent="0.4">
      <c r="A1478">
        <v>7742994</v>
      </c>
      <c r="B1478" s="15">
        <v>47</v>
      </c>
      <c r="C1478" s="12" t="s">
        <v>122</v>
      </c>
      <c r="D1478" s="12" t="s">
        <v>134</v>
      </c>
      <c r="E1478" s="12" t="s">
        <v>152</v>
      </c>
      <c r="F1478" s="12" t="s">
        <v>159</v>
      </c>
      <c r="G1478" s="14">
        <f t="shared" ca="1" si="22"/>
        <v>25448.090645133489</v>
      </c>
      <c r="H1478" s="12" t="s">
        <v>172</v>
      </c>
      <c r="I1478">
        <v>0</v>
      </c>
      <c r="J1478">
        <v>40</v>
      </c>
      <c r="K1478" s="12" t="s">
        <v>176</v>
      </c>
      <c r="L1478">
        <v>1750</v>
      </c>
      <c r="M1478">
        <v>1</v>
      </c>
      <c r="O1478" s="39"/>
      <c r="P1478" s="15">
        <v>19109.03</v>
      </c>
      <c r="S1478" s="17"/>
    </row>
    <row r="1479" spans="1:19" x14ac:dyDescent="0.4">
      <c r="A1479">
        <v>7743640</v>
      </c>
      <c r="B1479" s="16">
        <v>48</v>
      </c>
      <c r="C1479" s="12" t="s">
        <v>122</v>
      </c>
      <c r="D1479" s="12" t="s">
        <v>134</v>
      </c>
      <c r="E1479" s="12" t="s">
        <v>152</v>
      </c>
      <c r="F1479" s="12" t="s">
        <v>157</v>
      </c>
      <c r="G1479" s="14">
        <f t="shared" ca="1" si="22"/>
        <v>54528.295483738213</v>
      </c>
      <c r="H1479" s="12" t="s">
        <v>172</v>
      </c>
      <c r="I1479">
        <v>0</v>
      </c>
      <c r="J1479">
        <v>55</v>
      </c>
      <c r="K1479" s="12" t="s">
        <v>176</v>
      </c>
      <c r="L1479">
        <v>0</v>
      </c>
      <c r="M1479">
        <v>1</v>
      </c>
      <c r="O1479" s="39"/>
      <c r="P1479" s="16">
        <v>33183.440000000002</v>
      </c>
      <c r="S1479" s="17"/>
    </row>
    <row r="1480" spans="1:19" x14ac:dyDescent="0.4">
      <c r="A1480">
        <v>7744632</v>
      </c>
      <c r="B1480" s="15">
        <v>64</v>
      </c>
      <c r="C1480" s="12" t="s">
        <v>122</v>
      </c>
      <c r="D1480" s="12" t="s">
        <v>141</v>
      </c>
      <c r="E1480" s="12" t="s">
        <v>152</v>
      </c>
      <c r="F1480" s="12" t="s">
        <v>144</v>
      </c>
      <c r="G1480" s="14">
        <f t="shared" ca="1" si="22"/>
        <v>15745.511965311007</v>
      </c>
      <c r="H1480" s="12" t="s">
        <v>172</v>
      </c>
      <c r="I1480">
        <v>0</v>
      </c>
      <c r="J1480">
        <v>60</v>
      </c>
      <c r="K1480" s="12" t="s">
        <v>176</v>
      </c>
      <c r="L1480">
        <v>9172</v>
      </c>
      <c r="M1480">
        <v>1</v>
      </c>
      <c r="O1480" s="39"/>
      <c r="P1480" s="15">
        <v>15211.52</v>
      </c>
      <c r="S1480" s="17"/>
    </row>
    <row r="1481" spans="1:19" x14ac:dyDescent="0.4">
      <c r="A1481">
        <v>7749515</v>
      </c>
      <c r="B1481" s="16">
        <v>17</v>
      </c>
      <c r="C1481" s="12" t="s">
        <v>129</v>
      </c>
      <c r="D1481" s="12" t="s">
        <v>140</v>
      </c>
      <c r="E1481" s="12" t="s">
        <v>150</v>
      </c>
      <c r="F1481" s="12" t="s">
        <v>129</v>
      </c>
      <c r="G1481" s="14">
        <f t="shared" ca="1" si="22"/>
        <v>277729.85476214456</v>
      </c>
      <c r="H1481" s="12" t="s">
        <v>172</v>
      </c>
      <c r="I1481">
        <v>0</v>
      </c>
      <c r="J1481">
        <v>40</v>
      </c>
      <c r="K1481" s="12" t="s">
        <v>176</v>
      </c>
      <c r="L1481">
        <v>0</v>
      </c>
      <c r="M1481">
        <v>0</v>
      </c>
      <c r="O1481" s="39"/>
      <c r="P1481" s="16">
        <v>174482.12</v>
      </c>
      <c r="S1481" s="17"/>
    </row>
    <row r="1482" spans="1:19" x14ac:dyDescent="0.4">
      <c r="A1482">
        <v>7754389</v>
      </c>
      <c r="B1482" s="15">
        <v>33</v>
      </c>
      <c r="C1482" s="12" t="s">
        <v>123</v>
      </c>
      <c r="D1482" s="12" t="s">
        <v>134</v>
      </c>
      <c r="E1482" s="12" t="s">
        <v>152</v>
      </c>
      <c r="F1482" s="12" t="s">
        <v>159</v>
      </c>
      <c r="G1482" s="14">
        <f t="shared" ca="1" si="22"/>
        <v>31528.776457063599</v>
      </c>
      <c r="H1482" s="12" t="s">
        <v>172</v>
      </c>
      <c r="I1482">
        <v>0</v>
      </c>
      <c r="J1482">
        <v>40</v>
      </c>
      <c r="K1482" s="12" t="s">
        <v>176</v>
      </c>
      <c r="L1482">
        <v>0</v>
      </c>
      <c r="M1482">
        <v>0</v>
      </c>
      <c r="O1482" s="39"/>
      <c r="P1482" s="15">
        <v>29177.56</v>
      </c>
      <c r="S1482" s="17"/>
    </row>
    <row r="1483" spans="1:19" x14ac:dyDescent="0.4">
      <c r="A1483">
        <v>7756891</v>
      </c>
      <c r="B1483" s="16">
        <v>37</v>
      </c>
      <c r="C1483" s="12" t="s">
        <v>122</v>
      </c>
      <c r="D1483" s="12" t="s">
        <v>135</v>
      </c>
      <c r="E1483" s="12" t="s">
        <v>152</v>
      </c>
      <c r="F1483" s="12" t="s">
        <v>144</v>
      </c>
      <c r="G1483" s="14">
        <f t="shared" ref="G1483:G1546" ca="1" si="23">P1483*(1+RAND())</f>
        <v>7218.4329679785797</v>
      </c>
      <c r="H1483" s="12" t="s">
        <v>172</v>
      </c>
      <c r="I1483">
        <v>0</v>
      </c>
      <c r="J1483">
        <v>50</v>
      </c>
      <c r="K1483" s="12" t="s">
        <v>176</v>
      </c>
      <c r="L1483">
        <v>7688</v>
      </c>
      <c r="M1483">
        <v>1</v>
      </c>
      <c r="O1483" s="39"/>
      <c r="P1483" s="16">
        <v>4824.34</v>
      </c>
      <c r="S1483" s="17"/>
    </row>
    <row r="1484" spans="1:19" x14ac:dyDescent="0.4">
      <c r="A1484">
        <v>7757815</v>
      </c>
      <c r="B1484" s="15">
        <v>33</v>
      </c>
      <c r="C1484" s="12" t="s">
        <v>122</v>
      </c>
      <c r="D1484" s="12" t="s">
        <v>145</v>
      </c>
      <c r="E1484" s="12" t="s">
        <v>150</v>
      </c>
      <c r="F1484" s="12" t="s">
        <v>162</v>
      </c>
      <c r="G1484" s="14">
        <f t="shared" ca="1" si="23"/>
        <v>68916.777977604565</v>
      </c>
      <c r="H1484" s="12" t="s">
        <v>172</v>
      </c>
      <c r="I1484">
        <v>0</v>
      </c>
      <c r="J1484">
        <v>43</v>
      </c>
      <c r="K1484" s="12" t="s">
        <v>179</v>
      </c>
      <c r="L1484">
        <v>0</v>
      </c>
      <c r="M1484">
        <v>0</v>
      </c>
      <c r="O1484" s="39"/>
      <c r="P1484" s="15">
        <v>59588.77</v>
      </c>
      <c r="S1484" s="17"/>
    </row>
    <row r="1485" spans="1:19" x14ac:dyDescent="0.4">
      <c r="A1485">
        <v>7763890</v>
      </c>
      <c r="B1485" s="16">
        <v>35</v>
      </c>
      <c r="C1485" s="12" t="s">
        <v>122</v>
      </c>
      <c r="D1485" s="12" t="s">
        <v>134</v>
      </c>
      <c r="E1485" s="12" t="s">
        <v>152</v>
      </c>
      <c r="F1485" s="12" t="s">
        <v>162</v>
      </c>
      <c r="G1485" s="14">
        <f t="shared" ca="1" si="23"/>
        <v>19636.027360916742</v>
      </c>
      <c r="H1485" s="12" t="s">
        <v>172</v>
      </c>
      <c r="I1485">
        <v>0</v>
      </c>
      <c r="J1485">
        <v>50</v>
      </c>
      <c r="K1485" s="12" t="s">
        <v>176</v>
      </c>
      <c r="L1485">
        <v>0</v>
      </c>
      <c r="M1485">
        <v>0</v>
      </c>
      <c r="O1485" s="39"/>
      <c r="P1485" s="16">
        <v>17666.7</v>
      </c>
      <c r="S1485" s="17"/>
    </row>
    <row r="1486" spans="1:19" x14ac:dyDescent="0.4">
      <c r="A1486">
        <v>7765906</v>
      </c>
      <c r="B1486" s="15">
        <v>35</v>
      </c>
      <c r="C1486" s="12" t="s">
        <v>122</v>
      </c>
      <c r="D1486" s="12" t="s">
        <v>137</v>
      </c>
      <c r="E1486" s="12" t="s">
        <v>150</v>
      </c>
      <c r="F1486" s="12" t="s">
        <v>158</v>
      </c>
      <c r="G1486" s="14">
        <f t="shared" ca="1" si="23"/>
        <v>161136.56685386883</v>
      </c>
      <c r="H1486" s="12" t="s">
        <v>171</v>
      </c>
      <c r="I1486">
        <v>0</v>
      </c>
      <c r="J1486">
        <v>40</v>
      </c>
      <c r="K1486" s="12" t="s">
        <v>176</v>
      </c>
      <c r="L1486">
        <v>0</v>
      </c>
      <c r="M1486">
        <v>0</v>
      </c>
      <c r="O1486" s="39"/>
      <c r="P1486" s="15">
        <v>131926.03</v>
      </c>
      <c r="S1486" s="17"/>
    </row>
    <row r="1487" spans="1:19" x14ac:dyDescent="0.4">
      <c r="A1487">
        <v>7766032</v>
      </c>
      <c r="B1487" s="16">
        <v>68</v>
      </c>
      <c r="C1487" s="12" t="s">
        <v>129</v>
      </c>
      <c r="D1487" s="12" t="s">
        <v>134</v>
      </c>
      <c r="E1487" s="12" t="s">
        <v>152</v>
      </c>
      <c r="F1487" s="12" t="s">
        <v>129</v>
      </c>
      <c r="G1487" s="14">
        <f t="shared" ca="1" si="23"/>
        <v>76387.182799385948</v>
      </c>
      <c r="H1487" s="12" t="s">
        <v>172</v>
      </c>
      <c r="I1487">
        <v>0</v>
      </c>
      <c r="J1487">
        <v>15</v>
      </c>
      <c r="K1487" s="12" t="s">
        <v>176</v>
      </c>
      <c r="L1487">
        <v>0</v>
      </c>
      <c r="M1487">
        <v>0</v>
      </c>
      <c r="O1487" s="39"/>
      <c r="P1487" s="16">
        <v>44746.05</v>
      </c>
      <c r="S1487" s="17"/>
    </row>
    <row r="1488" spans="1:19" x14ac:dyDescent="0.4">
      <c r="A1488">
        <v>7768490</v>
      </c>
      <c r="B1488" s="15">
        <v>29</v>
      </c>
      <c r="C1488" s="12" t="s">
        <v>122</v>
      </c>
      <c r="D1488" s="12" t="s">
        <v>134</v>
      </c>
      <c r="E1488" s="12" t="s">
        <v>150</v>
      </c>
      <c r="F1488" s="12" t="s">
        <v>159</v>
      </c>
      <c r="G1488" s="14">
        <f t="shared" ca="1" si="23"/>
        <v>52738.375444620433</v>
      </c>
      <c r="H1488" s="12" t="s">
        <v>172</v>
      </c>
      <c r="I1488">
        <v>0</v>
      </c>
      <c r="J1488">
        <v>50</v>
      </c>
      <c r="K1488" s="12" t="s">
        <v>176</v>
      </c>
      <c r="L1488">
        <v>0</v>
      </c>
      <c r="M1488">
        <v>0</v>
      </c>
      <c r="O1488" s="39"/>
      <c r="P1488" s="15">
        <v>40068.93</v>
      </c>
      <c r="S1488" s="17"/>
    </row>
    <row r="1489" spans="1:19" x14ac:dyDescent="0.4">
      <c r="A1489">
        <v>7774421</v>
      </c>
      <c r="B1489" s="16">
        <v>52</v>
      </c>
      <c r="C1489" s="12" t="s">
        <v>122</v>
      </c>
      <c r="D1489" s="12" t="s">
        <v>132</v>
      </c>
      <c r="E1489" s="12" t="s">
        <v>151</v>
      </c>
      <c r="F1489" s="12" t="s">
        <v>160</v>
      </c>
      <c r="G1489" s="14">
        <f t="shared" ca="1" si="23"/>
        <v>158765.56849834713</v>
      </c>
      <c r="H1489" s="12" t="s">
        <v>172</v>
      </c>
      <c r="I1489">
        <v>0</v>
      </c>
      <c r="J1489">
        <v>60</v>
      </c>
      <c r="K1489" s="12" t="s">
        <v>176</v>
      </c>
      <c r="L1489">
        <v>0</v>
      </c>
      <c r="M1489">
        <v>0</v>
      </c>
      <c r="O1489" s="39"/>
      <c r="P1489" s="16">
        <v>80043.25</v>
      </c>
      <c r="S1489" s="17"/>
    </row>
    <row r="1490" spans="1:19" x14ac:dyDescent="0.4">
      <c r="A1490">
        <v>7777422</v>
      </c>
      <c r="B1490" s="15">
        <v>46</v>
      </c>
      <c r="C1490" s="12" t="s">
        <v>122</v>
      </c>
      <c r="D1490" s="12" t="s">
        <v>134</v>
      </c>
      <c r="E1490" s="12" t="s">
        <v>151</v>
      </c>
      <c r="F1490" s="12" t="s">
        <v>160</v>
      </c>
      <c r="G1490" s="14">
        <f t="shared" ca="1" si="23"/>
        <v>264396.64340422151</v>
      </c>
      <c r="H1490" s="12" t="s">
        <v>172</v>
      </c>
      <c r="I1490">
        <v>0</v>
      </c>
      <c r="J1490">
        <v>44</v>
      </c>
      <c r="K1490" s="12" t="s">
        <v>176</v>
      </c>
      <c r="L1490">
        <v>0</v>
      </c>
      <c r="M1490">
        <v>0</v>
      </c>
      <c r="O1490" s="39"/>
      <c r="P1490" s="15">
        <v>137081.84</v>
      </c>
      <c r="S1490" s="17"/>
    </row>
    <row r="1491" spans="1:19" x14ac:dyDescent="0.4">
      <c r="A1491">
        <v>7778844</v>
      </c>
      <c r="B1491" s="16">
        <v>57</v>
      </c>
      <c r="C1491" s="12" t="s">
        <v>125</v>
      </c>
      <c r="D1491" s="12" t="s">
        <v>145</v>
      </c>
      <c r="E1491" s="12" t="s">
        <v>151</v>
      </c>
      <c r="F1491" s="12" t="s">
        <v>156</v>
      </c>
      <c r="G1491" s="14">
        <f t="shared" ca="1" si="23"/>
        <v>33274.311820912721</v>
      </c>
      <c r="H1491" s="12" t="s">
        <v>172</v>
      </c>
      <c r="I1491">
        <v>0</v>
      </c>
      <c r="J1491">
        <v>40</v>
      </c>
      <c r="K1491" s="12" t="s">
        <v>176</v>
      </c>
      <c r="L1491">
        <v>0</v>
      </c>
      <c r="M1491">
        <v>0</v>
      </c>
      <c r="O1491" s="39"/>
      <c r="P1491" s="16">
        <v>26974.36</v>
      </c>
      <c r="S1491" s="17"/>
    </row>
    <row r="1492" spans="1:19" x14ac:dyDescent="0.4">
      <c r="A1492">
        <v>7780828</v>
      </c>
      <c r="B1492" s="15">
        <v>56</v>
      </c>
      <c r="C1492" s="12" t="s">
        <v>122</v>
      </c>
      <c r="D1492" s="12" t="s">
        <v>134</v>
      </c>
      <c r="E1492" s="12" t="s">
        <v>152</v>
      </c>
      <c r="F1492" s="12" t="s">
        <v>157</v>
      </c>
      <c r="G1492" s="14">
        <f t="shared" ca="1" si="23"/>
        <v>47103.147850626759</v>
      </c>
      <c r="H1492" s="12" t="s">
        <v>172</v>
      </c>
      <c r="I1492">
        <v>0</v>
      </c>
      <c r="J1492">
        <v>44</v>
      </c>
      <c r="K1492" s="12" t="s">
        <v>176</v>
      </c>
      <c r="L1492">
        <v>469</v>
      </c>
      <c r="M1492">
        <v>1</v>
      </c>
      <c r="O1492" s="39"/>
      <c r="P1492" s="15">
        <v>35286.300000000003</v>
      </c>
      <c r="S1492" s="17"/>
    </row>
    <row r="1493" spans="1:19" x14ac:dyDescent="0.4">
      <c r="A1493">
        <v>7781346</v>
      </c>
      <c r="B1493" s="16">
        <v>21</v>
      </c>
      <c r="C1493" s="12" t="s">
        <v>122</v>
      </c>
      <c r="D1493" s="12" t="s">
        <v>132</v>
      </c>
      <c r="E1493" s="12" t="s">
        <v>150</v>
      </c>
      <c r="F1493" s="12" t="s">
        <v>158</v>
      </c>
      <c r="G1493" s="14">
        <f t="shared" ca="1" si="23"/>
        <v>90386.166070283842</v>
      </c>
      <c r="H1493" s="12" t="s">
        <v>172</v>
      </c>
      <c r="I1493">
        <v>0</v>
      </c>
      <c r="J1493">
        <v>45</v>
      </c>
      <c r="K1493" s="12" t="s">
        <v>176</v>
      </c>
      <c r="L1493">
        <v>0</v>
      </c>
      <c r="M1493">
        <v>0</v>
      </c>
      <c r="O1493" s="39"/>
      <c r="P1493" s="16">
        <v>63338.33</v>
      </c>
      <c r="S1493" s="17"/>
    </row>
    <row r="1494" spans="1:19" x14ac:dyDescent="0.4">
      <c r="A1494">
        <v>7786568</v>
      </c>
      <c r="B1494" s="15">
        <v>33</v>
      </c>
      <c r="C1494" s="12" t="s">
        <v>122</v>
      </c>
      <c r="D1494" s="12" t="s">
        <v>134</v>
      </c>
      <c r="E1494" s="12" t="s">
        <v>152</v>
      </c>
      <c r="F1494" s="12" t="s">
        <v>166</v>
      </c>
      <c r="G1494" s="14">
        <f t="shared" ca="1" si="23"/>
        <v>76942.180385411106</v>
      </c>
      <c r="H1494" s="12" t="s">
        <v>172</v>
      </c>
      <c r="I1494">
        <v>0</v>
      </c>
      <c r="J1494">
        <v>16</v>
      </c>
      <c r="K1494" s="12" t="s">
        <v>176</v>
      </c>
      <c r="L1494">
        <v>0</v>
      </c>
      <c r="M1494">
        <v>0</v>
      </c>
      <c r="O1494" s="39"/>
      <c r="P1494" s="15">
        <v>41124.17</v>
      </c>
      <c r="S1494" s="17"/>
    </row>
    <row r="1495" spans="1:19" x14ac:dyDescent="0.4">
      <c r="A1495">
        <v>7787609</v>
      </c>
      <c r="B1495" s="16">
        <v>42</v>
      </c>
      <c r="C1495" s="12" t="s">
        <v>122</v>
      </c>
      <c r="D1495" s="12" t="s">
        <v>135</v>
      </c>
      <c r="E1495" s="12" t="s">
        <v>152</v>
      </c>
      <c r="F1495" s="12" t="s">
        <v>160</v>
      </c>
      <c r="G1495" s="14">
        <f t="shared" ca="1" si="23"/>
        <v>94234.092045271798</v>
      </c>
      <c r="H1495" s="12" t="s">
        <v>172</v>
      </c>
      <c r="I1495">
        <v>2415</v>
      </c>
      <c r="J1495">
        <v>60</v>
      </c>
      <c r="K1495" s="12" t="s">
        <v>176</v>
      </c>
      <c r="L1495">
        <v>6142</v>
      </c>
      <c r="M1495">
        <v>1</v>
      </c>
      <c r="O1495" s="39"/>
      <c r="P1495" s="16">
        <v>63215.29</v>
      </c>
      <c r="S1495" s="17"/>
    </row>
    <row r="1496" spans="1:19" x14ac:dyDescent="0.4">
      <c r="A1496">
        <v>7797438</v>
      </c>
      <c r="B1496" s="15">
        <v>26</v>
      </c>
      <c r="C1496" s="12" t="s">
        <v>122</v>
      </c>
      <c r="D1496" s="12" t="s">
        <v>134</v>
      </c>
      <c r="E1496" s="12" t="s">
        <v>152</v>
      </c>
      <c r="F1496" s="12" t="s">
        <v>160</v>
      </c>
      <c r="G1496" s="14">
        <f t="shared" ca="1" si="23"/>
        <v>62501.665342976223</v>
      </c>
      <c r="H1496" s="12" t="s">
        <v>172</v>
      </c>
      <c r="I1496">
        <v>0</v>
      </c>
      <c r="J1496">
        <v>40</v>
      </c>
      <c r="K1496" s="12" t="s">
        <v>176</v>
      </c>
      <c r="L1496">
        <v>0</v>
      </c>
      <c r="M1496">
        <v>0</v>
      </c>
      <c r="O1496" s="39"/>
      <c r="P1496" s="15">
        <v>56002.400000000001</v>
      </c>
      <c r="S1496" s="17"/>
    </row>
    <row r="1497" spans="1:19" x14ac:dyDescent="0.4">
      <c r="A1497">
        <v>7809386</v>
      </c>
      <c r="B1497" s="16">
        <v>24</v>
      </c>
      <c r="C1497" s="12" t="s">
        <v>122</v>
      </c>
      <c r="D1497" s="12" t="s">
        <v>134</v>
      </c>
      <c r="E1497" s="12" t="s">
        <v>151</v>
      </c>
      <c r="F1497" s="12" t="s">
        <v>161</v>
      </c>
      <c r="G1497" s="14">
        <f t="shared" ca="1" si="23"/>
        <v>204694.31979071358</v>
      </c>
      <c r="H1497" s="12" t="s">
        <v>172</v>
      </c>
      <c r="I1497">
        <v>0</v>
      </c>
      <c r="J1497">
        <v>40</v>
      </c>
      <c r="K1497" s="12" t="s">
        <v>176</v>
      </c>
      <c r="L1497">
        <v>0</v>
      </c>
      <c r="M1497">
        <v>0</v>
      </c>
      <c r="O1497" s="39"/>
      <c r="P1497" s="16">
        <v>110008.09</v>
      </c>
      <c r="S1497" s="17"/>
    </row>
    <row r="1498" spans="1:19" x14ac:dyDescent="0.4">
      <c r="A1498">
        <v>7811862</v>
      </c>
      <c r="B1498" s="15">
        <v>36</v>
      </c>
      <c r="C1498" s="12" t="s">
        <v>122</v>
      </c>
      <c r="D1498" s="12" t="s">
        <v>134</v>
      </c>
      <c r="E1498" s="12" t="s">
        <v>150</v>
      </c>
      <c r="F1498" s="12" t="s">
        <v>156</v>
      </c>
      <c r="G1498" s="14">
        <f t="shared" ca="1" si="23"/>
        <v>192081.52633490722</v>
      </c>
      <c r="H1498" s="12" t="s">
        <v>172</v>
      </c>
      <c r="I1498">
        <v>0</v>
      </c>
      <c r="J1498">
        <v>40</v>
      </c>
      <c r="K1498" s="12" t="s">
        <v>176</v>
      </c>
      <c r="L1498">
        <v>0</v>
      </c>
      <c r="M1498">
        <v>0</v>
      </c>
      <c r="O1498" s="39"/>
      <c r="P1498" s="15">
        <v>99389.9</v>
      </c>
      <c r="S1498" s="17"/>
    </row>
    <row r="1499" spans="1:19" x14ac:dyDescent="0.4">
      <c r="A1499">
        <v>7816411</v>
      </c>
      <c r="B1499" s="16">
        <v>31</v>
      </c>
      <c r="C1499" s="12" t="s">
        <v>122</v>
      </c>
      <c r="D1499" s="12" t="s">
        <v>136</v>
      </c>
      <c r="E1499" s="12" t="s">
        <v>150</v>
      </c>
      <c r="F1499" s="12" t="s">
        <v>162</v>
      </c>
      <c r="G1499" s="14">
        <f t="shared" ca="1" si="23"/>
        <v>79731.836927269513</v>
      </c>
      <c r="H1499" s="12" t="s">
        <v>172</v>
      </c>
      <c r="I1499">
        <v>0</v>
      </c>
      <c r="J1499">
        <v>50</v>
      </c>
      <c r="K1499" s="12" t="s">
        <v>176</v>
      </c>
      <c r="L1499">
        <v>0</v>
      </c>
      <c r="M1499">
        <v>0</v>
      </c>
      <c r="O1499" s="39"/>
      <c r="P1499" s="16">
        <v>64071.23</v>
      </c>
      <c r="S1499" s="17"/>
    </row>
    <row r="1500" spans="1:19" x14ac:dyDescent="0.4">
      <c r="A1500">
        <v>7818142</v>
      </c>
      <c r="B1500" s="15">
        <v>25</v>
      </c>
      <c r="C1500" s="12" t="s">
        <v>122</v>
      </c>
      <c r="D1500" s="12" t="s">
        <v>134</v>
      </c>
      <c r="E1500" s="12" t="s">
        <v>149</v>
      </c>
      <c r="F1500" s="12" t="s">
        <v>159</v>
      </c>
      <c r="G1500" s="14">
        <f t="shared" ca="1" si="23"/>
        <v>199195.99828065472</v>
      </c>
      <c r="H1500" s="12" t="s">
        <v>172</v>
      </c>
      <c r="I1500">
        <v>0</v>
      </c>
      <c r="J1500">
        <v>40</v>
      </c>
      <c r="K1500" s="12" t="s">
        <v>179</v>
      </c>
      <c r="L1500">
        <v>0</v>
      </c>
      <c r="M1500">
        <v>0</v>
      </c>
      <c r="O1500" s="39"/>
      <c r="P1500" s="15">
        <v>150471.56</v>
      </c>
      <c r="S1500" s="17"/>
    </row>
    <row r="1501" spans="1:19" x14ac:dyDescent="0.4">
      <c r="A1501">
        <v>7823899</v>
      </c>
      <c r="B1501" s="16">
        <v>47</v>
      </c>
      <c r="C1501" s="12" t="s">
        <v>122</v>
      </c>
      <c r="D1501" s="12" t="s">
        <v>132</v>
      </c>
      <c r="E1501" s="12" t="s">
        <v>153</v>
      </c>
      <c r="F1501" s="12" t="s">
        <v>144</v>
      </c>
      <c r="G1501" s="14">
        <f t="shared" ca="1" si="23"/>
        <v>142587.19692735345</v>
      </c>
      <c r="H1501" s="12" t="s">
        <v>171</v>
      </c>
      <c r="I1501">
        <v>0</v>
      </c>
      <c r="J1501">
        <v>40</v>
      </c>
      <c r="K1501" s="12" t="s">
        <v>176</v>
      </c>
      <c r="L1501">
        <v>0</v>
      </c>
      <c r="M1501">
        <v>0</v>
      </c>
      <c r="O1501" s="39"/>
      <c r="P1501" s="16">
        <v>93634.6</v>
      </c>
      <c r="S1501" s="17"/>
    </row>
    <row r="1502" spans="1:19" x14ac:dyDescent="0.4">
      <c r="A1502">
        <v>7835443</v>
      </c>
      <c r="B1502" s="15">
        <v>47</v>
      </c>
      <c r="C1502" s="12" t="s">
        <v>122</v>
      </c>
      <c r="D1502" s="12" t="s">
        <v>140</v>
      </c>
      <c r="E1502" s="12" t="s">
        <v>152</v>
      </c>
      <c r="F1502" s="12" t="s">
        <v>159</v>
      </c>
      <c r="G1502" s="14">
        <f t="shared" ca="1" si="23"/>
        <v>28038.949245422351</v>
      </c>
      <c r="H1502" s="12" t="s">
        <v>172</v>
      </c>
      <c r="I1502">
        <v>0</v>
      </c>
      <c r="J1502">
        <v>40</v>
      </c>
      <c r="K1502" s="12" t="s">
        <v>176</v>
      </c>
      <c r="L1502">
        <v>0</v>
      </c>
      <c r="M1502">
        <v>0</v>
      </c>
      <c r="O1502" s="39"/>
      <c r="P1502" s="15">
        <v>14925.85</v>
      </c>
      <c r="S1502" s="17"/>
    </row>
    <row r="1503" spans="1:19" x14ac:dyDescent="0.4">
      <c r="A1503">
        <v>7848840</v>
      </c>
      <c r="B1503" s="16">
        <v>33</v>
      </c>
      <c r="C1503" s="12" t="s">
        <v>122</v>
      </c>
      <c r="D1503" s="12" t="s">
        <v>135</v>
      </c>
      <c r="E1503" s="12" t="s">
        <v>149</v>
      </c>
      <c r="F1503" s="12" t="s">
        <v>144</v>
      </c>
      <c r="G1503" s="14">
        <f t="shared" ca="1" si="23"/>
        <v>140465.36668846561</v>
      </c>
      <c r="H1503" s="12" t="s">
        <v>171</v>
      </c>
      <c r="I1503">
        <v>0</v>
      </c>
      <c r="J1503">
        <v>40</v>
      </c>
      <c r="K1503" s="12" t="s">
        <v>177</v>
      </c>
      <c r="L1503">
        <v>0</v>
      </c>
      <c r="M1503">
        <v>0</v>
      </c>
      <c r="O1503" s="39"/>
      <c r="P1503" s="16">
        <v>72762.3</v>
      </c>
      <c r="S1503" s="17"/>
    </row>
    <row r="1504" spans="1:19" x14ac:dyDescent="0.4">
      <c r="A1504">
        <v>7852813</v>
      </c>
      <c r="B1504" s="15">
        <v>39</v>
      </c>
      <c r="C1504" s="12" t="s">
        <v>122</v>
      </c>
      <c r="D1504" s="12" t="s">
        <v>134</v>
      </c>
      <c r="E1504" s="12" t="s">
        <v>152</v>
      </c>
      <c r="F1504" s="12" t="s">
        <v>158</v>
      </c>
      <c r="G1504" s="14">
        <f t="shared" ca="1" si="23"/>
        <v>350763.75729847921</v>
      </c>
      <c r="H1504" s="12" t="s">
        <v>171</v>
      </c>
      <c r="I1504">
        <v>0</v>
      </c>
      <c r="J1504">
        <v>40</v>
      </c>
      <c r="K1504" s="12" t="s">
        <v>176</v>
      </c>
      <c r="L1504">
        <v>18355</v>
      </c>
      <c r="M1504">
        <v>1</v>
      </c>
      <c r="O1504" s="39"/>
      <c r="P1504" s="15">
        <v>209639.84</v>
      </c>
      <c r="S1504" s="17"/>
    </row>
    <row r="1505" spans="1:19" x14ac:dyDescent="0.4">
      <c r="A1505">
        <v>7858910</v>
      </c>
      <c r="B1505" s="16">
        <v>43</v>
      </c>
      <c r="C1505" s="12" t="s">
        <v>123</v>
      </c>
      <c r="D1505" s="12" t="s">
        <v>137</v>
      </c>
      <c r="E1505" s="12" t="s">
        <v>151</v>
      </c>
      <c r="F1505" s="12" t="s">
        <v>160</v>
      </c>
      <c r="G1505" s="14">
        <f t="shared" ca="1" si="23"/>
        <v>123589.77420968235</v>
      </c>
      <c r="H1505" s="12" t="s">
        <v>172</v>
      </c>
      <c r="I1505">
        <v>0</v>
      </c>
      <c r="J1505">
        <v>25</v>
      </c>
      <c r="K1505" s="12" t="s">
        <v>176</v>
      </c>
      <c r="L1505">
        <v>0</v>
      </c>
      <c r="M1505">
        <v>0</v>
      </c>
      <c r="O1505" s="39"/>
      <c r="P1505" s="16">
        <v>100084.83</v>
      </c>
      <c r="S1505" s="17"/>
    </row>
    <row r="1506" spans="1:19" x14ac:dyDescent="0.4">
      <c r="A1506">
        <v>7858973</v>
      </c>
      <c r="B1506" s="15">
        <v>35</v>
      </c>
      <c r="C1506" s="12" t="s">
        <v>122</v>
      </c>
      <c r="D1506" s="12" t="s">
        <v>137</v>
      </c>
      <c r="E1506" s="12" t="s">
        <v>152</v>
      </c>
      <c r="F1506" s="12" t="s">
        <v>160</v>
      </c>
      <c r="G1506" s="14">
        <f t="shared" ca="1" si="23"/>
        <v>58548.91131821779</v>
      </c>
      <c r="H1506" s="12" t="s">
        <v>172</v>
      </c>
      <c r="I1506">
        <v>0</v>
      </c>
      <c r="J1506">
        <v>50</v>
      </c>
      <c r="K1506" s="12" t="s">
        <v>176</v>
      </c>
      <c r="L1506">
        <v>7298</v>
      </c>
      <c r="M1506">
        <v>1</v>
      </c>
      <c r="O1506" s="39"/>
      <c r="P1506" s="15">
        <v>40415.760000000002</v>
      </c>
      <c r="S1506" s="17"/>
    </row>
    <row r="1507" spans="1:19" x14ac:dyDescent="0.4">
      <c r="A1507">
        <v>7861154</v>
      </c>
      <c r="B1507" s="16">
        <v>40</v>
      </c>
      <c r="C1507" s="12" t="s">
        <v>122</v>
      </c>
      <c r="D1507" s="12" t="s">
        <v>132</v>
      </c>
      <c r="E1507" s="12" t="s">
        <v>152</v>
      </c>
      <c r="F1507" s="12" t="s">
        <v>159</v>
      </c>
      <c r="G1507" s="14">
        <f t="shared" ca="1" si="23"/>
        <v>25345.770057639453</v>
      </c>
      <c r="H1507" s="12" t="s">
        <v>172</v>
      </c>
      <c r="I1507">
        <v>0</v>
      </c>
      <c r="J1507">
        <v>50</v>
      </c>
      <c r="K1507" s="12" t="s">
        <v>176</v>
      </c>
      <c r="L1507">
        <v>7298</v>
      </c>
      <c r="M1507">
        <v>1</v>
      </c>
      <c r="O1507" s="39"/>
      <c r="P1507" s="16">
        <v>21246.65</v>
      </c>
      <c r="S1507" s="17"/>
    </row>
    <row r="1508" spans="1:19" x14ac:dyDescent="0.4">
      <c r="A1508">
        <v>7871983</v>
      </c>
      <c r="B1508" s="15">
        <v>55</v>
      </c>
      <c r="C1508" s="12" t="s">
        <v>125</v>
      </c>
      <c r="D1508" s="12" t="s">
        <v>138</v>
      </c>
      <c r="E1508" s="12" t="s">
        <v>150</v>
      </c>
      <c r="F1508" s="12" t="s">
        <v>144</v>
      </c>
      <c r="G1508" s="14">
        <f t="shared" ca="1" si="23"/>
        <v>67189.095430826434</v>
      </c>
      <c r="H1508" s="12" t="s">
        <v>171</v>
      </c>
      <c r="I1508">
        <v>0</v>
      </c>
      <c r="J1508">
        <v>45</v>
      </c>
      <c r="K1508" s="12" t="s">
        <v>176</v>
      </c>
      <c r="L1508">
        <v>0</v>
      </c>
      <c r="M1508">
        <v>0</v>
      </c>
      <c r="O1508" s="39"/>
      <c r="P1508" s="15">
        <v>60766.47</v>
      </c>
      <c r="S1508" s="17"/>
    </row>
    <row r="1509" spans="1:19" x14ac:dyDescent="0.4">
      <c r="A1509">
        <v>7872583</v>
      </c>
      <c r="B1509" s="16">
        <v>17</v>
      </c>
      <c r="C1509" s="12" t="s">
        <v>122</v>
      </c>
      <c r="D1509" s="12" t="s">
        <v>140</v>
      </c>
      <c r="E1509" s="12" t="s">
        <v>150</v>
      </c>
      <c r="F1509" s="12" t="s">
        <v>156</v>
      </c>
      <c r="G1509" s="14">
        <f t="shared" ca="1" si="23"/>
        <v>333862.41203437484</v>
      </c>
      <c r="H1509" s="12" t="s">
        <v>172</v>
      </c>
      <c r="I1509">
        <v>0</v>
      </c>
      <c r="J1509">
        <v>30</v>
      </c>
      <c r="K1509" s="12" t="s">
        <v>176</v>
      </c>
      <c r="L1509">
        <v>0</v>
      </c>
      <c r="M1509">
        <v>0</v>
      </c>
      <c r="O1509" s="39"/>
      <c r="P1509" s="16">
        <v>233409.77</v>
      </c>
      <c r="S1509" s="17"/>
    </row>
    <row r="1510" spans="1:19" x14ac:dyDescent="0.4">
      <c r="A1510">
        <v>7876026</v>
      </c>
      <c r="B1510" s="15">
        <v>27</v>
      </c>
      <c r="C1510" s="12" t="s">
        <v>122</v>
      </c>
      <c r="D1510" s="12" t="s">
        <v>134</v>
      </c>
      <c r="E1510" s="12" t="s">
        <v>152</v>
      </c>
      <c r="F1510" s="12" t="s">
        <v>161</v>
      </c>
      <c r="G1510" s="14">
        <f t="shared" ca="1" si="23"/>
        <v>22582.659390202916</v>
      </c>
      <c r="H1510" s="12" t="s">
        <v>172</v>
      </c>
      <c r="I1510">
        <v>0</v>
      </c>
      <c r="J1510">
        <v>50</v>
      </c>
      <c r="K1510" s="12" t="s">
        <v>176</v>
      </c>
      <c r="L1510">
        <v>16646</v>
      </c>
      <c r="M1510">
        <v>1</v>
      </c>
      <c r="O1510" s="39"/>
      <c r="P1510" s="15">
        <v>16294.82</v>
      </c>
      <c r="S1510" s="17"/>
    </row>
    <row r="1511" spans="1:19" x14ac:dyDescent="0.4">
      <c r="A1511">
        <v>7878061</v>
      </c>
      <c r="B1511" s="16">
        <v>55</v>
      </c>
      <c r="C1511" s="12" t="s">
        <v>122</v>
      </c>
      <c r="D1511" s="12" t="s">
        <v>132</v>
      </c>
      <c r="E1511" s="12" t="s">
        <v>151</v>
      </c>
      <c r="F1511" s="12" t="s">
        <v>158</v>
      </c>
      <c r="G1511" s="14">
        <f t="shared" ca="1" si="23"/>
        <v>400746.71161589614</v>
      </c>
      <c r="H1511" s="12" t="s">
        <v>171</v>
      </c>
      <c r="I1511">
        <v>0</v>
      </c>
      <c r="J1511">
        <v>20</v>
      </c>
      <c r="K1511" s="12" t="s">
        <v>176</v>
      </c>
      <c r="L1511">
        <v>0</v>
      </c>
      <c r="M1511">
        <v>0</v>
      </c>
      <c r="O1511" s="39"/>
      <c r="P1511" s="16">
        <v>300567.65000000002</v>
      </c>
      <c r="S1511" s="17"/>
    </row>
    <row r="1512" spans="1:19" x14ac:dyDescent="0.4">
      <c r="A1512">
        <v>7883318</v>
      </c>
      <c r="B1512" s="15">
        <v>28</v>
      </c>
      <c r="C1512" s="12" t="s">
        <v>122</v>
      </c>
      <c r="D1512" s="12" t="s">
        <v>135</v>
      </c>
      <c r="E1512" s="12" t="s">
        <v>150</v>
      </c>
      <c r="F1512" s="12" t="s">
        <v>156</v>
      </c>
      <c r="G1512" s="14">
        <f t="shared" ca="1" si="23"/>
        <v>101200.90444859593</v>
      </c>
      <c r="H1512" s="12" t="s">
        <v>171</v>
      </c>
      <c r="I1512">
        <v>0</v>
      </c>
      <c r="J1512">
        <v>50</v>
      </c>
      <c r="K1512" s="12" t="s">
        <v>176</v>
      </c>
      <c r="L1512">
        <v>0</v>
      </c>
      <c r="M1512">
        <v>0</v>
      </c>
      <c r="O1512" s="39"/>
      <c r="P1512" s="15">
        <v>51433.26</v>
      </c>
      <c r="S1512" s="17"/>
    </row>
    <row r="1513" spans="1:19" x14ac:dyDescent="0.4">
      <c r="A1513">
        <v>7889877</v>
      </c>
      <c r="B1513" s="16">
        <v>32</v>
      </c>
      <c r="C1513" s="12" t="s">
        <v>122</v>
      </c>
      <c r="D1513" s="12" t="s">
        <v>135</v>
      </c>
      <c r="E1513" s="12" t="s">
        <v>151</v>
      </c>
      <c r="F1513" s="12" t="s">
        <v>160</v>
      </c>
      <c r="G1513" s="14">
        <f t="shared" ca="1" si="23"/>
        <v>114369.37808379672</v>
      </c>
      <c r="H1513" s="12" t="s">
        <v>171</v>
      </c>
      <c r="I1513">
        <v>0</v>
      </c>
      <c r="J1513">
        <v>40</v>
      </c>
      <c r="K1513" s="12" t="s">
        <v>176</v>
      </c>
      <c r="L1513">
        <v>0</v>
      </c>
      <c r="M1513">
        <v>0</v>
      </c>
      <c r="O1513" s="39"/>
      <c r="P1513" s="16">
        <v>110297.69</v>
      </c>
      <c r="S1513" s="17"/>
    </row>
    <row r="1514" spans="1:19" x14ac:dyDescent="0.4">
      <c r="A1514">
        <v>7894906</v>
      </c>
      <c r="B1514" s="15">
        <v>37</v>
      </c>
      <c r="C1514" s="12" t="s">
        <v>122</v>
      </c>
      <c r="D1514" s="12" t="s">
        <v>135</v>
      </c>
      <c r="E1514" s="12" t="s">
        <v>152</v>
      </c>
      <c r="F1514" s="12" t="s">
        <v>163</v>
      </c>
      <c r="G1514" s="14">
        <f t="shared" ca="1" si="23"/>
        <v>305534.51441928896</v>
      </c>
      <c r="H1514" s="12" t="s">
        <v>171</v>
      </c>
      <c r="I1514">
        <v>0</v>
      </c>
      <c r="J1514">
        <v>40</v>
      </c>
      <c r="K1514" s="12" t="s">
        <v>176</v>
      </c>
      <c r="L1514">
        <v>247</v>
      </c>
      <c r="M1514">
        <v>1</v>
      </c>
      <c r="O1514" s="39"/>
      <c r="P1514" s="15">
        <v>210851.71</v>
      </c>
      <c r="S1514" s="17"/>
    </row>
    <row r="1515" spans="1:19" x14ac:dyDescent="0.4">
      <c r="A1515">
        <v>7896143</v>
      </c>
      <c r="B1515" s="16">
        <v>32</v>
      </c>
      <c r="C1515" s="12" t="s">
        <v>126</v>
      </c>
      <c r="D1515" s="12" t="s">
        <v>135</v>
      </c>
      <c r="E1515" s="12" t="s">
        <v>151</v>
      </c>
      <c r="F1515" s="12" t="s">
        <v>160</v>
      </c>
      <c r="G1515" s="14">
        <f t="shared" ca="1" si="23"/>
        <v>96533.178035375342</v>
      </c>
      <c r="H1515" s="12" t="s">
        <v>171</v>
      </c>
      <c r="I1515">
        <v>0</v>
      </c>
      <c r="J1515">
        <v>40</v>
      </c>
      <c r="K1515" s="12" t="s">
        <v>176</v>
      </c>
      <c r="L1515">
        <v>0</v>
      </c>
      <c r="M1515">
        <v>0</v>
      </c>
      <c r="O1515" s="39"/>
      <c r="P1515" s="16">
        <v>68317.22</v>
      </c>
      <c r="S1515" s="17"/>
    </row>
    <row r="1516" spans="1:19" x14ac:dyDescent="0.4">
      <c r="A1516">
        <v>7900499</v>
      </c>
      <c r="B1516" s="15">
        <v>31</v>
      </c>
      <c r="C1516" s="12" t="s">
        <v>124</v>
      </c>
      <c r="D1516" s="12" t="s">
        <v>134</v>
      </c>
      <c r="E1516" s="12" t="s">
        <v>150</v>
      </c>
      <c r="F1516" s="12" t="s">
        <v>159</v>
      </c>
      <c r="G1516" s="14">
        <f t="shared" ca="1" si="23"/>
        <v>29168.29820824902</v>
      </c>
      <c r="H1516" s="12" t="s">
        <v>172</v>
      </c>
      <c r="I1516">
        <v>0</v>
      </c>
      <c r="J1516">
        <v>44</v>
      </c>
      <c r="K1516" s="12" t="s">
        <v>176</v>
      </c>
      <c r="L1516">
        <v>0</v>
      </c>
      <c r="M1516">
        <v>0</v>
      </c>
      <c r="O1516" s="39"/>
      <c r="P1516" s="15">
        <v>16438.72</v>
      </c>
      <c r="S1516" s="17"/>
    </row>
    <row r="1517" spans="1:19" x14ac:dyDescent="0.4">
      <c r="A1517">
        <v>7900859</v>
      </c>
      <c r="B1517" s="16">
        <v>22</v>
      </c>
      <c r="C1517" s="12" t="s">
        <v>129</v>
      </c>
      <c r="D1517" s="12" t="s">
        <v>137</v>
      </c>
      <c r="E1517" s="12" t="s">
        <v>150</v>
      </c>
      <c r="F1517" s="12" t="s">
        <v>129</v>
      </c>
      <c r="G1517" s="14">
        <f t="shared" ca="1" si="23"/>
        <v>151739.31433704915</v>
      </c>
      <c r="H1517" s="12" t="s">
        <v>172</v>
      </c>
      <c r="I1517">
        <v>0</v>
      </c>
      <c r="J1517">
        <v>20</v>
      </c>
      <c r="K1517" s="12" t="s">
        <v>176</v>
      </c>
      <c r="L1517">
        <v>0</v>
      </c>
      <c r="M1517">
        <v>0</v>
      </c>
      <c r="O1517" s="39"/>
      <c r="P1517" s="16">
        <v>118931.27</v>
      </c>
      <c r="S1517" s="17"/>
    </row>
    <row r="1518" spans="1:19" x14ac:dyDescent="0.4">
      <c r="A1518">
        <v>7909494</v>
      </c>
      <c r="B1518" s="15">
        <v>60</v>
      </c>
      <c r="C1518" s="12" t="s">
        <v>122</v>
      </c>
      <c r="D1518" s="12" t="s">
        <v>137</v>
      </c>
      <c r="E1518" s="12" t="s">
        <v>153</v>
      </c>
      <c r="F1518" s="12" t="s">
        <v>159</v>
      </c>
      <c r="G1518" s="14">
        <f t="shared" ca="1" si="23"/>
        <v>39918.51999387981</v>
      </c>
      <c r="H1518" s="12" t="s">
        <v>171</v>
      </c>
      <c r="I1518">
        <v>0</v>
      </c>
      <c r="J1518">
        <v>30</v>
      </c>
      <c r="K1518" s="12" t="s">
        <v>176</v>
      </c>
      <c r="L1518">
        <v>0</v>
      </c>
      <c r="M1518">
        <v>0</v>
      </c>
      <c r="O1518" s="39"/>
      <c r="P1518" s="15">
        <v>23892.12</v>
      </c>
      <c r="S1518" s="17"/>
    </row>
    <row r="1519" spans="1:19" x14ac:dyDescent="0.4">
      <c r="A1519">
        <v>7930005</v>
      </c>
      <c r="B1519" s="16">
        <v>43</v>
      </c>
      <c r="C1519" s="12" t="s">
        <v>122</v>
      </c>
      <c r="D1519" s="12" t="s">
        <v>138</v>
      </c>
      <c r="E1519" s="12" t="s">
        <v>153</v>
      </c>
      <c r="F1519" s="12" t="s">
        <v>144</v>
      </c>
      <c r="G1519" s="14">
        <f t="shared" ca="1" si="23"/>
        <v>33065.084486671425</v>
      </c>
      <c r="H1519" s="12" t="s">
        <v>171</v>
      </c>
      <c r="I1519">
        <v>0</v>
      </c>
      <c r="J1519">
        <v>37</v>
      </c>
      <c r="K1519" s="12" t="s">
        <v>176</v>
      </c>
      <c r="L1519">
        <v>0</v>
      </c>
      <c r="M1519">
        <v>0</v>
      </c>
      <c r="O1519" s="39"/>
      <c r="P1519" s="16">
        <v>19841.599999999999</v>
      </c>
      <c r="S1519" s="17"/>
    </row>
    <row r="1520" spans="1:19" x14ac:dyDescent="0.4">
      <c r="A1520">
        <v>7930929</v>
      </c>
      <c r="B1520" s="15">
        <v>66</v>
      </c>
      <c r="C1520" s="12" t="s">
        <v>129</v>
      </c>
      <c r="D1520" s="12" t="s">
        <v>132</v>
      </c>
      <c r="E1520" s="12" t="s">
        <v>153</v>
      </c>
      <c r="F1520" s="12" t="s">
        <v>129</v>
      </c>
      <c r="G1520" s="14">
        <f t="shared" ca="1" si="23"/>
        <v>243527.10663214413</v>
      </c>
      <c r="H1520" s="12" t="s">
        <v>171</v>
      </c>
      <c r="I1520">
        <v>2904</v>
      </c>
      <c r="J1520">
        <v>40</v>
      </c>
      <c r="K1520" s="12" t="s">
        <v>176</v>
      </c>
      <c r="L1520">
        <v>0</v>
      </c>
      <c r="M1520">
        <v>0</v>
      </c>
      <c r="O1520" s="39"/>
      <c r="P1520" s="15">
        <v>242869.91</v>
      </c>
      <c r="S1520" s="17"/>
    </row>
    <row r="1521" spans="1:19" x14ac:dyDescent="0.4">
      <c r="A1521">
        <v>7930941</v>
      </c>
      <c r="B1521" s="16">
        <v>54</v>
      </c>
      <c r="C1521" s="12" t="s">
        <v>122</v>
      </c>
      <c r="D1521" s="12" t="s">
        <v>132</v>
      </c>
      <c r="E1521" s="12" t="s">
        <v>151</v>
      </c>
      <c r="F1521" s="12" t="s">
        <v>160</v>
      </c>
      <c r="G1521" s="14">
        <f t="shared" ca="1" si="23"/>
        <v>95585.121080951489</v>
      </c>
      <c r="H1521" s="12" t="s">
        <v>171</v>
      </c>
      <c r="I1521">
        <v>0</v>
      </c>
      <c r="J1521">
        <v>40</v>
      </c>
      <c r="K1521" s="12" t="s">
        <v>196</v>
      </c>
      <c r="L1521">
        <v>0</v>
      </c>
      <c r="M1521">
        <v>0</v>
      </c>
      <c r="O1521" s="39"/>
      <c r="P1521" s="16">
        <v>63596.65</v>
      </c>
      <c r="S1521" s="17"/>
    </row>
    <row r="1522" spans="1:19" x14ac:dyDescent="0.4">
      <c r="A1522">
        <v>7931340</v>
      </c>
      <c r="B1522" s="15">
        <v>33</v>
      </c>
      <c r="C1522" s="12" t="s">
        <v>122</v>
      </c>
      <c r="D1522" s="12" t="s">
        <v>134</v>
      </c>
      <c r="E1522" s="12" t="s">
        <v>151</v>
      </c>
      <c r="F1522" s="12" t="s">
        <v>158</v>
      </c>
      <c r="G1522" s="14">
        <f t="shared" ca="1" si="23"/>
        <v>492290.50450928404</v>
      </c>
      <c r="H1522" s="12" t="s">
        <v>171</v>
      </c>
      <c r="I1522">
        <v>0</v>
      </c>
      <c r="J1522">
        <v>40</v>
      </c>
      <c r="K1522" s="12" t="s">
        <v>176</v>
      </c>
      <c r="L1522">
        <v>0</v>
      </c>
      <c r="M1522">
        <v>0</v>
      </c>
      <c r="O1522" s="39"/>
      <c r="P1522" s="15">
        <v>303961.49</v>
      </c>
      <c r="S1522" s="17"/>
    </row>
    <row r="1523" spans="1:19" x14ac:dyDescent="0.4">
      <c r="A1523">
        <v>7933477</v>
      </c>
      <c r="B1523" s="16">
        <v>64</v>
      </c>
      <c r="C1523" s="12" t="s">
        <v>127</v>
      </c>
      <c r="D1523" s="12" t="s">
        <v>133</v>
      </c>
      <c r="E1523" s="12" t="s">
        <v>149</v>
      </c>
      <c r="F1523" s="12" t="s">
        <v>144</v>
      </c>
      <c r="G1523" s="14">
        <f t="shared" ca="1" si="23"/>
        <v>57103.926466408258</v>
      </c>
      <c r="H1523" s="12" t="s">
        <v>171</v>
      </c>
      <c r="I1523">
        <v>0</v>
      </c>
      <c r="J1523">
        <v>40</v>
      </c>
      <c r="K1523" s="12" t="s">
        <v>176</v>
      </c>
      <c r="L1523">
        <v>0</v>
      </c>
      <c r="M1523">
        <v>1</v>
      </c>
      <c r="O1523" s="39"/>
      <c r="P1523" s="16">
        <v>53105.64</v>
      </c>
      <c r="S1523" s="17"/>
    </row>
    <row r="1524" spans="1:19" x14ac:dyDescent="0.4">
      <c r="A1524">
        <v>7942955</v>
      </c>
      <c r="B1524" s="15">
        <v>24</v>
      </c>
      <c r="C1524" s="12" t="s">
        <v>122</v>
      </c>
      <c r="D1524" s="12" t="s">
        <v>132</v>
      </c>
      <c r="E1524" s="12" t="s">
        <v>150</v>
      </c>
      <c r="F1524" s="12" t="s">
        <v>156</v>
      </c>
      <c r="G1524" s="14">
        <f t="shared" ca="1" si="23"/>
        <v>55608.789591764282</v>
      </c>
      <c r="H1524" s="12" t="s">
        <v>172</v>
      </c>
      <c r="I1524">
        <v>0</v>
      </c>
      <c r="J1524">
        <v>45</v>
      </c>
      <c r="K1524" s="12" t="s">
        <v>176</v>
      </c>
      <c r="L1524">
        <v>0</v>
      </c>
      <c r="M1524">
        <v>0</v>
      </c>
      <c r="O1524" s="39"/>
      <c r="P1524" s="15">
        <v>40712.44</v>
      </c>
      <c r="S1524" s="17"/>
    </row>
    <row r="1525" spans="1:19" x14ac:dyDescent="0.4">
      <c r="A1525">
        <v>7959188</v>
      </c>
      <c r="B1525" s="16">
        <v>25</v>
      </c>
      <c r="C1525" s="12" t="s">
        <v>122</v>
      </c>
      <c r="D1525" s="12" t="s">
        <v>135</v>
      </c>
      <c r="E1525" s="12" t="s">
        <v>150</v>
      </c>
      <c r="F1525" s="12" t="s">
        <v>144</v>
      </c>
      <c r="G1525" s="14">
        <f t="shared" ca="1" si="23"/>
        <v>43907.485147816275</v>
      </c>
      <c r="H1525" s="12" t="s">
        <v>171</v>
      </c>
      <c r="I1525">
        <v>0</v>
      </c>
      <c r="J1525">
        <v>40</v>
      </c>
      <c r="K1525" s="12" t="s">
        <v>176</v>
      </c>
      <c r="L1525">
        <v>0</v>
      </c>
      <c r="M1525">
        <v>0</v>
      </c>
      <c r="O1525" s="39"/>
      <c r="P1525" s="16">
        <v>25238.23</v>
      </c>
      <c r="S1525" s="17"/>
    </row>
    <row r="1526" spans="1:19" x14ac:dyDescent="0.4">
      <c r="A1526">
        <v>7961013</v>
      </c>
      <c r="B1526" s="15">
        <v>42</v>
      </c>
      <c r="C1526" s="12" t="s">
        <v>122</v>
      </c>
      <c r="D1526" s="12" t="s">
        <v>134</v>
      </c>
      <c r="E1526" s="12" t="s">
        <v>152</v>
      </c>
      <c r="F1526" s="12" t="s">
        <v>159</v>
      </c>
      <c r="G1526" s="14">
        <f t="shared" ca="1" si="23"/>
        <v>31941.120849205538</v>
      </c>
      <c r="H1526" s="12" t="s">
        <v>172</v>
      </c>
      <c r="I1526">
        <v>0</v>
      </c>
      <c r="J1526">
        <v>50</v>
      </c>
      <c r="K1526" s="12" t="s">
        <v>176</v>
      </c>
      <c r="L1526">
        <v>7789</v>
      </c>
      <c r="M1526">
        <v>1</v>
      </c>
      <c r="O1526" s="39"/>
      <c r="P1526" s="15">
        <v>22883.66</v>
      </c>
      <c r="S1526" s="17"/>
    </row>
    <row r="1527" spans="1:19" x14ac:dyDescent="0.4">
      <c r="A1527">
        <v>7966678</v>
      </c>
      <c r="B1527" s="16">
        <v>21</v>
      </c>
      <c r="C1527" s="12" t="s">
        <v>126</v>
      </c>
      <c r="D1527" s="12" t="s">
        <v>132</v>
      </c>
      <c r="E1527" s="12" t="s">
        <v>150</v>
      </c>
      <c r="F1527" s="12" t="s">
        <v>160</v>
      </c>
      <c r="G1527" s="14">
        <f t="shared" ca="1" si="23"/>
        <v>147410.60523393436</v>
      </c>
      <c r="H1527" s="12" t="s">
        <v>172</v>
      </c>
      <c r="I1527">
        <v>0</v>
      </c>
      <c r="J1527">
        <v>40</v>
      </c>
      <c r="K1527" s="12" t="s">
        <v>176</v>
      </c>
      <c r="L1527">
        <v>0</v>
      </c>
      <c r="M1527">
        <v>0</v>
      </c>
      <c r="O1527" s="39"/>
      <c r="P1527" s="16">
        <v>103450.75</v>
      </c>
      <c r="S1527" s="17"/>
    </row>
    <row r="1528" spans="1:19" x14ac:dyDescent="0.4">
      <c r="A1528">
        <v>7968099</v>
      </c>
      <c r="B1528" s="15">
        <v>36</v>
      </c>
      <c r="C1528" s="12" t="s">
        <v>122</v>
      </c>
      <c r="D1528" s="12" t="s">
        <v>134</v>
      </c>
      <c r="E1528" s="12" t="s">
        <v>151</v>
      </c>
      <c r="F1528" s="12" t="s">
        <v>160</v>
      </c>
      <c r="G1528" s="14">
        <f t="shared" ca="1" si="23"/>
        <v>130342.96768289052</v>
      </c>
      <c r="H1528" s="12" t="s">
        <v>171</v>
      </c>
      <c r="I1528">
        <v>0</v>
      </c>
      <c r="J1528">
        <v>40</v>
      </c>
      <c r="K1528" s="12" t="s">
        <v>176</v>
      </c>
      <c r="L1528">
        <v>0</v>
      </c>
      <c r="M1528">
        <v>0</v>
      </c>
      <c r="O1528" s="39"/>
      <c r="P1528" s="15">
        <v>121314.79</v>
      </c>
      <c r="S1528" s="17"/>
    </row>
    <row r="1529" spans="1:19" x14ac:dyDescent="0.4">
      <c r="A1529">
        <v>7968368</v>
      </c>
      <c r="B1529" s="16">
        <v>23</v>
      </c>
      <c r="C1529" s="12" t="s">
        <v>122</v>
      </c>
      <c r="D1529" s="12" t="s">
        <v>132</v>
      </c>
      <c r="E1529" s="12" t="s">
        <v>150</v>
      </c>
      <c r="F1529" s="12" t="s">
        <v>164</v>
      </c>
      <c r="G1529" s="14">
        <f t="shared" ca="1" si="23"/>
        <v>207035.06440265264</v>
      </c>
      <c r="H1529" s="12" t="s">
        <v>172</v>
      </c>
      <c r="I1529">
        <v>0</v>
      </c>
      <c r="J1529">
        <v>25</v>
      </c>
      <c r="K1529" s="12" t="s">
        <v>176</v>
      </c>
      <c r="L1529">
        <v>0</v>
      </c>
      <c r="M1529">
        <v>0</v>
      </c>
      <c r="O1529" s="39"/>
      <c r="P1529" s="16">
        <v>182471.48</v>
      </c>
      <c r="S1529" s="17"/>
    </row>
    <row r="1530" spans="1:19" x14ac:dyDescent="0.4">
      <c r="A1530">
        <v>7976226</v>
      </c>
      <c r="B1530" s="15">
        <v>46</v>
      </c>
      <c r="C1530" s="12" t="s">
        <v>123</v>
      </c>
      <c r="D1530" s="12" t="s">
        <v>134</v>
      </c>
      <c r="E1530" s="12" t="s">
        <v>152</v>
      </c>
      <c r="F1530" s="12" t="s">
        <v>144</v>
      </c>
      <c r="G1530" s="14">
        <f t="shared" ca="1" si="23"/>
        <v>118344.84359403008</v>
      </c>
      <c r="H1530" s="12" t="s">
        <v>172</v>
      </c>
      <c r="I1530">
        <v>0</v>
      </c>
      <c r="J1530">
        <v>60</v>
      </c>
      <c r="K1530" s="12" t="s">
        <v>176</v>
      </c>
      <c r="L1530">
        <v>0</v>
      </c>
      <c r="M1530">
        <v>0</v>
      </c>
      <c r="O1530" s="39"/>
      <c r="P1530" s="15">
        <v>68114.69</v>
      </c>
      <c r="S1530" s="17"/>
    </row>
    <row r="1531" spans="1:19" x14ac:dyDescent="0.4">
      <c r="A1531">
        <v>7980942</v>
      </c>
      <c r="B1531" s="16">
        <v>27</v>
      </c>
      <c r="C1531" s="12" t="s">
        <v>122</v>
      </c>
      <c r="D1531" s="12" t="s">
        <v>145</v>
      </c>
      <c r="E1531" s="12" t="s">
        <v>150</v>
      </c>
      <c r="F1531" s="12" t="s">
        <v>156</v>
      </c>
      <c r="G1531" s="14">
        <f t="shared" ca="1" si="23"/>
        <v>60612.920885024803</v>
      </c>
      <c r="H1531" s="12" t="s">
        <v>172</v>
      </c>
      <c r="I1531">
        <v>0</v>
      </c>
      <c r="J1531">
        <v>35</v>
      </c>
      <c r="K1531" s="12" t="s">
        <v>190</v>
      </c>
      <c r="L1531">
        <v>0</v>
      </c>
      <c r="M1531">
        <v>0</v>
      </c>
      <c r="O1531" s="39"/>
      <c r="P1531" s="16">
        <v>31669.08</v>
      </c>
      <c r="S1531" s="17"/>
    </row>
    <row r="1532" spans="1:19" x14ac:dyDescent="0.4">
      <c r="A1532">
        <v>7982978</v>
      </c>
      <c r="B1532" s="15">
        <v>55</v>
      </c>
      <c r="C1532" s="12" t="s">
        <v>122</v>
      </c>
      <c r="D1532" s="12" t="s">
        <v>132</v>
      </c>
      <c r="E1532" s="12" t="s">
        <v>151</v>
      </c>
      <c r="F1532" s="12" t="s">
        <v>159</v>
      </c>
      <c r="G1532" s="14">
        <f t="shared" ca="1" si="23"/>
        <v>81451.794285047188</v>
      </c>
      <c r="H1532" s="12" t="s">
        <v>172</v>
      </c>
      <c r="I1532">
        <v>0</v>
      </c>
      <c r="J1532">
        <v>40</v>
      </c>
      <c r="K1532" s="12" t="s">
        <v>176</v>
      </c>
      <c r="L1532">
        <v>0</v>
      </c>
      <c r="M1532">
        <v>0</v>
      </c>
      <c r="O1532" s="39"/>
      <c r="P1532" s="15">
        <v>52738.91</v>
      </c>
      <c r="S1532" s="17"/>
    </row>
    <row r="1533" spans="1:19" x14ac:dyDescent="0.4">
      <c r="A1533">
        <v>7992402</v>
      </c>
      <c r="B1533" s="16">
        <v>43</v>
      </c>
      <c r="C1533" s="12" t="s">
        <v>122</v>
      </c>
      <c r="D1533" s="12" t="s">
        <v>134</v>
      </c>
      <c r="E1533" s="12" t="s">
        <v>152</v>
      </c>
      <c r="F1533" s="12" t="s">
        <v>164</v>
      </c>
      <c r="G1533" s="14">
        <f t="shared" ca="1" si="23"/>
        <v>32449.270345800953</v>
      </c>
      <c r="H1533" s="12" t="s">
        <v>172</v>
      </c>
      <c r="I1533">
        <v>0</v>
      </c>
      <c r="J1533">
        <v>40</v>
      </c>
      <c r="K1533" s="12" t="s">
        <v>176</v>
      </c>
      <c r="L1533">
        <v>0</v>
      </c>
      <c r="M1533">
        <v>0</v>
      </c>
      <c r="O1533" s="39"/>
      <c r="P1533" s="16">
        <v>31786.89</v>
      </c>
      <c r="S1533" s="17"/>
    </row>
    <row r="1534" spans="1:19" x14ac:dyDescent="0.4">
      <c r="A1534">
        <v>7995202</v>
      </c>
      <c r="B1534" s="15">
        <v>58</v>
      </c>
      <c r="C1534" s="12" t="s">
        <v>123</v>
      </c>
      <c r="D1534" s="12" t="s">
        <v>138</v>
      </c>
      <c r="E1534" s="12" t="s">
        <v>152</v>
      </c>
      <c r="F1534" s="12" t="s">
        <v>160</v>
      </c>
      <c r="G1534" s="14">
        <f t="shared" ca="1" si="23"/>
        <v>66707.54814619261</v>
      </c>
      <c r="H1534" s="12" t="s">
        <v>172</v>
      </c>
      <c r="I1534">
        <v>0</v>
      </c>
      <c r="J1534">
        <v>50</v>
      </c>
      <c r="K1534" s="12" t="s">
        <v>176</v>
      </c>
      <c r="L1534">
        <v>0</v>
      </c>
      <c r="M1534">
        <v>0</v>
      </c>
      <c r="O1534" s="39"/>
      <c r="P1534" s="15">
        <v>45803.18</v>
      </c>
      <c r="S1534" s="17"/>
    </row>
    <row r="1535" spans="1:19" x14ac:dyDescent="0.4">
      <c r="A1535">
        <v>8004039</v>
      </c>
      <c r="B1535" s="16">
        <v>31</v>
      </c>
      <c r="C1535" s="12" t="s">
        <v>125</v>
      </c>
      <c r="D1535" s="12" t="s">
        <v>134</v>
      </c>
      <c r="E1535" s="12" t="s">
        <v>152</v>
      </c>
      <c r="F1535" s="12" t="s">
        <v>166</v>
      </c>
      <c r="G1535" s="14">
        <f t="shared" ca="1" si="23"/>
        <v>70776.368364331938</v>
      </c>
      <c r="H1535" s="12" t="s">
        <v>172</v>
      </c>
      <c r="I1535">
        <v>0</v>
      </c>
      <c r="J1535">
        <v>48</v>
      </c>
      <c r="K1535" s="12" t="s">
        <v>176</v>
      </c>
      <c r="L1535">
        <v>0</v>
      </c>
      <c r="M1535">
        <v>0</v>
      </c>
      <c r="O1535" s="39"/>
      <c r="P1535" s="16">
        <v>54288.61</v>
      </c>
      <c r="S1535" s="17"/>
    </row>
    <row r="1536" spans="1:19" x14ac:dyDescent="0.4">
      <c r="A1536">
        <v>8006173</v>
      </c>
      <c r="B1536" s="15">
        <v>34</v>
      </c>
      <c r="C1536" s="12" t="s">
        <v>123</v>
      </c>
      <c r="D1536" s="12" t="s">
        <v>135</v>
      </c>
      <c r="E1536" s="12" t="s">
        <v>152</v>
      </c>
      <c r="F1536" s="12" t="s">
        <v>162</v>
      </c>
      <c r="G1536" s="14">
        <f t="shared" ca="1" si="23"/>
        <v>51980.971578020581</v>
      </c>
      <c r="H1536" s="12" t="s">
        <v>172</v>
      </c>
      <c r="I1536">
        <v>0</v>
      </c>
      <c r="J1536">
        <v>55</v>
      </c>
      <c r="K1536" s="12" t="s">
        <v>184</v>
      </c>
      <c r="L1536">
        <v>0</v>
      </c>
      <c r="M1536">
        <v>0</v>
      </c>
      <c r="O1536" s="39"/>
      <c r="P1536" s="15">
        <v>42289.78</v>
      </c>
      <c r="S1536" s="17"/>
    </row>
    <row r="1537" spans="1:19" x14ac:dyDescent="0.4">
      <c r="A1537">
        <v>8007348</v>
      </c>
      <c r="B1537" s="16">
        <v>72</v>
      </c>
      <c r="C1537" s="12" t="s">
        <v>129</v>
      </c>
      <c r="D1537" s="12" t="s">
        <v>144</v>
      </c>
      <c r="E1537" s="12" t="s">
        <v>152</v>
      </c>
      <c r="F1537" s="12" t="s">
        <v>129</v>
      </c>
      <c r="G1537" s="14">
        <f t="shared" ca="1" si="23"/>
        <v>55790.864943765519</v>
      </c>
      <c r="H1537" s="12" t="s">
        <v>172</v>
      </c>
      <c r="I1537">
        <v>0</v>
      </c>
      <c r="J1537">
        <v>40</v>
      </c>
      <c r="K1537" s="12" t="s">
        <v>176</v>
      </c>
      <c r="L1537">
        <v>3740</v>
      </c>
      <c r="M1537">
        <v>1</v>
      </c>
      <c r="O1537" s="39"/>
      <c r="P1537" s="16">
        <v>34487.910000000003</v>
      </c>
      <c r="S1537" s="17"/>
    </row>
    <row r="1538" spans="1:19" x14ac:dyDescent="0.4">
      <c r="A1538">
        <v>8011935</v>
      </c>
      <c r="B1538" s="15">
        <v>53</v>
      </c>
      <c r="C1538" s="12" t="s">
        <v>122</v>
      </c>
      <c r="D1538" s="12" t="s">
        <v>134</v>
      </c>
      <c r="E1538" s="12" t="s">
        <v>152</v>
      </c>
      <c r="F1538" s="12" t="s">
        <v>157</v>
      </c>
      <c r="G1538" s="14">
        <f t="shared" ca="1" si="23"/>
        <v>27601.002146318682</v>
      </c>
      <c r="H1538" s="12" t="s">
        <v>172</v>
      </c>
      <c r="I1538">
        <v>0</v>
      </c>
      <c r="J1538">
        <v>60</v>
      </c>
      <c r="K1538" s="12" t="s">
        <v>176</v>
      </c>
      <c r="L1538">
        <v>0</v>
      </c>
      <c r="M1538">
        <v>0</v>
      </c>
      <c r="O1538" s="39"/>
      <c r="P1538" s="15">
        <v>22446.29</v>
      </c>
      <c r="S1538" s="17"/>
    </row>
    <row r="1539" spans="1:19" x14ac:dyDescent="0.4">
      <c r="A1539">
        <v>8017094</v>
      </c>
      <c r="B1539" s="16">
        <v>31</v>
      </c>
      <c r="C1539" s="12" t="s">
        <v>122</v>
      </c>
      <c r="D1539" s="12" t="s">
        <v>133</v>
      </c>
      <c r="E1539" s="12" t="s">
        <v>152</v>
      </c>
      <c r="F1539" s="12" t="s">
        <v>161</v>
      </c>
      <c r="G1539" s="14">
        <f t="shared" ca="1" si="23"/>
        <v>82225.923158592603</v>
      </c>
      <c r="H1539" s="12" t="s">
        <v>172</v>
      </c>
      <c r="I1539">
        <v>0</v>
      </c>
      <c r="J1539">
        <v>55</v>
      </c>
      <c r="K1539" s="12" t="s">
        <v>176</v>
      </c>
      <c r="L1539">
        <v>0</v>
      </c>
      <c r="M1539">
        <v>0</v>
      </c>
      <c r="O1539" s="39"/>
      <c r="P1539" s="16">
        <v>59196</v>
      </c>
      <c r="S1539" s="17"/>
    </row>
    <row r="1540" spans="1:19" x14ac:dyDescent="0.4">
      <c r="A1540">
        <v>8018392</v>
      </c>
      <c r="B1540" s="15">
        <v>49</v>
      </c>
      <c r="C1540" s="12" t="s">
        <v>124</v>
      </c>
      <c r="D1540" s="12" t="s">
        <v>134</v>
      </c>
      <c r="E1540" s="12" t="s">
        <v>152</v>
      </c>
      <c r="F1540" s="12" t="s">
        <v>159</v>
      </c>
      <c r="G1540" s="14">
        <f t="shared" ca="1" si="23"/>
        <v>18956.579959380833</v>
      </c>
      <c r="H1540" s="12" t="s">
        <v>172</v>
      </c>
      <c r="I1540">
        <v>0</v>
      </c>
      <c r="J1540">
        <v>40</v>
      </c>
      <c r="K1540" s="12" t="s">
        <v>176</v>
      </c>
      <c r="L1540">
        <v>0</v>
      </c>
      <c r="M1540">
        <v>0</v>
      </c>
      <c r="O1540" s="39"/>
      <c r="P1540" s="15">
        <v>11703.44</v>
      </c>
      <c r="S1540" s="17"/>
    </row>
    <row r="1541" spans="1:19" x14ac:dyDescent="0.4">
      <c r="A1541">
        <v>8020488</v>
      </c>
      <c r="B1541" s="16">
        <v>30</v>
      </c>
      <c r="C1541" s="12" t="s">
        <v>122</v>
      </c>
      <c r="D1541" s="12" t="s">
        <v>134</v>
      </c>
      <c r="E1541" s="12" t="s">
        <v>152</v>
      </c>
      <c r="F1541" s="12" t="s">
        <v>164</v>
      </c>
      <c r="G1541" s="14">
        <f t="shared" ca="1" si="23"/>
        <v>102544.30137475874</v>
      </c>
      <c r="H1541" s="12" t="s">
        <v>172</v>
      </c>
      <c r="I1541">
        <v>0</v>
      </c>
      <c r="J1541">
        <v>40</v>
      </c>
      <c r="K1541" s="12" t="s">
        <v>176</v>
      </c>
      <c r="L1541">
        <v>0</v>
      </c>
      <c r="M1541">
        <v>0</v>
      </c>
      <c r="O1541" s="39"/>
      <c r="P1541" s="16">
        <v>58729.5</v>
      </c>
      <c r="S1541" s="17"/>
    </row>
    <row r="1542" spans="1:19" x14ac:dyDescent="0.4">
      <c r="A1542">
        <v>8024550</v>
      </c>
      <c r="B1542" s="15">
        <v>45</v>
      </c>
      <c r="C1542" s="12" t="s">
        <v>122</v>
      </c>
      <c r="D1542" s="12" t="s">
        <v>132</v>
      </c>
      <c r="E1542" s="12" t="s">
        <v>152</v>
      </c>
      <c r="F1542" s="12" t="s">
        <v>159</v>
      </c>
      <c r="G1542" s="14">
        <f t="shared" ca="1" si="23"/>
        <v>29074.437849166803</v>
      </c>
      <c r="H1542" s="12" t="s">
        <v>172</v>
      </c>
      <c r="I1542">
        <v>0</v>
      </c>
      <c r="J1542">
        <v>40</v>
      </c>
      <c r="K1542" s="12" t="s">
        <v>176</v>
      </c>
      <c r="L1542">
        <v>0</v>
      </c>
      <c r="M1542">
        <v>0</v>
      </c>
      <c r="O1542" s="39"/>
      <c r="P1542" s="15">
        <v>17868.72</v>
      </c>
      <c r="S1542" s="17"/>
    </row>
    <row r="1543" spans="1:19" x14ac:dyDescent="0.4">
      <c r="A1543">
        <v>8034654</v>
      </c>
      <c r="B1543" s="16">
        <v>23</v>
      </c>
      <c r="C1543" s="12" t="s">
        <v>122</v>
      </c>
      <c r="D1543" s="12" t="s">
        <v>143</v>
      </c>
      <c r="E1543" s="12" t="s">
        <v>150</v>
      </c>
      <c r="F1543" s="12" t="s">
        <v>164</v>
      </c>
      <c r="G1543" s="14">
        <f t="shared" ca="1" si="23"/>
        <v>84935.399913161498</v>
      </c>
      <c r="H1543" s="12" t="s">
        <v>172</v>
      </c>
      <c r="I1543">
        <v>0</v>
      </c>
      <c r="J1543">
        <v>55</v>
      </c>
      <c r="K1543" s="12" t="s">
        <v>179</v>
      </c>
      <c r="L1543">
        <v>0</v>
      </c>
      <c r="M1543">
        <v>0</v>
      </c>
      <c r="O1543" s="39"/>
      <c r="P1543" s="16">
        <v>81443.06</v>
      </c>
      <c r="S1543" s="17"/>
    </row>
    <row r="1544" spans="1:19" x14ac:dyDescent="0.4">
      <c r="A1544">
        <v>8037825</v>
      </c>
      <c r="B1544" s="15">
        <v>17</v>
      </c>
      <c r="C1544" s="12" t="s">
        <v>122</v>
      </c>
      <c r="D1544" s="12" t="s">
        <v>139</v>
      </c>
      <c r="E1544" s="12" t="s">
        <v>150</v>
      </c>
      <c r="F1544" s="12" t="s">
        <v>159</v>
      </c>
      <c r="G1544" s="14">
        <f t="shared" ca="1" si="23"/>
        <v>122248.4035182228</v>
      </c>
      <c r="H1544" s="12" t="s">
        <v>172</v>
      </c>
      <c r="I1544">
        <v>0</v>
      </c>
      <c r="J1544">
        <v>10</v>
      </c>
      <c r="K1544" s="12" t="s">
        <v>176</v>
      </c>
      <c r="L1544">
        <v>0</v>
      </c>
      <c r="M1544">
        <v>0</v>
      </c>
      <c r="O1544" s="39"/>
      <c r="P1544" s="15">
        <v>80669.22</v>
      </c>
      <c r="S1544" s="17"/>
    </row>
    <row r="1545" spans="1:19" x14ac:dyDescent="0.4">
      <c r="A1545">
        <v>8037832</v>
      </c>
      <c r="B1545" s="16">
        <v>28</v>
      </c>
      <c r="C1545" s="12" t="s">
        <v>122</v>
      </c>
      <c r="D1545" s="12" t="s">
        <v>135</v>
      </c>
      <c r="E1545" s="12" t="s">
        <v>152</v>
      </c>
      <c r="F1545" s="12" t="s">
        <v>160</v>
      </c>
      <c r="G1545" s="14">
        <f t="shared" ca="1" si="23"/>
        <v>55643.91118107341</v>
      </c>
      <c r="H1545" s="12" t="s">
        <v>172</v>
      </c>
      <c r="I1545">
        <v>0</v>
      </c>
      <c r="J1545">
        <v>45</v>
      </c>
      <c r="K1545" s="12" t="s">
        <v>176</v>
      </c>
      <c r="L1545">
        <v>0</v>
      </c>
      <c r="M1545">
        <v>0</v>
      </c>
      <c r="O1545" s="39"/>
      <c r="P1545" s="16">
        <v>38719.040000000001</v>
      </c>
      <c r="S1545" s="17"/>
    </row>
    <row r="1546" spans="1:19" x14ac:dyDescent="0.4">
      <c r="A1546">
        <v>8039738</v>
      </c>
      <c r="B1546" s="15">
        <v>60</v>
      </c>
      <c r="C1546" s="12" t="s">
        <v>129</v>
      </c>
      <c r="D1546" s="12" t="s">
        <v>135</v>
      </c>
      <c r="E1546" s="12" t="s">
        <v>152</v>
      </c>
      <c r="F1546" s="12" t="s">
        <v>129</v>
      </c>
      <c r="G1546" s="14">
        <f t="shared" ca="1" si="23"/>
        <v>79557.10151618674</v>
      </c>
      <c r="H1546" s="12" t="s">
        <v>172</v>
      </c>
      <c r="I1546">
        <v>0</v>
      </c>
      <c r="J1546">
        <v>8</v>
      </c>
      <c r="K1546" s="12" t="s">
        <v>176</v>
      </c>
      <c r="L1546">
        <v>4352</v>
      </c>
      <c r="M1546">
        <v>1</v>
      </c>
      <c r="O1546" s="39"/>
      <c r="P1546" s="15">
        <v>59091.77</v>
      </c>
      <c r="S1546" s="17"/>
    </row>
    <row r="1547" spans="1:19" x14ac:dyDescent="0.4">
      <c r="A1547">
        <v>8055839</v>
      </c>
      <c r="B1547" s="16">
        <v>34</v>
      </c>
      <c r="C1547" s="12" t="s">
        <v>123</v>
      </c>
      <c r="D1547" s="12" t="s">
        <v>134</v>
      </c>
      <c r="E1547" s="12" t="s">
        <v>152</v>
      </c>
      <c r="F1547" s="12" t="s">
        <v>157</v>
      </c>
      <c r="G1547" s="14">
        <f t="shared" ref="G1547:G1610" ca="1" si="24">P1547*(1+RAND())</f>
        <v>29066.450297723906</v>
      </c>
      <c r="H1547" s="12" t="s">
        <v>172</v>
      </c>
      <c r="I1547">
        <v>0</v>
      </c>
      <c r="J1547">
        <v>35</v>
      </c>
      <c r="K1547" s="12" t="s">
        <v>176</v>
      </c>
      <c r="L1547">
        <v>0</v>
      </c>
      <c r="M1547">
        <v>0</v>
      </c>
      <c r="O1547" s="39"/>
      <c r="P1547" s="16">
        <v>15710.66</v>
      </c>
      <c r="S1547" s="17"/>
    </row>
    <row r="1548" spans="1:19" x14ac:dyDescent="0.4">
      <c r="A1548">
        <v>8057673</v>
      </c>
      <c r="B1548" s="15">
        <v>37</v>
      </c>
      <c r="C1548" s="12" t="s">
        <v>122</v>
      </c>
      <c r="D1548" s="12" t="s">
        <v>132</v>
      </c>
      <c r="E1548" s="12" t="s">
        <v>152</v>
      </c>
      <c r="F1548" s="12" t="s">
        <v>156</v>
      </c>
      <c r="G1548" s="14">
        <f t="shared" ca="1" si="24"/>
        <v>24362.344827884648</v>
      </c>
      <c r="H1548" s="12" t="s">
        <v>172</v>
      </c>
      <c r="I1548">
        <v>0</v>
      </c>
      <c r="J1548">
        <v>40</v>
      </c>
      <c r="K1548" s="12" t="s">
        <v>176</v>
      </c>
      <c r="L1548">
        <v>0</v>
      </c>
      <c r="M1548">
        <v>1</v>
      </c>
      <c r="O1548" s="39"/>
      <c r="P1548" s="15">
        <v>14412.91</v>
      </c>
      <c r="S1548" s="17"/>
    </row>
    <row r="1549" spans="1:19" x14ac:dyDescent="0.4">
      <c r="A1549">
        <v>8058692</v>
      </c>
      <c r="B1549" s="16">
        <v>52</v>
      </c>
      <c r="C1549" s="12" t="s">
        <v>122</v>
      </c>
      <c r="D1549" s="12" t="s">
        <v>134</v>
      </c>
      <c r="E1549" s="12" t="s">
        <v>151</v>
      </c>
      <c r="F1549" s="12" t="s">
        <v>157</v>
      </c>
      <c r="G1549" s="14">
        <f t="shared" ca="1" si="24"/>
        <v>102607.49800225935</v>
      </c>
      <c r="H1549" s="12" t="s">
        <v>172</v>
      </c>
      <c r="I1549">
        <v>0</v>
      </c>
      <c r="J1549">
        <v>40</v>
      </c>
      <c r="K1549" s="12" t="s">
        <v>176</v>
      </c>
      <c r="L1549">
        <v>0</v>
      </c>
      <c r="M1549">
        <v>0</v>
      </c>
      <c r="O1549" s="39"/>
      <c r="P1549" s="16">
        <v>91631.97</v>
      </c>
      <c r="S1549" s="17"/>
    </row>
    <row r="1550" spans="1:19" x14ac:dyDescent="0.4">
      <c r="A1550">
        <v>8059398</v>
      </c>
      <c r="B1550" s="15">
        <v>35</v>
      </c>
      <c r="C1550" s="12" t="s">
        <v>122</v>
      </c>
      <c r="D1550" s="12" t="s">
        <v>134</v>
      </c>
      <c r="E1550" s="12" t="s">
        <v>151</v>
      </c>
      <c r="F1550" s="12" t="s">
        <v>156</v>
      </c>
      <c r="G1550" s="14">
        <f t="shared" ca="1" si="24"/>
        <v>120972.63689284399</v>
      </c>
      <c r="H1550" s="12" t="s">
        <v>171</v>
      </c>
      <c r="I1550">
        <v>0</v>
      </c>
      <c r="J1550">
        <v>40</v>
      </c>
      <c r="K1550" s="12" t="s">
        <v>176</v>
      </c>
      <c r="L1550">
        <v>0</v>
      </c>
      <c r="M1550">
        <v>0</v>
      </c>
      <c r="O1550" s="39"/>
      <c r="P1550" s="15">
        <v>81222.600000000006</v>
      </c>
      <c r="S1550" s="17"/>
    </row>
    <row r="1551" spans="1:19" x14ac:dyDescent="0.4">
      <c r="A1551">
        <v>8060914</v>
      </c>
      <c r="B1551" s="16">
        <v>42</v>
      </c>
      <c r="C1551" s="12" t="s">
        <v>122</v>
      </c>
      <c r="D1551" s="12" t="s">
        <v>135</v>
      </c>
      <c r="E1551" s="12" t="s">
        <v>152</v>
      </c>
      <c r="F1551" s="12" t="s">
        <v>160</v>
      </c>
      <c r="G1551" s="14">
        <f t="shared" ca="1" si="24"/>
        <v>65485.357808804139</v>
      </c>
      <c r="H1551" s="12" t="s">
        <v>172</v>
      </c>
      <c r="I1551">
        <v>0</v>
      </c>
      <c r="J1551">
        <v>40</v>
      </c>
      <c r="K1551" s="12" t="s">
        <v>176</v>
      </c>
      <c r="L1551">
        <v>7688</v>
      </c>
      <c r="M1551">
        <v>1</v>
      </c>
      <c r="O1551" s="39"/>
      <c r="P1551" s="16">
        <v>38065.64</v>
      </c>
      <c r="S1551" s="17"/>
    </row>
    <row r="1552" spans="1:19" x14ac:dyDescent="0.4">
      <c r="A1552">
        <v>8063024</v>
      </c>
      <c r="B1552" s="15">
        <v>43</v>
      </c>
      <c r="C1552" s="12" t="s">
        <v>125</v>
      </c>
      <c r="D1552" s="12" t="s">
        <v>138</v>
      </c>
      <c r="E1552" s="12" t="s">
        <v>152</v>
      </c>
      <c r="F1552" s="12" t="s">
        <v>144</v>
      </c>
      <c r="G1552" s="14">
        <f t="shared" ca="1" si="24"/>
        <v>32798.474187936008</v>
      </c>
      <c r="H1552" s="12" t="s">
        <v>172</v>
      </c>
      <c r="I1552">
        <v>0</v>
      </c>
      <c r="J1552">
        <v>40</v>
      </c>
      <c r="K1552" s="12" t="s">
        <v>176</v>
      </c>
      <c r="L1552">
        <v>15024</v>
      </c>
      <c r="M1552">
        <v>1</v>
      </c>
      <c r="O1552" s="39"/>
      <c r="P1552" s="15">
        <v>20245.04</v>
      </c>
      <c r="S1552" s="17"/>
    </row>
    <row r="1553" spans="1:19" x14ac:dyDescent="0.4">
      <c r="A1553">
        <v>8068483</v>
      </c>
      <c r="B1553" s="16">
        <v>57</v>
      </c>
      <c r="C1553" s="12" t="s">
        <v>122</v>
      </c>
      <c r="D1553" s="12" t="s">
        <v>135</v>
      </c>
      <c r="E1553" s="12" t="s">
        <v>152</v>
      </c>
      <c r="F1553" s="12" t="s">
        <v>144</v>
      </c>
      <c r="G1553" s="14">
        <f t="shared" ca="1" si="24"/>
        <v>18444.957467522836</v>
      </c>
      <c r="H1553" s="12" t="s">
        <v>172</v>
      </c>
      <c r="I1553">
        <v>0</v>
      </c>
      <c r="J1553">
        <v>40</v>
      </c>
      <c r="K1553" s="12" t="s">
        <v>176</v>
      </c>
      <c r="L1553">
        <v>7298</v>
      </c>
      <c r="M1553">
        <v>1</v>
      </c>
      <c r="O1553" s="39"/>
      <c r="P1553" s="16">
        <v>9908.42</v>
      </c>
      <c r="S1553" s="17"/>
    </row>
    <row r="1554" spans="1:19" x14ac:dyDescent="0.4">
      <c r="A1554">
        <v>8083202</v>
      </c>
      <c r="B1554" s="15">
        <v>59</v>
      </c>
      <c r="C1554" s="12" t="s">
        <v>126</v>
      </c>
      <c r="D1554" s="12" t="s">
        <v>138</v>
      </c>
      <c r="E1554" s="12" t="s">
        <v>152</v>
      </c>
      <c r="F1554" s="12" t="s">
        <v>144</v>
      </c>
      <c r="G1554" s="14">
        <f t="shared" ca="1" si="24"/>
        <v>57946.664046238089</v>
      </c>
      <c r="H1554" s="12" t="s">
        <v>172</v>
      </c>
      <c r="I1554">
        <v>0</v>
      </c>
      <c r="J1554">
        <v>50</v>
      </c>
      <c r="K1554" s="12" t="s">
        <v>176</v>
      </c>
      <c r="L1554">
        <v>0</v>
      </c>
      <c r="M1554">
        <v>0</v>
      </c>
      <c r="O1554" s="39"/>
      <c r="P1554" s="15">
        <v>32407.59</v>
      </c>
      <c r="S1554" s="17"/>
    </row>
    <row r="1555" spans="1:19" x14ac:dyDescent="0.4">
      <c r="A1555">
        <v>8086976</v>
      </c>
      <c r="B1555" s="16">
        <v>29</v>
      </c>
      <c r="C1555" s="12" t="s">
        <v>126</v>
      </c>
      <c r="D1555" s="12" t="s">
        <v>138</v>
      </c>
      <c r="E1555" s="12" t="s">
        <v>152</v>
      </c>
      <c r="F1555" s="12" t="s">
        <v>144</v>
      </c>
      <c r="G1555" s="14">
        <f t="shared" ca="1" si="24"/>
        <v>79394.212907383742</v>
      </c>
      <c r="H1555" s="12" t="s">
        <v>172</v>
      </c>
      <c r="I1555">
        <v>0</v>
      </c>
      <c r="J1555">
        <v>20</v>
      </c>
      <c r="K1555" s="12" t="s">
        <v>199</v>
      </c>
      <c r="L1555">
        <v>0</v>
      </c>
      <c r="M1555">
        <v>0</v>
      </c>
      <c r="O1555" s="39"/>
      <c r="P1555" s="16">
        <v>42315.24</v>
      </c>
      <c r="S1555" s="17"/>
    </row>
    <row r="1556" spans="1:19" x14ac:dyDescent="0.4">
      <c r="A1556">
        <v>8087752</v>
      </c>
      <c r="B1556" s="15">
        <v>37</v>
      </c>
      <c r="C1556" s="12" t="s">
        <v>125</v>
      </c>
      <c r="D1556" s="12" t="s">
        <v>134</v>
      </c>
      <c r="E1556" s="12" t="s">
        <v>151</v>
      </c>
      <c r="F1556" s="12" t="s">
        <v>158</v>
      </c>
      <c r="G1556" s="14">
        <f t="shared" ca="1" si="24"/>
        <v>286071.43703120959</v>
      </c>
      <c r="H1556" s="12" t="s">
        <v>171</v>
      </c>
      <c r="I1556">
        <v>0</v>
      </c>
      <c r="J1556">
        <v>35</v>
      </c>
      <c r="K1556" s="12" t="s">
        <v>176</v>
      </c>
      <c r="L1556">
        <v>0</v>
      </c>
      <c r="M1556">
        <v>0</v>
      </c>
      <c r="O1556" s="39"/>
      <c r="P1556" s="15">
        <v>165293.01999999999</v>
      </c>
      <c r="S1556" s="17"/>
    </row>
    <row r="1557" spans="1:19" x14ac:dyDescent="0.4">
      <c r="A1557">
        <v>8088738</v>
      </c>
      <c r="B1557" s="16">
        <v>52</v>
      </c>
      <c r="C1557" s="12" t="s">
        <v>122</v>
      </c>
      <c r="D1557" s="12" t="s">
        <v>140</v>
      </c>
      <c r="E1557" s="12" t="s">
        <v>152</v>
      </c>
      <c r="F1557" s="12" t="s">
        <v>157</v>
      </c>
      <c r="G1557" s="14">
        <f t="shared" ca="1" si="24"/>
        <v>41871.72617130007</v>
      </c>
      <c r="H1557" s="12" t="s">
        <v>172</v>
      </c>
      <c r="I1557">
        <v>0</v>
      </c>
      <c r="J1557">
        <v>30</v>
      </c>
      <c r="K1557" s="12" t="s">
        <v>176</v>
      </c>
      <c r="L1557">
        <v>3305</v>
      </c>
      <c r="M1557">
        <v>1</v>
      </c>
      <c r="O1557" s="39"/>
      <c r="P1557" s="16">
        <v>25276.19</v>
      </c>
      <c r="S1557" s="17"/>
    </row>
    <row r="1558" spans="1:19" x14ac:dyDescent="0.4">
      <c r="A1558">
        <v>8089214</v>
      </c>
      <c r="B1558" s="15">
        <v>43</v>
      </c>
      <c r="C1558" s="12" t="s">
        <v>122</v>
      </c>
      <c r="D1558" s="12" t="s">
        <v>135</v>
      </c>
      <c r="E1558" s="12" t="s">
        <v>149</v>
      </c>
      <c r="F1558" s="12" t="s">
        <v>163</v>
      </c>
      <c r="G1558" s="14">
        <f t="shared" ca="1" si="24"/>
        <v>11547.05740049877</v>
      </c>
      <c r="H1558" s="12" t="s">
        <v>172</v>
      </c>
      <c r="I1558">
        <v>0</v>
      </c>
      <c r="J1558">
        <v>40</v>
      </c>
      <c r="K1558" s="12" t="s">
        <v>176</v>
      </c>
      <c r="L1558">
        <v>0</v>
      </c>
      <c r="M1558">
        <v>0</v>
      </c>
      <c r="O1558" s="39"/>
      <c r="P1558" s="15">
        <v>10647.09</v>
      </c>
      <c r="S1558" s="17"/>
    </row>
    <row r="1559" spans="1:19" x14ac:dyDescent="0.4">
      <c r="A1559">
        <v>8090516</v>
      </c>
      <c r="B1559" s="16">
        <v>26</v>
      </c>
      <c r="C1559" s="12" t="s">
        <v>122</v>
      </c>
      <c r="D1559" s="12" t="s">
        <v>143</v>
      </c>
      <c r="E1559" s="12" t="s">
        <v>150</v>
      </c>
      <c r="F1559" s="12" t="s">
        <v>165</v>
      </c>
      <c r="G1559" s="14">
        <f t="shared" ca="1" si="24"/>
        <v>164922.79406310545</v>
      </c>
      <c r="H1559" s="12" t="s">
        <v>172</v>
      </c>
      <c r="I1559">
        <v>0</v>
      </c>
      <c r="J1559">
        <v>40</v>
      </c>
      <c r="K1559" s="12" t="s">
        <v>179</v>
      </c>
      <c r="L1559">
        <v>0</v>
      </c>
      <c r="M1559">
        <v>0</v>
      </c>
      <c r="O1559" s="39"/>
      <c r="P1559" s="16">
        <v>154079.71</v>
      </c>
      <c r="S1559" s="17"/>
    </row>
    <row r="1560" spans="1:19" x14ac:dyDescent="0.4">
      <c r="A1560">
        <v>8093655</v>
      </c>
      <c r="B1560" s="15">
        <v>53</v>
      </c>
      <c r="C1560" s="12" t="s">
        <v>122</v>
      </c>
      <c r="D1560" s="12" t="s">
        <v>134</v>
      </c>
      <c r="E1560" s="12" t="s">
        <v>152</v>
      </c>
      <c r="F1560" s="12" t="s">
        <v>160</v>
      </c>
      <c r="G1560" s="14">
        <f t="shared" ca="1" si="24"/>
        <v>62945.524796866368</v>
      </c>
      <c r="H1560" s="12" t="s">
        <v>172</v>
      </c>
      <c r="I1560">
        <v>0</v>
      </c>
      <c r="J1560">
        <v>45</v>
      </c>
      <c r="K1560" s="12" t="s">
        <v>176</v>
      </c>
      <c r="L1560">
        <v>0</v>
      </c>
      <c r="M1560">
        <v>0</v>
      </c>
      <c r="O1560" s="39"/>
      <c r="P1560" s="15">
        <v>34590.959999999999</v>
      </c>
      <c r="S1560" s="17"/>
    </row>
    <row r="1561" spans="1:19" x14ac:dyDescent="0.4">
      <c r="A1561">
        <v>8095545</v>
      </c>
      <c r="B1561" s="16">
        <v>51</v>
      </c>
      <c r="C1561" s="12" t="s">
        <v>122</v>
      </c>
      <c r="D1561" s="12" t="s">
        <v>138</v>
      </c>
      <c r="E1561" s="12" t="s">
        <v>152</v>
      </c>
      <c r="F1561" s="12" t="s">
        <v>160</v>
      </c>
      <c r="G1561" s="14">
        <f t="shared" ca="1" si="24"/>
        <v>38513.770814538111</v>
      </c>
      <c r="H1561" s="12" t="s">
        <v>172</v>
      </c>
      <c r="I1561">
        <v>1887</v>
      </c>
      <c r="J1561">
        <v>47</v>
      </c>
      <c r="K1561" s="12" t="s">
        <v>176</v>
      </c>
      <c r="L1561">
        <v>112243</v>
      </c>
      <c r="M1561">
        <v>1</v>
      </c>
      <c r="O1561" s="39"/>
      <c r="P1561" s="16">
        <v>23800.98</v>
      </c>
      <c r="S1561" s="17"/>
    </row>
    <row r="1562" spans="1:19" x14ac:dyDescent="0.4">
      <c r="A1562">
        <v>8096767</v>
      </c>
      <c r="B1562" s="15">
        <v>29</v>
      </c>
      <c r="C1562" s="12" t="s">
        <v>122</v>
      </c>
      <c r="D1562" s="12" t="s">
        <v>139</v>
      </c>
      <c r="E1562" s="12" t="s">
        <v>150</v>
      </c>
      <c r="F1562" s="12" t="s">
        <v>160</v>
      </c>
      <c r="G1562" s="14">
        <f t="shared" ca="1" si="24"/>
        <v>112608.13287400057</v>
      </c>
      <c r="H1562" s="12" t="s">
        <v>171</v>
      </c>
      <c r="I1562">
        <v>0</v>
      </c>
      <c r="J1562">
        <v>40</v>
      </c>
      <c r="K1562" s="12" t="s">
        <v>176</v>
      </c>
      <c r="L1562">
        <v>0</v>
      </c>
      <c r="M1562">
        <v>0</v>
      </c>
      <c r="O1562" s="39"/>
      <c r="P1562" s="15">
        <v>84248.29</v>
      </c>
      <c r="S1562" s="17"/>
    </row>
    <row r="1563" spans="1:19" x14ac:dyDescent="0.4">
      <c r="A1563">
        <v>8097576</v>
      </c>
      <c r="B1563" s="16">
        <v>20</v>
      </c>
      <c r="C1563" s="12" t="s">
        <v>122</v>
      </c>
      <c r="D1563" s="12" t="s">
        <v>132</v>
      </c>
      <c r="E1563" s="12" t="s">
        <v>150</v>
      </c>
      <c r="F1563" s="12" t="s">
        <v>157</v>
      </c>
      <c r="G1563" s="14">
        <f t="shared" ca="1" si="24"/>
        <v>43542.991376815218</v>
      </c>
      <c r="H1563" s="12" t="s">
        <v>172</v>
      </c>
      <c r="I1563">
        <v>0</v>
      </c>
      <c r="J1563">
        <v>40</v>
      </c>
      <c r="K1563" s="12" t="s">
        <v>176</v>
      </c>
      <c r="L1563">
        <v>0</v>
      </c>
      <c r="M1563">
        <v>0</v>
      </c>
      <c r="O1563" s="39"/>
      <c r="P1563" s="16">
        <v>25358.05</v>
      </c>
      <c r="S1563" s="17"/>
    </row>
    <row r="1564" spans="1:19" x14ac:dyDescent="0.4">
      <c r="A1564">
        <v>8100828</v>
      </c>
      <c r="B1564" s="15">
        <v>36</v>
      </c>
      <c r="C1564" s="12" t="s">
        <v>122</v>
      </c>
      <c r="D1564" s="12" t="s">
        <v>134</v>
      </c>
      <c r="E1564" s="12" t="s">
        <v>150</v>
      </c>
      <c r="F1564" s="12" t="s">
        <v>159</v>
      </c>
      <c r="G1564" s="14">
        <f t="shared" ca="1" si="24"/>
        <v>121186.77756068476</v>
      </c>
      <c r="H1564" s="12" t="s">
        <v>172</v>
      </c>
      <c r="I1564">
        <v>0</v>
      </c>
      <c r="J1564">
        <v>30</v>
      </c>
      <c r="K1564" s="12" t="s">
        <v>176</v>
      </c>
      <c r="L1564">
        <v>0</v>
      </c>
      <c r="M1564">
        <v>0</v>
      </c>
      <c r="O1564" s="39"/>
      <c r="P1564" s="15">
        <v>80958.09</v>
      </c>
      <c r="S1564" s="17"/>
    </row>
    <row r="1565" spans="1:19" x14ac:dyDescent="0.4">
      <c r="A1565">
        <v>8101919</v>
      </c>
      <c r="B1565" s="16">
        <v>32</v>
      </c>
      <c r="C1565" s="12" t="s">
        <v>123</v>
      </c>
      <c r="D1565" s="12" t="s">
        <v>134</v>
      </c>
      <c r="E1565" s="12" t="s">
        <v>152</v>
      </c>
      <c r="F1565" s="12" t="s">
        <v>159</v>
      </c>
      <c r="G1565" s="14">
        <f t="shared" ca="1" si="24"/>
        <v>20552.147603957143</v>
      </c>
      <c r="H1565" s="12" t="s">
        <v>172</v>
      </c>
      <c r="I1565">
        <v>0</v>
      </c>
      <c r="J1565">
        <v>45</v>
      </c>
      <c r="K1565" s="12" t="s">
        <v>176</v>
      </c>
      <c r="L1565">
        <v>0</v>
      </c>
      <c r="M1565">
        <v>0</v>
      </c>
      <c r="O1565" s="39"/>
      <c r="P1565" s="16">
        <v>13173.25</v>
      </c>
      <c r="S1565" s="17"/>
    </row>
    <row r="1566" spans="1:19" x14ac:dyDescent="0.4">
      <c r="A1566">
        <v>8106491</v>
      </c>
      <c r="B1566" s="15">
        <v>42</v>
      </c>
      <c r="C1566" s="12" t="s">
        <v>122</v>
      </c>
      <c r="D1566" s="12" t="s">
        <v>134</v>
      </c>
      <c r="E1566" s="12" t="s">
        <v>151</v>
      </c>
      <c r="F1566" s="12" t="s">
        <v>158</v>
      </c>
      <c r="G1566" s="14">
        <f t="shared" ca="1" si="24"/>
        <v>80720.7251468334</v>
      </c>
      <c r="H1566" s="12" t="s">
        <v>171</v>
      </c>
      <c r="I1566">
        <v>0</v>
      </c>
      <c r="J1566">
        <v>40</v>
      </c>
      <c r="K1566" s="12" t="s">
        <v>176</v>
      </c>
      <c r="L1566">
        <v>0</v>
      </c>
      <c r="M1566">
        <v>0</v>
      </c>
      <c r="O1566" s="39"/>
      <c r="P1566" s="15">
        <v>71600.25</v>
      </c>
      <c r="S1566" s="17"/>
    </row>
    <row r="1567" spans="1:19" x14ac:dyDescent="0.4">
      <c r="A1567">
        <v>8116036</v>
      </c>
      <c r="B1567" s="16">
        <v>18</v>
      </c>
      <c r="C1567" s="12" t="s">
        <v>129</v>
      </c>
      <c r="D1567" s="12" t="s">
        <v>134</v>
      </c>
      <c r="E1567" s="12" t="s">
        <v>150</v>
      </c>
      <c r="F1567" s="12" t="s">
        <v>129</v>
      </c>
      <c r="G1567" s="14">
        <f t="shared" ca="1" si="24"/>
        <v>342860.01457998826</v>
      </c>
      <c r="H1567" s="12" t="s">
        <v>171</v>
      </c>
      <c r="I1567">
        <v>0</v>
      </c>
      <c r="J1567">
        <v>20</v>
      </c>
      <c r="K1567" s="12" t="s">
        <v>176</v>
      </c>
      <c r="L1567">
        <v>0</v>
      </c>
      <c r="M1567">
        <v>0</v>
      </c>
      <c r="O1567" s="39"/>
      <c r="P1567" s="16">
        <v>200908.22</v>
      </c>
      <c r="S1567" s="17"/>
    </row>
    <row r="1568" spans="1:19" x14ac:dyDescent="0.4">
      <c r="A1568">
        <v>8123449</v>
      </c>
      <c r="B1568" s="15">
        <v>37</v>
      </c>
      <c r="C1568" s="12" t="s">
        <v>122</v>
      </c>
      <c r="D1568" s="12" t="s">
        <v>135</v>
      </c>
      <c r="E1568" s="12" t="s">
        <v>152</v>
      </c>
      <c r="F1568" s="12" t="s">
        <v>158</v>
      </c>
      <c r="G1568" s="14">
        <f t="shared" ca="1" si="24"/>
        <v>46466.315058461179</v>
      </c>
      <c r="H1568" s="12" t="s">
        <v>172</v>
      </c>
      <c r="I1568">
        <v>0</v>
      </c>
      <c r="J1568">
        <v>50</v>
      </c>
      <c r="K1568" s="12" t="s">
        <v>176</v>
      </c>
      <c r="L1568">
        <v>2856</v>
      </c>
      <c r="M1568">
        <v>1</v>
      </c>
      <c r="O1568" s="39"/>
      <c r="P1568" s="15">
        <v>39093.300000000003</v>
      </c>
      <c r="S1568" s="17"/>
    </row>
    <row r="1569" spans="1:19" x14ac:dyDescent="0.4">
      <c r="A1569">
        <v>8124109</v>
      </c>
      <c r="B1569" s="16">
        <v>57</v>
      </c>
      <c r="C1569" s="12" t="s">
        <v>127</v>
      </c>
      <c r="D1569" s="12" t="s">
        <v>138</v>
      </c>
      <c r="E1569" s="12" t="s">
        <v>152</v>
      </c>
      <c r="F1569" s="12" t="s">
        <v>160</v>
      </c>
      <c r="G1569" s="14">
        <f t="shared" ca="1" si="24"/>
        <v>47478.203896386512</v>
      </c>
      <c r="H1569" s="12" t="s">
        <v>172</v>
      </c>
      <c r="I1569">
        <v>0</v>
      </c>
      <c r="J1569">
        <v>40</v>
      </c>
      <c r="K1569" s="12" t="s">
        <v>176</v>
      </c>
      <c r="L1569">
        <v>15024</v>
      </c>
      <c r="M1569">
        <v>1</v>
      </c>
      <c r="O1569" s="39"/>
      <c r="P1569" s="16">
        <v>34700.449999999997</v>
      </c>
      <c r="S1569" s="17"/>
    </row>
    <row r="1570" spans="1:19" x14ac:dyDescent="0.4">
      <c r="A1570">
        <v>8133370</v>
      </c>
      <c r="B1570" s="15">
        <v>64</v>
      </c>
      <c r="C1570" s="12" t="s">
        <v>122</v>
      </c>
      <c r="D1570" s="12" t="s">
        <v>139</v>
      </c>
      <c r="E1570" s="12" t="s">
        <v>152</v>
      </c>
      <c r="F1570" s="12" t="s">
        <v>157</v>
      </c>
      <c r="G1570" s="14">
        <f t="shared" ca="1" si="24"/>
        <v>30711.13171052283</v>
      </c>
      <c r="H1570" s="12" t="s">
        <v>172</v>
      </c>
      <c r="I1570">
        <v>0</v>
      </c>
      <c r="J1570">
        <v>40</v>
      </c>
      <c r="K1570" s="12" t="s">
        <v>176</v>
      </c>
      <c r="L1570">
        <v>0</v>
      </c>
      <c r="M1570">
        <v>0</v>
      </c>
      <c r="O1570" s="39"/>
      <c r="P1570" s="15">
        <v>17142.5</v>
      </c>
      <c r="S1570" s="17"/>
    </row>
    <row r="1571" spans="1:19" x14ac:dyDescent="0.4">
      <c r="A1571">
        <v>8137063</v>
      </c>
      <c r="B1571" s="16">
        <v>67</v>
      </c>
      <c r="C1571" s="12" t="s">
        <v>125</v>
      </c>
      <c r="D1571" s="12" t="s">
        <v>134</v>
      </c>
      <c r="E1571" s="12" t="s">
        <v>151</v>
      </c>
      <c r="F1571" s="12" t="s">
        <v>166</v>
      </c>
      <c r="G1571" s="14">
        <f t="shared" ca="1" si="24"/>
        <v>89559.302451259558</v>
      </c>
      <c r="H1571" s="12" t="s">
        <v>172</v>
      </c>
      <c r="I1571">
        <v>0</v>
      </c>
      <c r="J1571">
        <v>20</v>
      </c>
      <c r="K1571" s="12" t="s">
        <v>176</v>
      </c>
      <c r="L1571">
        <v>0</v>
      </c>
      <c r="M1571">
        <v>0</v>
      </c>
      <c r="O1571" s="39"/>
      <c r="P1571" s="16">
        <v>80081.259999999995</v>
      </c>
      <c r="S1571" s="17"/>
    </row>
    <row r="1572" spans="1:19" x14ac:dyDescent="0.4">
      <c r="A1572">
        <v>8140648</v>
      </c>
      <c r="B1572" s="15">
        <v>34</v>
      </c>
      <c r="C1572" s="12" t="s">
        <v>122</v>
      </c>
      <c r="D1572" s="12" t="s">
        <v>134</v>
      </c>
      <c r="E1572" s="12" t="s">
        <v>150</v>
      </c>
      <c r="F1572" s="12" t="s">
        <v>159</v>
      </c>
      <c r="G1572" s="14">
        <f t="shared" ca="1" si="24"/>
        <v>346010.46274710336</v>
      </c>
      <c r="H1572" s="12" t="s">
        <v>172</v>
      </c>
      <c r="I1572">
        <v>0</v>
      </c>
      <c r="J1572">
        <v>40</v>
      </c>
      <c r="K1572" s="12" t="s">
        <v>176</v>
      </c>
      <c r="L1572">
        <v>0</v>
      </c>
      <c r="M1572">
        <v>0</v>
      </c>
      <c r="O1572" s="39"/>
      <c r="P1572" s="15">
        <v>201033.48</v>
      </c>
      <c r="S1572" s="17"/>
    </row>
    <row r="1573" spans="1:19" x14ac:dyDescent="0.4">
      <c r="A1573">
        <v>8141596</v>
      </c>
      <c r="B1573" s="16">
        <v>44</v>
      </c>
      <c r="C1573" s="12" t="s">
        <v>122</v>
      </c>
      <c r="D1573" s="12" t="s">
        <v>135</v>
      </c>
      <c r="E1573" s="12" t="s">
        <v>152</v>
      </c>
      <c r="F1573" s="12" t="s">
        <v>160</v>
      </c>
      <c r="G1573" s="14">
        <f t="shared" ca="1" si="24"/>
        <v>30990.485605914608</v>
      </c>
      <c r="H1573" s="12" t="s">
        <v>172</v>
      </c>
      <c r="I1573">
        <v>0</v>
      </c>
      <c r="J1573">
        <v>45</v>
      </c>
      <c r="K1573" s="12" t="s">
        <v>176</v>
      </c>
      <c r="L1573">
        <v>15024</v>
      </c>
      <c r="M1573">
        <v>1</v>
      </c>
      <c r="O1573" s="39"/>
      <c r="P1573" s="16">
        <v>20924.330000000002</v>
      </c>
      <c r="S1573" s="17"/>
    </row>
    <row r="1574" spans="1:19" x14ac:dyDescent="0.4">
      <c r="A1574">
        <v>8142846</v>
      </c>
      <c r="B1574" s="15">
        <v>32</v>
      </c>
      <c r="C1574" s="12" t="s">
        <v>125</v>
      </c>
      <c r="D1574" s="12" t="s">
        <v>134</v>
      </c>
      <c r="E1574" s="12" t="s">
        <v>152</v>
      </c>
      <c r="F1574" s="12" t="s">
        <v>166</v>
      </c>
      <c r="G1574" s="14">
        <f t="shared" ca="1" si="24"/>
        <v>59354.024888768203</v>
      </c>
      <c r="H1574" s="12" t="s">
        <v>172</v>
      </c>
      <c r="I1574">
        <v>0</v>
      </c>
      <c r="J1574">
        <v>43</v>
      </c>
      <c r="K1574" s="12" t="s">
        <v>176</v>
      </c>
      <c r="L1574">
        <v>0</v>
      </c>
      <c r="M1574">
        <v>0</v>
      </c>
      <c r="O1574" s="39"/>
      <c r="P1574" s="15">
        <v>35745.96</v>
      </c>
      <c r="S1574" s="17"/>
    </row>
    <row r="1575" spans="1:19" x14ac:dyDescent="0.4">
      <c r="A1575">
        <v>8154747</v>
      </c>
      <c r="B1575" s="16">
        <v>20</v>
      </c>
      <c r="C1575" s="12" t="s">
        <v>129</v>
      </c>
      <c r="D1575" s="12" t="s">
        <v>132</v>
      </c>
      <c r="E1575" s="12" t="s">
        <v>150</v>
      </c>
      <c r="F1575" s="12" t="s">
        <v>129</v>
      </c>
      <c r="G1575" s="14">
        <f t="shared" ca="1" si="24"/>
        <v>197996.29195795121</v>
      </c>
      <c r="H1575" s="12" t="s">
        <v>172</v>
      </c>
      <c r="I1575">
        <v>0</v>
      </c>
      <c r="J1575">
        <v>40</v>
      </c>
      <c r="K1575" s="12" t="s">
        <v>176</v>
      </c>
      <c r="L1575">
        <v>0</v>
      </c>
      <c r="M1575">
        <v>0</v>
      </c>
      <c r="O1575" s="39"/>
      <c r="P1575" s="16">
        <v>109853.44</v>
      </c>
      <c r="S1575" s="17"/>
    </row>
    <row r="1576" spans="1:19" x14ac:dyDescent="0.4">
      <c r="A1576">
        <v>8156756</v>
      </c>
      <c r="B1576" s="15">
        <v>25</v>
      </c>
      <c r="C1576" s="12" t="s">
        <v>123</v>
      </c>
      <c r="D1576" s="12" t="s">
        <v>142</v>
      </c>
      <c r="E1576" s="12" t="s">
        <v>150</v>
      </c>
      <c r="F1576" s="12" t="s">
        <v>159</v>
      </c>
      <c r="G1576" s="14">
        <f t="shared" ca="1" si="24"/>
        <v>140135.17765290456</v>
      </c>
      <c r="H1576" s="12" t="s">
        <v>172</v>
      </c>
      <c r="I1576">
        <v>0</v>
      </c>
      <c r="J1576">
        <v>15</v>
      </c>
      <c r="K1576" s="12" t="s">
        <v>176</v>
      </c>
      <c r="L1576">
        <v>0</v>
      </c>
      <c r="M1576">
        <v>0</v>
      </c>
      <c r="O1576" s="39"/>
      <c r="P1576" s="15">
        <v>74054.02</v>
      </c>
      <c r="S1576" s="17"/>
    </row>
    <row r="1577" spans="1:19" x14ac:dyDescent="0.4">
      <c r="A1577">
        <v>8157495</v>
      </c>
      <c r="B1577" s="16">
        <v>60</v>
      </c>
      <c r="C1577" s="12" t="s">
        <v>122</v>
      </c>
      <c r="D1577" s="12" t="s">
        <v>145</v>
      </c>
      <c r="E1577" s="12" t="s">
        <v>151</v>
      </c>
      <c r="F1577" s="12" t="s">
        <v>161</v>
      </c>
      <c r="G1577" s="14">
        <f t="shared" ca="1" si="24"/>
        <v>450131.76428294688</v>
      </c>
      <c r="H1577" s="12" t="s">
        <v>171</v>
      </c>
      <c r="I1577">
        <v>0</v>
      </c>
      <c r="J1577">
        <v>40</v>
      </c>
      <c r="K1577" s="12" t="s">
        <v>176</v>
      </c>
      <c r="L1577">
        <v>0</v>
      </c>
      <c r="M1577">
        <v>0</v>
      </c>
      <c r="O1577" s="39"/>
      <c r="P1577" s="16">
        <v>345263.49</v>
      </c>
      <c r="S1577" s="17"/>
    </row>
    <row r="1578" spans="1:19" x14ac:dyDescent="0.4">
      <c r="A1578">
        <v>8161040</v>
      </c>
      <c r="B1578" s="15">
        <v>19</v>
      </c>
      <c r="C1578" s="12" t="s">
        <v>122</v>
      </c>
      <c r="D1578" s="12" t="s">
        <v>132</v>
      </c>
      <c r="E1578" s="12" t="s">
        <v>150</v>
      </c>
      <c r="F1578" s="12" t="s">
        <v>162</v>
      </c>
      <c r="G1578" s="14">
        <f t="shared" ca="1" si="24"/>
        <v>132356.74529710403</v>
      </c>
      <c r="H1578" s="12" t="s">
        <v>171</v>
      </c>
      <c r="I1578">
        <v>0</v>
      </c>
      <c r="J1578">
        <v>30</v>
      </c>
      <c r="K1578" s="12" t="s">
        <v>176</v>
      </c>
      <c r="L1578">
        <v>0</v>
      </c>
      <c r="M1578">
        <v>0</v>
      </c>
      <c r="O1578" s="39"/>
      <c r="P1578" s="15">
        <v>101145.88</v>
      </c>
      <c r="S1578" s="17"/>
    </row>
    <row r="1579" spans="1:19" x14ac:dyDescent="0.4">
      <c r="A1579">
        <v>8165976</v>
      </c>
      <c r="B1579" s="16">
        <v>38</v>
      </c>
      <c r="C1579" s="12" t="s">
        <v>122</v>
      </c>
      <c r="D1579" s="12" t="s">
        <v>134</v>
      </c>
      <c r="E1579" s="12" t="s">
        <v>152</v>
      </c>
      <c r="F1579" s="12" t="s">
        <v>161</v>
      </c>
      <c r="G1579" s="14">
        <f t="shared" ca="1" si="24"/>
        <v>48342.720251866704</v>
      </c>
      <c r="H1579" s="12" t="s">
        <v>172</v>
      </c>
      <c r="I1579">
        <v>0</v>
      </c>
      <c r="J1579">
        <v>65</v>
      </c>
      <c r="K1579" s="12" t="s">
        <v>176</v>
      </c>
      <c r="L1579">
        <v>9245</v>
      </c>
      <c r="M1579">
        <v>1</v>
      </c>
      <c r="O1579" s="39"/>
      <c r="P1579" s="16">
        <v>39979.199999999997</v>
      </c>
      <c r="S1579" s="17"/>
    </row>
    <row r="1580" spans="1:19" x14ac:dyDescent="0.4">
      <c r="A1580">
        <v>8168783</v>
      </c>
      <c r="B1580" s="15">
        <v>22</v>
      </c>
      <c r="C1580" s="12" t="s">
        <v>122</v>
      </c>
      <c r="D1580" s="12" t="s">
        <v>134</v>
      </c>
      <c r="E1580" s="12" t="s">
        <v>150</v>
      </c>
      <c r="F1580" s="12" t="s">
        <v>158</v>
      </c>
      <c r="G1580" s="14">
        <f t="shared" ca="1" si="24"/>
        <v>159422.80566625705</v>
      </c>
      <c r="H1580" s="12" t="s">
        <v>171</v>
      </c>
      <c r="I1580">
        <v>0</v>
      </c>
      <c r="J1580">
        <v>40</v>
      </c>
      <c r="K1580" s="12" t="s">
        <v>176</v>
      </c>
      <c r="L1580">
        <v>0</v>
      </c>
      <c r="M1580">
        <v>0</v>
      </c>
      <c r="O1580" s="39"/>
      <c r="P1580" s="15">
        <v>99136.05</v>
      </c>
      <c r="S1580" s="17"/>
    </row>
    <row r="1581" spans="1:19" x14ac:dyDescent="0.4">
      <c r="A1581">
        <v>8172716</v>
      </c>
      <c r="B1581" s="16">
        <v>51</v>
      </c>
      <c r="C1581" s="12" t="s">
        <v>124</v>
      </c>
      <c r="D1581" s="12" t="s">
        <v>144</v>
      </c>
      <c r="E1581" s="12" t="s">
        <v>151</v>
      </c>
      <c r="F1581" s="12" t="s">
        <v>144</v>
      </c>
      <c r="G1581" s="14">
        <f t="shared" ca="1" si="24"/>
        <v>67766.906772567236</v>
      </c>
      <c r="H1581" s="12" t="s">
        <v>172</v>
      </c>
      <c r="I1581">
        <v>0</v>
      </c>
      <c r="J1581">
        <v>60</v>
      </c>
      <c r="K1581" s="12" t="s">
        <v>176</v>
      </c>
      <c r="L1581">
        <v>27828</v>
      </c>
      <c r="M1581">
        <v>1</v>
      </c>
      <c r="O1581" s="39"/>
      <c r="P1581" s="16">
        <v>48110.95</v>
      </c>
      <c r="S1581" s="17"/>
    </row>
    <row r="1582" spans="1:19" x14ac:dyDescent="0.4">
      <c r="A1582">
        <v>8174004</v>
      </c>
      <c r="B1582" s="15">
        <v>63</v>
      </c>
      <c r="C1582" s="12" t="s">
        <v>122</v>
      </c>
      <c r="D1582" s="12" t="s">
        <v>134</v>
      </c>
      <c r="E1582" s="12" t="s">
        <v>152</v>
      </c>
      <c r="F1582" s="12" t="s">
        <v>162</v>
      </c>
      <c r="G1582" s="14">
        <f t="shared" ca="1" si="24"/>
        <v>77851.10609182388</v>
      </c>
      <c r="H1582" s="12" t="s">
        <v>172</v>
      </c>
      <c r="I1582">
        <v>0</v>
      </c>
      <c r="J1582">
        <v>35</v>
      </c>
      <c r="K1582" s="12" t="s">
        <v>176</v>
      </c>
      <c r="L1582">
        <v>0</v>
      </c>
      <c r="M1582">
        <v>0</v>
      </c>
      <c r="O1582" s="39"/>
      <c r="P1582" s="15">
        <v>44979.07</v>
      </c>
      <c r="S1582" s="17"/>
    </row>
    <row r="1583" spans="1:19" x14ac:dyDescent="0.4">
      <c r="A1583">
        <v>8180215</v>
      </c>
      <c r="B1583" s="16">
        <v>39</v>
      </c>
      <c r="C1583" s="12" t="s">
        <v>122</v>
      </c>
      <c r="D1583" s="12" t="s">
        <v>133</v>
      </c>
      <c r="E1583" s="12" t="s">
        <v>152</v>
      </c>
      <c r="F1583" s="12" t="s">
        <v>158</v>
      </c>
      <c r="G1583" s="14">
        <f t="shared" ca="1" si="24"/>
        <v>644319.31616589031</v>
      </c>
      <c r="H1583" s="12" t="s">
        <v>171</v>
      </c>
      <c r="I1583">
        <v>0</v>
      </c>
      <c r="J1583">
        <v>25</v>
      </c>
      <c r="K1583" s="12" t="s">
        <v>176</v>
      </c>
      <c r="L1583">
        <v>0</v>
      </c>
      <c r="M1583">
        <v>1</v>
      </c>
      <c r="O1583" s="39"/>
      <c r="P1583" s="16">
        <v>421075.3</v>
      </c>
      <c r="S1583" s="17"/>
    </row>
    <row r="1584" spans="1:19" x14ac:dyDescent="0.4">
      <c r="A1584">
        <v>8181245</v>
      </c>
      <c r="B1584" s="15">
        <v>31</v>
      </c>
      <c r="C1584" s="12" t="s">
        <v>122</v>
      </c>
      <c r="D1584" s="12" t="s">
        <v>134</v>
      </c>
      <c r="E1584" s="12" t="s">
        <v>150</v>
      </c>
      <c r="F1584" s="12" t="s">
        <v>156</v>
      </c>
      <c r="G1584" s="14">
        <f t="shared" ca="1" si="24"/>
        <v>241042.50531297238</v>
      </c>
      <c r="H1584" s="12" t="s">
        <v>171</v>
      </c>
      <c r="I1584">
        <v>0</v>
      </c>
      <c r="J1584">
        <v>20</v>
      </c>
      <c r="K1584" s="12" t="s">
        <v>176</v>
      </c>
      <c r="L1584">
        <v>0</v>
      </c>
      <c r="M1584">
        <v>0</v>
      </c>
      <c r="O1584" s="39"/>
      <c r="P1584" s="15">
        <v>191779.35</v>
      </c>
      <c r="S1584" s="17"/>
    </row>
    <row r="1585" spans="1:19" x14ac:dyDescent="0.4">
      <c r="A1585">
        <v>8182397</v>
      </c>
      <c r="B1585" s="16">
        <v>30</v>
      </c>
      <c r="C1585" s="12" t="s">
        <v>122</v>
      </c>
      <c r="D1585" s="12" t="s">
        <v>135</v>
      </c>
      <c r="E1585" s="12" t="s">
        <v>150</v>
      </c>
      <c r="F1585" s="12" t="s">
        <v>162</v>
      </c>
      <c r="G1585" s="14">
        <f t="shared" ca="1" si="24"/>
        <v>213033.36791451529</v>
      </c>
      <c r="H1585" s="12" t="s">
        <v>172</v>
      </c>
      <c r="I1585">
        <v>0</v>
      </c>
      <c r="J1585">
        <v>40</v>
      </c>
      <c r="K1585" s="12" t="s">
        <v>176</v>
      </c>
      <c r="L1585">
        <v>5623</v>
      </c>
      <c r="M1585">
        <v>1</v>
      </c>
      <c r="O1585" s="39"/>
      <c r="P1585" s="16">
        <v>116063</v>
      </c>
      <c r="S1585" s="17"/>
    </row>
    <row r="1586" spans="1:19" x14ac:dyDescent="0.4">
      <c r="A1586">
        <v>8182945</v>
      </c>
      <c r="B1586" s="15">
        <v>47</v>
      </c>
      <c r="C1586" s="12" t="s">
        <v>122</v>
      </c>
      <c r="D1586" s="12" t="s">
        <v>134</v>
      </c>
      <c r="E1586" s="12" t="s">
        <v>152</v>
      </c>
      <c r="F1586" s="12" t="s">
        <v>158</v>
      </c>
      <c r="G1586" s="14">
        <f t="shared" ca="1" si="24"/>
        <v>26414.52445801628</v>
      </c>
      <c r="H1586" s="12" t="s">
        <v>172</v>
      </c>
      <c r="I1586">
        <v>0</v>
      </c>
      <c r="J1586">
        <v>50</v>
      </c>
      <c r="K1586" s="12" t="s">
        <v>176</v>
      </c>
      <c r="L1586">
        <v>7489</v>
      </c>
      <c r="M1586">
        <v>1</v>
      </c>
      <c r="O1586" s="39"/>
      <c r="P1586" s="15">
        <v>22161.439999999999</v>
      </c>
      <c r="S1586" s="17"/>
    </row>
    <row r="1587" spans="1:19" x14ac:dyDescent="0.4">
      <c r="A1587">
        <v>8183160</v>
      </c>
      <c r="B1587" s="16">
        <v>32</v>
      </c>
      <c r="C1587" s="12" t="s">
        <v>125</v>
      </c>
      <c r="D1587" s="12" t="s">
        <v>132</v>
      </c>
      <c r="E1587" s="12" t="s">
        <v>152</v>
      </c>
      <c r="F1587" s="12" t="s">
        <v>156</v>
      </c>
      <c r="G1587" s="14">
        <f t="shared" ca="1" si="24"/>
        <v>62743.098930309192</v>
      </c>
      <c r="H1587" s="12" t="s">
        <v>172</v>
      </c>
      <c r="I1587">
        <v>0</v>
      </c>
      <c r="J1587">
        <v>40</v>
      </c>
      <c r="K1587" s="12" t="s">
        <v>176</v>
      </c>
      <c r="L1587">
        <v>0</v>
      </c>
      <c r="M1587">
        <v>0</v>
      </c>
      <c r="O1587" s="39"/>
      <c r="P1587" s="16">
        <v>40578.25</v>
      </c>
      <c r="S1587" s="17"/>
    </row>
    <row r="1588" spans="1:19" x14ac:dyDescent="0.4">
      <c r="A1588">
        <v>8187549</v>
      </c>
      <c r="B1588" s="15">
        <v>30</v>
      </c>
      <c r="C1588" s="12" t="s">
        <v>122</v>
      </c>
      <c r="D1588" s="12" t="s">
        <v>137</v>
      </c>
      <c r="E1588" s="12" t="s">
        <v>150</v>
      </c>
      <c r="F1588" s="12" t="s">
        <v>164</v>
      </c>
      <c r="G1588" s="14">
        <f t="shared" ca="1" si="24"/>
        <v>266347.35137749434</v>
      </c>
      <c r="H1588" s="12" t="s">
        <v>172</v>
      </c>
      <c r="I1588">
        <v>0</v>
      </c>
      <c r="J1588">
        <v>45</v>
      </c>
      <c r="K1588" s="12" t="s">
        <v>176</v>
      </c>
      <c r="L1588">
        <v>0</v>
      </c>
      <c r="M1588">
        <v>0</v>
      </c>
      <c r="O1588" s="39"/>
      <c r="P1588" s="15">
        <v>188614.92</v>
      </c>
      <c r="S1588" s="17"/>
    </row>
    <row r="1589" spans="1:19" x14ac:dyDescent="0.4">
      <c r="A1589">
        <v>8202083</v>
      </c>
      <c r="B1589" s="16">
        <v>51</v>
      </c>
      <c r="C1589" s="12" t="s">
        <v>122</v>
      </c>
      <c r="D1589" s="12" t="s">
        <v>133</v>
      </c>
      <c r="E1589" s="12" t="s">
        <v>152</v>
      </c>
      <c r="F1589" s="12" t="s">
        <v>162</v>
      </c>
      <c r="G1589" s="14">
        <f t="shared" ca="1" si="24"/>
        <v>43894.406416562764</v>
      </c>
      <c r="H1589" s="12" t="s">
        <v>172</v>
      </c>
      <c r="I1589">
        <v>0</v>
      </c>
      <c r="J1589">
        <v>45</v>
      </c>
      <c r="K1589" s="12" t="s">
        <v>176</v>
      </c>
      <c r="L1589">
        <v>5178</v>
      </c>
      <c r="M1589">
        <v>1</v>
      </c>
      <c r="O1589" s="39"/>
      <c r="P1589" s="16">
        <v>26439.279999999999</v>
      </c>
      <c r="S1589" s="17"/>
    </row>
    <row r="1590" spans="1:19" x14ac:dyDescent="0.4">
      <c r="A1590">
        <v>8208471</v>
      </c>
      <c r="B1590" s="15">
        <v>26</v>
      </c>
      <c r="C1590" s="12" t="s">
        <v>122</v>
      </c>
      <c r="D1590" s="12" t="s">
        <v>132</v>
      </c>
      <c r="E1590" s="12" t="s">
        <v>152</v>
      </c>
      <c r="F1590" s="12" t="s">
        <v>162</v>
      </c>
      <c r="G1590" s="14">
        <f t="shared" ca="1" si="24"/>
        <v>71955.519526334174</v>
      </c>
      <c r="H1590" s="12" t="s">
        <v>172</v>
      </c>
      <c r="I1590">
        <v>0</v>
      </c>
      <c r="J1590">
        <v>40</v>
      </c>
      <c r="K1590" s="12" t="s">
        <v>176</v>
      </c>
      <c r="L1590">
        <v>0</v>
      </c>
      <c r="M1590">
        <v>0</v>
      </c>
      <c r="O1590" s="39"/>
      <c r="P1590" s="15">
        <v>42713.56</v>
      </c>
      <c r="S1590" s="17"/>
    </row>
    <row r="1591" spans="1:19" x14ac:dyDescent="0.4">
      <c r="A1591">
        <v>8211774</v>
      </c>
      <c r="B1591" s="16">
        <v>50</v>
      </c>
      <c r="C1591" s="12" t="s">
        <v>124</v>
      </c>
      <c r="D1591" s="12" t="s">
        <v>138</v>
      </c>
      <c r="E1591" s="12" t="s">
        <v>150</v>
      </c>
      <c r="F1591" s="12" t="s">
        <v>144</v>
      </c>
      <c r="G1591" s="14">
        <f t="shared" ca="1" si="24"/>
        <v>201429.46635255709</v>
      </c>
      <c r="H1591" s="12" t="s">
        <v>172</v>
      </c>
      <c r="I1591">
        <v>0</v>
      </c>
      <c r="J1591">
        <v>50</v>
      </c>
      <c r="K1591" s="12" t="s">
        <v>185</v>
      </c>
      <c r="L1591">
        <v>0</v>
      </c>
      <c r="M1591">
        <v>0</v>
      </c>
      <c r="O1591" s="39"/>
      <c r="P1591" s="16">
        <v>103977.33</v>
      </c>
      <c r="S1591" s="17"/>
    </row>
    <row r="1592" spans="1:19" x14ac:dyDescent="0.4">
      <c r="A1592">
        <v>8217729</v>
      </c>
      <c r="B1592" s="15">
        <v>34</v>
      </c>
      <c r="C1592" s="12" t="s">
        <v>122</v>
      </c>
      <c r="D1592" s="12" t="s">
        <v>134</v>
      </c>
      <c r="E1592" s="12" t="s">
        <v>152</v>
      </c>
      <c r="F1592" s="12" t="s">
        <v>158</v>
      </c>
      <c r="G1592" s="14">
        <f t="shared" ca="1" si="24"/>
        <v>43906.230490150519</v>
      </c>
      <c r="H1592" s="12" t="s">
        <v>172</v>
      </c>
      <c r="I1592">
        <v>0</v>
      </c>
      <c r="J1592">
        <v>40</v>
      </c>
      <c r="K1592" s="12" t="s">
        <v>176</v>
      </c>
      <c r="L1592">
        <v>0</v>
      </c>
      <c r="M1592">
        <v>0</v>
      </c>
      <c r="O1592" s="39"/>
      <c r="P1592" s="15">
        <v>23817.5</v>
      </c>
      <c r="S1592" s="17"/>
    </row>
    <row r="1593" spans="1:19" x14ac:dyDescent="0.4">
      <c r="A1593">
        <v>8220167</v>
      </c>
      <c r="B1593" s="16">
        <v>45</v>
      </c>
      <c r="C1593" s="12" t="s">
        <v>125</v>
      </c>
      <c r="D1593" s="12" t="s">
        <v>132</v>
      </c>
      <c r="E1593" s="12" t="s">
        <v>152</v>
      </c>
      <c r="F1593" s="12" t="s">
        <v>160</v>
      </c>
      <c r="G1593" s="14">
        <f t="shared" ca="1" si="24"/>
        <v>25867.834999246286</v>
      </c>
      <c r="H1593" s="12" t="s">
        <v>172</v>
      </c>
      <c r="I1593">
        <v>0</v>
      </c>
      <c r="J1593">
        <v>40</v>
      </c>
      <c r="K1593" s="12" t="s">
        <v>176</v>
      </c>
      <c r="L1593">
        <v>8446</v>
      </c>
      <c r="M1593">
        <v>1</v>
      </c>
      <c r="O1593" s="39"/>
      <c r="P1593" s="16">
        <v>22778.959999999999</v>
      </c>
      <c r="S1593" s="17"/>
    </row>
    <row r="1594" spans="1:19" x14ac:dyDescent="0.4">
      <c r="A1594">
        <v>8223188</v>
      </c>
      <c r="B1594" s="15">
        <v>24</v>
      </c>
      <c r="C1594" s="12" t="s">
        <v>122</v>
      </c>
      <c r="D1594" s="12" t="s">
        <v>134</v>
      </c>
      <c r="E1594" s="12" t="s">
        <v>150</v>
      </c>
      <c r="F1594" s="12" t="s">
        <v>162</v>
      </c>
      <c r="G1594" s="14">
        <f t="shared" ca="1" si="24"/>
        <v>353705.99628070334</v>
      </c>
      <c r="H1594" s="12" t="s">
        <v>172</v>
      </c>
      <c r="I1594">
        <v>0</v>
      </c>
      <c r="J1594">
        <v>40</v>
      </c>
      <c r="K1594" s="12" t="s">
        <v>183</v>
      </c>
      <c r="L1594">
        <v>0</v>
      </c>
      <c r="M1594">
        <v>0</v>
      </c>
      <c r="O1594" s="39"/>
      <c r="P1594" s="15">
        <v>223001.87</v>
      </c>
      <c r="S1594" s="17"/>
    </row>
    <row r="1595" spans="1:19" x14ac:dyDescent="0.4">
      <c r="A1595">
        <v>8229099</v>
      </c>
      <c r="B1595" s="16">
        <v>33</v>
      </c>
      <c r="C1595" s="12" t="s">
        <v>122</v>
      </c>
      <c r="D1595" s="12" t="s">
        <v>134</v>
      </c>
      <c r="E1595" s="12" t="s">
        <v>152</v>
      </c>
      <c r="F1595" s="12" t="s">
        <v>157</v>
      </c>
      <c r="G1595" s="14">
        <f t="shared" ca="1" si="24"/>
        <v>30386.556119232464</v>
      </c>
      <c r="H1595" s="12" t="s">
        <v>172</v>
      </c>
      <c r="I1595">
        <v>0</v>
      </c>
      <c r="J1595">
        <v>40</v>
      </c>
      <c r="K1595" s="12" t="s">
        <v>176</v>
      </c>
      <c r="L1595">
        <v>0</v>
      </c>
      <c r="M1595">
        <v>0</v>
      </c>
      <c r="O1595" s="39"/>
      <c r="P1595" s="16">
        <v>18669.580000000002</v>
      </c>
      <c r="S1595" s="17"/>
    </row>
    <row r="1596" spans="1:19" x14ac:dyDescent="0.4">
      <c r="A1596">
        <v>8232152</v>
      </c>
      <c r="B1596" s="15">
        <v>20</v>
      </c>
      <c r="C1596" s="12" t="s">
        <v>122</v>
      </c>
      <c r="D1596" s="12" t="s">
        <v>134</v>
      </c>
      <c r="E1596" s="12" t="s">
        <v>150</v>
      </c>
      <c r="F1596" s="12" t="s">
        <v>164</v>
      </c>
      <c r="G1596" s="14">
        <f t="shared" ca="1" si="24"/>
        <v>42931.609934418841</v>
      </c>
      <c r="H1596" s="12" t="s">
        <v>172</v>
      </c>
      <c r="I1596">
        <v>0</v>
      </c>
      <c r="J1596">
        <v>40</v>
      </c>
      <c r="K1596" s="12" t="s">
        <v>176</v>
      </c>
      <c r="L1596">
        <v>0</v>
      </c>
      <c r="M1596">
        <v>0</v>
      </c>
      <c r="O1596" s="39"/>
      <c r="P1596" s="15">
        <v>23209.3</v>
      </c>
      <c r="S1596" s="17"/>
    </row>
    <row r="1597" spans="1:19" x14ac:dyDescent="0.4">
      <c r="A1597">
        <v>8232668</v>
      </c>
      <c r="B1597" s="16">
        <v>66</v>
      </c>
      <c r="C1597" s="12" t="s">
        <v>122</v>
      </c>
      <c r="D1597" s="12" t="s">
        <v>134</v>
      </c>
      <c r="E1597" s="12" t="s">
        <v>152</v>
      </c>
      <c r="F1597" s="12" t="s">
        <v>164</v>
      </c>
      <c r="G1597" s="14">
        <f t="shared" ca="1" si="24"/>
        <v>43170.015879423467</v>
      </c>
      <c r="H1597" s="12" t="s">
        <v>172</v>
      </c>
      <c r="I1597">
        <v>0</v>
      </c>
      <c r="J1597">
        <v>10</v>
      </c>
      <c r="K1597" s="12" t="s">
        <v>176</v>
      </c>
      <c r="L1597">
        <v>0</v>
      </c>
      <c r="M1597">
        <v>0</v>
      </c>
      <c r="O1597" s="39"/>
      <c r="P1597" s="16">
        <v>21798.6</v>
      </c>
      <c r="S1597" s="17"/>
    </row>
    <row r="1598" spans="1:19" x14ac:dyDescent="0.4">
      <c r="A1598">
        <v>8235516</v>
      </c>
      <c r="B1598" s="15">
        <v>31</v>
      </c>
      <c r="C1598" s="12" t="s">
        <v>123</v>
      </c>
      <c r="D1598" s="12" t="s">
        <v>137</v>
      </c>
      <c r="E1598" s="12" t="s">
        <v>152</v>
      </c>
      <c r="F1598" s="12" t="s">
        <v>160</v>
      </c>
      <c r="G1598" s="14">
        <f t="shared" ca="1" si="24"/>
        <v>85060.610413422706</v>
      </c>
      <c r="H1598" s="12" t="s">
        <v>172</v>
      </c>
      <c r="I1598">
        <v>0</v>
      </c>
      <c r="J1598">
        <v>50</v>
      </c>
      <c r="K1598" s="12" t="s">
        <v>176</v>
      </c>
      <c r="L1598">
        <v>0</v>
      </c>
      <c r="M1598">
        <v>0</v>
      </c>
      <c r="O1598" s="39"/>
      <c r="P1598" s="15">
        <v>52742.7</v>
      </c>
      <c r="S1598" s="17"/>
    </row>
    <row r="1599" spans="1:19" x14ac:dyDescent="0.4">
      <c r="A1599">
        <v>8246256</v>
      </c>
      <c r="B1599" s="16">
        <v>60</v>
      </c>
      <c r="C1599" s="12" t="s">
        <v>122</v>
      </c>
      <c r="D1599" s="12" t="s">
        <v>133</v>
      </c>
      <c r="E1599" s="12" t="s">
        <v>152</v>
      </c>
      <c r="F1599" s="12" t="s">
        <v>158</v>
      </c>
      <c r="G1599" s="14">
        <f t="shared" ca="1" si="24"/>
        <v>66300.18094069013</v>
      </c>
      <c r="H1599" s="12" t="s">
        <v>172</v>
      </c>
      <c r="I1599">
        <v>0</v>
      </c>
      <c r="J1599">
        <v>40</v>
      </c>
      <c r="K1599" s="12" t="s">
        <v>176</v>
      </c>
      <c r="L1599">
        <v>982</v>
      </c>
      <c r="M1599">
        <v>1</v>
      </c>
      <c r="O1599" s="39"/>
      <c r="P1599" s="16">
        <v>46689.99</v>
      </c>
      <c r="S1599" s="17"/>
    </row>
    <row r="1600" spans="1:19" x14ac:dyDescent="0.4">
      <c r="A1600">
        <v>8253605</v>
      </c>
      <c r="B1600" s="15">
        <v>37</v>
      </c>
      <c r="C1600" s="12" t="s">
        <v>127</v>
      </c>
      <c r="D1600" s="12" t="s">
        <v>134</v>
      </c>
      <c r="E1600" s="12" t="s">
        <v>152</v>
      </c>
      <c r="F1600" s="12" t="s">
        <v>158</v>
      </c>
      <c r="G1600" s="14">
        <f t="shared" ca="1" si="24"/>
        <v>46279.09552108591</v>
      </c>
      <c r="H1600" s="12" t="s">
        <v>172</v>
      </c>
      <c r="I1600">
        <v>0</v>
      </c>
      <c r="J1600">
        <v>40</v>
      </c>
      <c r="K1600" s="12" t="s">
        <v>188</v>
      </c>
      <c r="L1600">
        <v>10752</v>
      </c>
      <c r="M1600">
        <v>1</v>
      </c>
      <c r="O1600" s="39"/>
      <c r="P1600" s="15">
        <v>27784.15</v>
      </c>
      <c r="S1600" s="17"/>
    </row>
    <row r="1601" spans="1:19" x14ac:dyDescent="0.4">
      <c r="A1601">
        <v>8254141</v>
      </c>
      <c r="B1601" s="16">
        <v>24</v>
      </c>
      <c r="C1601" s="12" t="s">
        <v>122</v>
      </c>
      <c r="D1601" s="12" t="s">
        <v>146</v>
      </c>
      <c r="E1601" s="12" t="s">
        <v>150</v>
      </c>
      <c r="F1601" s="12" t="s">
        <v>165</v>
      </c>
      <c r="G1601" s="14">
        <f t="shared" ca="1" si="24"/>
        <v>99955.770823198269</v>
      </c>
      <c r="H1601" s="12" t="s">
        <v>172</v>
      </c>
      <c r="I1601">
        <v>0</v>
      </c>
      <c r="J1601">
        <v>36</v>
      </c>
      <c r="K1601" s="12" t="s">
        <v>179</v>
      </c>
      <c r="L1601">
        <v>0</v>
      </c>
      <c r="M1601">
        <v>0</v>
      </c>
      <c r="O1601" s="39"/>
      <c r="P1601" s="16">
        <v>75883.25</v>
      </c>
      <c r="S1601" s="17"/>
    </row>
    <row r="1602" spans="1:19" x14ac:dyDescent="0.4">
      <c r="A1602">
        <v>8263510</v>
      </c>
      <c r="B1602" s="15">
        <v>24</v>
      </c>
      <c r="C1602" s="12" t="s">
        <v>122</v>
      </c>
      <c r="D1602" s="12" t="s">
        <v>132</v>
      </c>
      <c r="E1602" s="12" t="s">
        <v>152</v>
      </c>
      <c r="F1602" s="12" t="s">
        <v>159</v>
      </c>
      <c r="G1602" s="14">
        <f t="shared" ca="1" si="24"/>
        <v>38564.323974481013</v>
      </c>
      <c r="H1602" s="12" t="s">
        <v>172</v>
      </c>
      <c r="I1602">
        <v>0</v>
      </c>
      <c r="J1602">
        <v>35</v>
      </c>
      <c r="K1602" s="12" t="s">
        <v>176</v>
      </c>
      <c r="L1602">
        <v>0</v>
      </c>
      <c r="M1602">
        <v>0</v>
      </c>
      <c r="O1602" s="39"/>
      <c r="P1602" s="15">
        <v>21758.27</v>
      </c>
      <c r="S1602" s="17"/>
    </row>
    <row r="1603" spans="1:19" x14ac:dyDescent="0.4">
      <c r="A1603">
        <v>8265285</v>
      </c>
      <c r="B1603" s="16">
        <v>30</v>
      </c>
      <c r="C1603" s="12" t="s">
        <v>122</v>
      </c>
      <c r="D1603" s="12" t="s">
        <v>132</v>
      </c>
      <c r="E1603" s="12" t="s">
        <v>150</v>
      </c>
      <c r="F1603" s="12" t="s">
        <v>144</v>
      </c>
      <c r="G1603" s="14">
        <f t="shared" ca="1" si="24"/>
        <v>335950.87590343243</v>
      </c>
      <c r="H1603" s="12" t="s">
        <v>172</v>
      </c>
      <c r="I1603">
        <v>0</v>
      </c>
      <c r="J1603">
        <v>40</v>
      </c>
      <c r="K1603" s="12" t="s">
        <v>179</v>
      </c>
      <c r="L1603">
        <v>0</v>
      </c>
      <c r="M1603">
        <v>0</v>
      </c>
      <c r="O1603" s="39"/>
      <c r="P1603" s="16">
        <v>169224.91</v>
      </c>
      <c r="S1603" s="17"/>
    </row>
    <row r="1604" spans="1:19" x14ac:dyDescent="0.4">
      <c r="A1604">
        <v>8269839</v>
      </c>
      <c r="B1604" s="15">
        <v>29</v>
      </c>
      <c r="C1604" s="12" t="s">
        <v>125</v>
      </c>
      <c r="D1604" s="12" t="s">
        <v>134</v>
      </c>
      <c r="E1604" s="12" t="s">
        <v>152</v>
      </c>
      <c r="F1604" s="12" t="s">
        <v>157</v>
      </c>
      <c r="G1604" s="14">
        <f t="shared" ca="1" si="24"/>
        <v>17175.547555884899</v>
      </c>
      <c r="H1604" s="12" t="s">
        <v>172</v>
      </c>
      <c r="I1604">
        <v>0</v>
      </c>
      <c r="J1604">
        <v>40</v>
      </c>
      <c r="K1604" s="12" t="s">
        <v>176</v>
      </c>
      <c r="L1604">
        <v>0</v>
      </c>
      <c r="M1604">
        <v>0</v>
      </c>
      <c r="O1604" s="39"/>
      <c r="P1604" s="15">
        <v>16846.91</v>
      </c>
      <c r="S1604" s="17"/>
    </row>
    <row r="1605" spans="1:19" x14ac:dyDescent="0.4">
      <c r="A1605">
        <v>8272164</v>
      </c>
      <c r="B1605" s="16">
        <v>42</v>
      </c>
      <c r="C1605" s="12" t="s">
        <v>123</v>
      </c>
      <c r="D1605" s="12" t="s">
        <v>135</v>
      </c>
      <c r="E1605" s="12" t="s">
        <v>152</v>
      </c>
      <c r="F1605" s="12" t="s">
        <v>162</v>
      </c>
      <c r="G1605" s="14">
        <f t="shared" ca="1" si="24"/>
        <v>60867.088970382007</v>
      </c>
      <c r="H1605" s="12" t="s">
        <v>172</v>
      </c>
      <c r="I1605">
        <v>0</v>
      </c>
      <c r="J1605">
        <v>48</v>
      </c>
      <c r="K1605" s="12" t="s">
        <v>176</v>
      </c>
      <c r="L1605">
        <v>0</v>
      </c>
      <c r="M1605">
        <v>0</v>
      </c>
      <c r="O1605" s="39"/>
      <c r="P1605" s="16">
        <v>39354.85</v>
      </c>
      <c r="S1605" s="17"/>
    </row>
    <row r="1606" spans="1:19" x14ac:dyDescent="0.4">
      <c r="A1606">
        <v>8273606</v>
      </c>
      <c r="B1606" s="15">
        <v>26</v>
      </c>
      <c r="C1606" s="12" t="s">
        <v>122</v>
      </c>
      <c r="D1606" s="12" t="s">
        <v>133</v>
      </c>
      <c r="E1606" s="12" t="s">
        <v>150</v>
      </c>
      <c r="F1606" s="12" t="s">
        <v>161</v>
      </c>
      <c r="G1606" s="14">
        <f t="shared" ca="1" si="24"/>
        <v>132450.89196067204</v>
      </c>
      <c r="H1606" s="12" t="s">
        <v>171</v>
      </c>
      <c r="I1606">
        <v>0</v>
      </c>
      <c r="J1606">
        <v>15</v>
      </c>
      <c r="K1606" s="12" t="s">
        <v>176</v>
      </c>
      <c r="L1606">
        <v>0</v>
      </c>
      <c r="M1606">
        <v>0</v>
      </c>
      <c r="O1606" s="39"/>
      <c r="P1606" s="15">
        <v>84616.57</v>
      </c>
      <c r="S1606" s="17"/>
    </row>
    <row r="1607" spans="1:19" x14ac:dyDescent="0.4">
      <c r="A1607">
        <v>8275416</v>
      </c>
      <c r="B1607" s="16">
        <v>43</v>
      </c>
      <c r="C1607" s="12" t="s">
        <v>122</v>
      </c>
      <c r="D1607" s="12" t="s">
        <v>140</v>
      </c>
      <c r="E1607" s="12" t="s">
        <v>149</v>
      </c>
      <c r="F1607" s="12" t="s">
        <v>156</v>
      </c>
      <c r="G1607" s="14">
        <f t="shared" ca="1" si="24"/>
        <v>207164.71278361513</v>
      </c>
      <c r="H1607" s="12" t="s">
        <v>171</v>
      </c>
      <c r="I1607">
        <v>0</v>
      </c>
      <c r="J1607">
        <v>40</v>
      </c>
      <c r="K1607" s="12" t="s">
        <v>176</v>
      </c>
      <c r="L1607">
        <v>0</v>
      </c>
      <c r="M1607">
        <v>0</v>
      </c>
      <c r="O1607" s="39"/>
      <c r="P1607" s="16">
        <v>121900.47</v>
      </c>
      <c r="S1607" s="17"/>
    </row>
    <row r="1608" spans="1:19" x14ac:dyDescent="0.4">
      <c r="A1608">
        <v>8279749</v>
      </c>
      <c r="B1608" s="15">
        <v>26</v>
      </c>
      <c r="C1608" s="12" t="s">
        <v>122</v>
      </c>
      <c r="D1608" s="12" t="s">
        <v>139</v>
      </c>
      <c r="E1608" s="12" t="s">
        <v>150</v>
      </c>
      <c r="F1608" s="12" t="s">
        <v>157</v>
      </c>
      <c r="G1608" s="14">
        <f t="shared" ca="1" si="24"/>
        <v>48562.23432121786</v>
      </c>
      <c r="H1608" s="12" t="s">
        <v>172</v>
      </c>
      <c r="I1608">
        <v>0</v>
      </c>
      <c r="J1608">
        <v>40</v>
      </c>
      <c r="K1608" s="12" t="s">
        <v>176</v>
      </c>
      <c r="L1608">
        <v>0</v>
      </c>
      <c r="M1608">
        <v>0</v>
      </c>
      <c r="O1608" s="39"/>
      <c r="P1608" s="15">
        <v>41447.11</v>
      </c>
      <c r="S1608" s="17"/>
    </row>
    <row r="1609" spans="1:19" x14ac:dyDescent="0.4">
      <c r="A1609">
        <v>8281011</v>
      </c>
      <c r="B1609" s="16">
        <v>40</v>
      </c>
      <c r="C1609" s="12" t="s">
        <v>122</v>
      </c>
      <c r="D1609" s="12" t="s">
        <v>134</v>
      </c>
      <c r="E1609" s="12" t="s">
        <v>152</v>
      </c>
      <c r="F1609" s="12" t="s">
        <v>161</v>
      </c>
      <c r="G1609" s="14">
        <f t="shared" ca="1" si="24"/>
        <v>43202.657073781149</v>
      </c>
      <c r="H1609" s="12" t="s">
        <v>172</v>
      </c>
      <c r="I1609">
        <v>0</v>
      </c>
      <c r="J1609">
        <v>40</v>
      </c>
      <c r="K1609" s="12" t="s">
        <v>176</v>
      </c>
      <c r="L1609">
        <v>0</v>
      </c>
      <c r="M1609">
        <v>1</v>
      </c>
      <c r="O1609" s="39"/>
      <c r="P1609" s="16">
        <v>30124.74</v>
      </c>
      <c r="S1609" s="17"/>
    </row>
    <row r="1610" spans="1:19" x14ac:dyDescent="0.4">
      <c r="A1610">
        <v>8281511</v>
      </c>
      <c r="B1610" s="15">
        <v>59</v>
      </c>
      <c r="C1610" s="12" t="s">
        <v>123</v>
      </c>
      <c r="D1610" s="12" t="s">
        <v>138</v>
      </c>
      <c r="E1610" s="12" t="s">
        <v>152</v>
      </c>
      <c r="F1610" s="12" t="s">
        <v>159</v>
      </c>
      <c r="G1610" s="14">
        <f t="shared" ca="1" si="24"/>
        <v>54495.453827106932</v>
      </c>
      <c r="H1610" s="12" t="s">
        <v>172</v>
      </c>
      <c r="I1610">
        <v>0</v>
      </c>
      <c r="J1610">
        <v>40</v>
      </c>
      <c r="K1610" s="12" t="s">
        <v>176</v>
      </c>
      <c r="L1610">
        <v>2259</v>
      </c>
      <c r="M1610">
        <v>1</v>
      </c>
      <c r="O1610" s="39"/>
      <c r="P1610" s="15">
        <v>27530.79</v>
      </c>
      <c r="S1610" s="17"/>
    </row>
    <row r="1611" spans="1:19" x14ac:dyDescent="0.4">
      <c r="A1611">
        <v>8281694</v>
      </c>
      <c r="B1611" s="16">
        <v>26</v>
      </c>
      <c r="C1611" s="12" t="s">
        <v>122</v>
      </c>
      <c r="D1611" s="12" t="s">
        <v>135</v>
      </c>
      <c r="E1611" s="12" t="s">
        <v>150</v>
      </c>
      <c r="F1611" s="12" t="s">
        <v>144</v>
      </c>
      <c r="G1611" s="14">
        <f t="shared" ref="G1611:G1674" ca="1" si="25">P1611*(1+RAND())</f>
        <v>76336.903570522933</v>
      </c>
      <c r="H1611" s="12" t="s">
        <v>171</v>
      </c>
      <c r="I1611">
        <v>0</v>
      </c>
      <c r="J1611">
        <v>40</v>
      </c>
      <c r="K1611" s="12" t="s">
        <v>176</v>
      </c>
      <c r="L1611">
        <v>0</v>
      </c>
      <c r="M1611">
        <v>0</v>
      </c>
      <c r="O1611" s="39"/>
      <c r="P1611" s="16">
        <v>51172.07</v>
      </c>
      <c r="S1611" s="17"/>
    </row>
    <row r="1612" spans="1:19" x14ac:dyDescent="0.4">
      <c r="A1612">
        <v>8284352</v>
      </c>
      <c r="B1612" s="15">
        <v>47</v>
      </c>
      <c r="C1612" s="12" t="s">
        <v>129</v>
      </c>
      <c r="D1612" s="12" t="s">
        <v>135</v>
      </c>
      <c r="E1612" s="12" t="s">
        <v>152</v>
      </c>
      <c r="F1612" s="12" t="s">
        <v>129</v>
      </c>
      <c r="G1612" s="14">
        <f t="shared" ca="1" si="25"/>
        <v>52316.042797767026</v>
      </c>
      <c r="H1612" s="12" t="s">
        <v>172</v>
      </c>
      <c r="I1612">
        <v>0</v>
      </c>
      <c r="J1612">
        <v>36</v>
      </c>
      <c r="K1612" s="12" t="s">
        <v>176</v>
      </c>
      <c r="L1612">
        <v>1811</v>
      </c>
      <c r="M1612">
        <v>1</v>
      </c>
      <c r="O1612" s="39"/>
      <c r="P1612" s="15">
        <v>36169.71</v>
      </c>
      <c r="S1612" s="17"/>
    </row>
    <row r="1613" spans="1:19" x14ac:dyDescent="0.4">
      <c r="A1613">
        <v>8285879</v>
      </c>
      <c r="B1613" s="16">
        <v>32</v>
      </c>
      <c r="C1613" s="12" t="s">
        <v>122</v>
      </c>
      <c r="D1613" s="12" t="s">
        <v>134</v>
      </c>
      <c r="E1613" s="12" t="s">
        <v>149</v>
      </c>
      <c r="F1613" s="12" t="s">
        <v>158</v>
      </c>
      <c r="G1613" s="14">
        <f t="shared" ca="1" si="25"/>
        <v>206520.03936907134</v>
      </c>
      <c r="H1613" s="12" t="s">
        <v>171</v>
      </c>
      <c r="I1613">
        <v>0</v>
      </c>
      <c r="J1613">
        <v>40</v>
      </c>
      <c r="K1613" s="12" t="s">
        <v>176</v>
      </c>
      <c r="L1613">
        <v>0</v>
      </c>
      <c r="M1613">
        <v>0</v>
      </c>
      <c r="O1613" s="39"/>
      <c r="P1613" s="16">
        <v>163076.41</v>
      </c>
      <c r="S1613" s="17"/>
    </row>
    <row r="1614" spans="1:19" x14ac:dyDescent="0.4">
      <c r="A1614">
        <v>8285944</v>
      </c>
      <c r="B1614" s="15">
        <v>27</v>
      </c>
      <c r="C1614" s="12" t="s">
        <v>123</v>
      </c>
      <c r="D1614" s="12" t="s">
        <v>134</v>
      </c>
      <c r="E1614" s="12" t="s">
        <v>150</v>
      </c>
      <c r="F1614" s="12" t="s">
        <v>165</v>
      </c>
      <c r="G1614" s="14">
        <f t="shared" ca="1" si="25"/>
        <v>138061.185651785</v>
      </c>
      <c r="H1614" s="12" t="s">
        <v>172</v>
      </c>
      <c r="I1614">
        <v>0</v>
      </c>
      <c r="J1614">
        <v>80</v>
      </c>
      <c r="K1614" s="12" t="s">
        <v>176</v>
      </c>
      <c r="L1614">
        <v>0</v>
      </c>
      <c r="M1614">
        <v>0</v>
      </c>
      <c r="O1614" s="39"/>
      <c r="P1614" s="15">
        <v>117719.17</v>
      </c>
      <c r="S1614" s="17"/>
    </row>
    <row r="1615" spans="1:19" x14ac:dyDescent="0.4">
      <c r="A1615">
        <v>8295608</v>
      </c>
      <c r="B1615" s="16">
        <v>38</v>
      </c>
      <c r="C1615" s="12" t="s">
        <v>125</v>
      </c>
      <c r="D1615" s="12" t="s">
        <v>134</v>
      </c>
      <c r="E1615" s="12" t="s">
        <v>152</v>
      </c>
      <c r="F1615" s="12" t="s">
        <v>157</v>
      </c>
      <c r="G1615" s="14">
        <f t="shared" ca="1" si="25"/>
        <v>109071.81484067019</v>
      </c>
      <c r="H1615" s="12" t="s">
        <v>172</v>
      </c>
      <c r="I1615">
        <v>0</v>
      </c>
      <c r="J1615">
        <v>20</v>
      </c>
      <c r="K1615" s="12" t="s">
        <v>176</v>
      </c>
      <c r="L1615">
        <v>0</v>
      </c>
      <c r="M1615">
        <v>0</v>
      </c>
      <c r="O1615" s="39"/>
      <c r="P1615" s="16">
        <v>59260.14</v>
      </c>
      <c r="S1615" s="17"/>
    </row>
    <row r="1616" spans="1:19" x14ac:dyDescent="0.4">
      <c r="A1616">
        <v>8297586</v>
      </c>
      <c r="B1616" s="15">
        <v>49</v>
      </c>
      <c r="C1616" s="12" t="s">
        <v>122</v>
      </c>
      <c r="D1616" s="12" t="s">
        <v>138</v>
      </c>
      <c r="E1616" s="12" t="s">
        <v>152</v>
      </c>
      <c r="F1616" s="12" t="s">
        <v>160</v>
      </c>
      <c r="G1616" s="14">
        <f t="shared" ca="1" si="25"/>
        <v>71838.027200918601</v>
      </c>
      <c r="H1616" s="12" t="s">
        <v>172</v>
      </c>
      <c r="I1616">
        <v>1977</v>
      </c>
      <c r="J1616">
        <v>40</v>
      </c>
      <c r="K1616" s="12" t="s">
        <v>176</v>
      </c>
      <c r="L1616">
        <v>6496</v>
      </c>
      <c r="M1616">
        <v>1</v>
      </c>
      <c r="O1616" s="39"/>
      <c r="P1616" s="15">
        <v>40329.54</v>
      </c>
      <c r="S1616" s="17"/>
    </row>
    <row r="1617" spans="1:19" x14ac:dyDescent="0.4">
      <c r="A1617">
        <v>8299017</v>
      </c>
      <c r="B1617" s="16">
        <v>41</v>
      </c>
      <c r="C1617" s="12" t="s">
        <v>122</v>
      </c>
      <c r="D1617" s="12" t="s">
        <v>134</v>
      </c>
      <c r="E1617" s="12" t="s">
        <v>151</v>
      </c>
      <c r="F1617" s="12" t="s">
        <v>159</v>
      </c>
      <c r="G1617" s="14">
        <f t="shared" ca="1" si="25"/>
        <v>226526.74302076685</v>
      </c>
      <c r="H1617" s="12" t="s">
        <v>172</v>
      </c>
      <c r="I1617">
        <v>1559.3333333333301</v>
      </c>
      <c r="J1617">
        <v>40</v>
      </c>
      <c r="K1617" s="12" t="s">
        <v>176</v>
      </c>
      <c r="L1617">
        <v>0</v>
      </c>
      <c r="M1617">
        <v>0</v>
      </c>
      <c r="O1617" s="39"/>
      <c r="P1617" s="16">
        <v>122514.84</v>
      </c>
      <c r="S1617" s="17"/>
    </row>
    <row r="1618" spans="1:19" x14ac:dyDescent="0.4">
      <c r="A1618">
        <v>8299276</v>
      </c>
      <c r="B1618" s="15">
        <v>23</v>
      </c>
      <c r="C1618" s="12" t="s">
        <v>122</v>
      </c>
      <c r="D1618" s="12" t="s">
        <v>135</v>
      </c>
      <c r="E1618" s="12" t="s">
        <v>150</v>
      </c>
      <c r="F1618" s="12" t="s">
        <v>160</v>
      </c>
      <c r="G1618" s="14">
        <f t="shared" ca="1" si="25"/>
        <v>263905.356734976</v>
      </c>
      <c r="H1618" s="12" t="s">
        <v>172</v>
      </c>
      <c r="I1618">
        <v>0</v>
      </c>
      <c r="J1618">
        <v>40</v>
      </c>
      <c r="K1618" s="12" t="s">
        <v>176</v>
      </c>
      <c r="L1618">
        <v>0</v>
      </c>
      <c r="M1618">
        <v>0</v>
      </c>
      <c r="O1618" s="39"/>
      <c r="P1618" s="15">
        <v>191114.32</v>
      </c>
      <c r="S1618" s="17"/>
    </row>
    <row r="1619" spans="1:19" x14ac:dyDescent="0.4">
      <c r="A1619">
        <v>8304027</v>
      </c>
      <c r="B1619" s="16">
        <v>28</v>
      </c>
      <c r="C1619" s="12" t="s">
        <v>122</v>
      </c>
      <c r="D1619" s="12" t="s">
        <v>140</v>
      </c>
      <c r="E1619" s="12" t="s">
        <v>153</v>
      </c>
      <c r="F1619" s="12" t="s">
        <v>158</v>
      </c>
      <c r="G1619" s="14">
        <f t="shared" ca="1" si="25"/>
        <v>322178.30982326524</v>
      </c>
      <c r="H1619" s="12" t="s">
        <v>171</v>
      </c>
      <c r="I1619">
        <v>1492</v>
      </c>
      <c r="J1619">
        <v>35</v>
      </c>
      <c r="K1619" s="12" t="s">
        <v>176</v>
      </c>
      <c r="L1619">
        <v>0</v>
      </c>
      <c r="M1619">
        <v>0</v>
      </c>
      <c r="O1619" s="39"/>
      <c r="P1619" s="16">
        <v>190439.04000000001</v>
      </c>
      <c r="S1619" s="17"/>
    </row>
    <row r="1620" spans="1:19" x14ac:dyDescent="0.4">
      <c r="A1620">
        <v>8304788</v>
      </c>
      <c r="B1620" s="15">
        <v>36</v>
      </c>
      <c r="C1620" s="12" t="s">
        <v>122</v>
      </c>
      <c r="D1620" s="12" t="s">
        <v>134</v>
      </c>
      <c r="E1620" s="12" t="s">
        <v>152</v>
      </c>
      <c r="F1620" s="12" t="s">
        <v>157</v>
      </c>
      <c r="G1620" s="14">
        <f t="shared" ca="1" si="25"/>
        <v>46661.616090619209</v>
      </c>
      <c r="H1620" s="12" t="s">
        <v>172</v>
      </c>
      <c r="I1620">
        <v>0</v>
      </c>
      <c r="J1620">
        <v>40</v>
      </c>
      <c r="K1620" s="12" t="s">
        <v>176</v>
      </c>
      <c r="L1620">
        <v>0</v>
      </c>
      <c r="M1620">
        <v>0</v>
      </c>
      <c r="O1620" s="39"/>
      <c r="P1620" s="15">
        <v>32859.42</v>
      </c>
      <c r="S1620" s="17"/>
    </row>
    <row r="1621" spans="1:19" x14ac:dyDescent="0.4">
      <c r="A1621">
        <v>8310034</v>
      </c>
      <c r="B1621" s="16">
        <v>24</v>
      </c>
      <c r="C1621" s="12" t="s">
        <v>122</v>
      </c>
      <c r="D1621" s="12" t="s">
        <v>135</v>
      </c>
      <c r="E1621" s="12" t="s">
        <v>150</v>
      </c>
      <c r="F1621" s="12" t="s">
        <v>160</v>
      </c>
      <c r="G1621" s="14">
        <f t="shared" ca="1" si="25"/>
        <v>191550.63309149764</v>
      </c>
      <c r="H1621" s="12" t="s">
        <v>172</v>
      </c>
      <c r="I1621">
        <v>0</v>
      </c>
      <c r="J1621">
        <v>40</v>
      </c>
      <c r="K1621" s="12" t="s">
        <v>176</v>
      </c>
      <c r="L1621">
        <v>0</v>
      </c>
      <c r="M1621">
        <v>0</v>
      </c>
      <c r="O1621" s="39"/>
      <c r="P1621" s="16">
        <v>142422.29999999999</v>
      </c>
      <c r="S1621" s="17"/>
    </row>
    <row r="1622" spans="1:19" x14ac:dyDescent="0.4">
      <c r="A1622">
        <v>8313774</v>
      </c>
      <c r="B1622" s="15">
        <v>27</v>
      </c>
      <c r="C1622" s="12" t="s">
        <v>122</v>
      </c>
      <c r="D1622" s="12" t="s">
        <v>134</v>
      </c>
      <c r="E1622" s="12" t="s">
        <v>152</v>
      </c>
      <c r="F1622" s="12" t="s">
        <v>159</v>
      </c>
      <c r="G1622" s="14">
        <f t="shared" ca="1" si="25"/>
        <v>90005.731713021843</v>
      </c>
      <c r="H1622" s="12" t="s">
        <v>172</v>
      </c>
      <c r="I1622">
        <v>0</v>
      </c>
      <c r="J1622">
        <v>50</v>
      </c>
      <c r="K1622" s="12" t="s">
        <v>176</v>
      </c>
      <c r="L1622">
        <v>0</v>
      </c>
      <c r="M1622">
        <v>0</v>
      </c>
      <c r="O1622" s="39"/>
      <c r="P1622" s="15">
        <v>55006.81</v>
      </c>
      <c r="S1622" s="17"/>
    </row>
    <row r="1623" spans="1:19" x14ac:dyDescent="0.4">
      <c r="A1623">
        <v>8314305</v>
      </c>
      <c r="B1623" s="16">
        <v>51</v>
      </c>
      <c r="C1623" s="12" t="s">
        <v>122</v>
      </c>
      <c r="D1623" s="12" t="s">
        <v>132</v>
      </c>
      <c r="E1623" s="12" t="s">
        <v>152</v>
      </c>
      <c r="F1623" s="12" t="s">
        <v>160</v>
      </c>
      <c r="G1623" s="14">
        <f t="shared" ca="1" si="25"/>
        <v>177445.56605206843</v>
      </c>
      <c r="H1623" s="12" t="s">
        <v>171</v>
      </c>
      <c r="I1623">
        <v>0</v>
      </c>
      <c r="J1623">
        <v>10</v>
      </c>
      <c r="K1623" s="12" t="s">
        <v>176</v>
      </c>
      <c r="L1623">
        <v>0</v>
      </c>
      <c r="M1623">
        <v>1</v>
      </c>
      <c r="O1623" s="39"/>
      <c r="P1623" s="16">
        <v>115990.3</v>
      </c>
      <c r="S1623" s="17"/>
    </row>
    <row r="1624" spans="1:19" x14ac:dyDescent="0.4">
      <c r="A1624">
        <v>8314903</v>
      </c>
      <c r="B1624" s="15">
        <v>30</v>
      </c>
      <c r="C1624" s="12" t="s">
        <v>122</v>
      </c>
      <c r="D1624" s="12" t="s">
        <v>134</v>
      </c>
      <c r="E1624" s="12" t="s">
        <v>150</v>
      </c>
      <c r="F1624" s="12" t="s">
        <v>156</v>
      </c>
      <c r="G1624" s="14">
        <f t="shared" ca="1" si="25"/>
        <v>69061.722989667251</v>
      </c>
      <c r="H1624" s="12" t="s">
        <v>172</v>
      </c>
      <c r="I1624">
        <v>0</v>
      </c>
      <c r="J1624">
        <v>40</v>
      </c>
      <c r="K1624" s="12" t="s">
        <v>186</v>
      </c>
      <c r="L1624">
        <v>0</v>
      </c>
      <c r="M1624">
        <v>0</v>
      </c>
      <c r="O1624" s="39"/>
      <c r="P1624" s="15">
        <v>37955.86</v>
      </c>
      <c r="S1624" s="17"/>
    </row>
    <row r="1625" spans="1:19" x14ac:dyDescent="0.4">
      <c r="A1625">
        <v>8315948</v>
      </c>
      <c r="B1625" s="16">
        <v>44</v>
      </c>
      <c r="C1625" s="12" t="s">
        <v>123</v>
      </c>
      <c r="D1625" s="12" t="s">
        <v>134</v>
      </c>
      <c r="E1625" s="12" t="s">
        <v>152</v>
      </c>
      <c r="F1625" s="12" t="s">
        <v>160</v>
      </c>
      <c r="G1625" s="14">
        <f t="shared" ca="1" si="25"/>
        <v>17719.769419487435</v>
      </c>
      <c r="H1625" s="12" t="s">
        <v>172</v>
      </c>
      <c r="I1625">
        <v>1977</v>
      </c>
      <c r="J1625">
        <v>45</v>
      </c>
      <c r="K1625" s="12" t="s">
        <v>176</v>
      </c>
      <c r="L1625">
        <v>5222</v>
      </c>
      <c r="M1625">
        <v>1</v>
      </c>
      <c r="O1625" s="39"/>
      <c r="P1625" s="16">
        <v>16006.97</v>
      </c>
      <c r="S1625" s="17"/>
    </row>
    <row r="1626" spans="1:19" x14ac:dyDescent="0.4">
      <c r="A1626">
        <v>8317579</v>
      </c>
      <c r="B1626" s="15">
        <v>47</v>
      </c>
      <c r="C1626" s="12" t="s">
        <v>123</v>
      </c>
      <c r="D1626" s="12" t="s">
        <v>135</v>
      </c>
      <c r="E1626" s="12" t="s">
        <v>152</v>
      </c>
      <c r="F1626" s="12" t="s">
        <v>162</v>
      </c>
      <c r="G1626" s="14">
        <f t="shared" ca="1" si="25"/>
        <v>61535.455897367086</v>
      </c>
      <c r="H1626" s="12" t="s">
        <v>172</v>
      </c>
      <c r="I1626">
        <v>0</v>
      </c>
      <c r="J1626">
        <v>40</v>
      </c>
      <c r="K1626" s="12" t="s">
        <v>176</v>
      </c>
      <c r="L1626">
        <v>0</v>
      </c>
      <c r="M1626">
        <v>0</v>
      </c>
      <c r="O1626" s="39"/>
      <c r="P1626" s="15">
        <v>55972.04</v>
      </c>
      <c r="S1626" s="17"/>
    </row>
    <row r="1627" spans="1:19" x14ac:dyDescent="0.4">
      <c r="A1627">
        <v>8318092</v>
      </c>
      <c r="B1627" s="16">
        <v>19</v>
      </c>
      <c r="C1627" s="12" t="s">
        <v>122</v>
      </c>
      <c r="D1627" s="12" t="s">
        <v>132</v>
      </c>
      <c r="E1627" s="12" t="s">
        <v>150</v>
      </c>
      <c r="F1627" s="12" t="s">
        <v>162</v>
      </c>
      <c r="G1627" s="14">
        <f t="shared" ca="1" si="25"/>
        <v>193598.27661410772</v>
      </c>
      <c r="H1627" s="12" t="s">
        <v>171</v>
      </c>
      <c r="I1627">
        <v>0</v>
      </c>
      <c r="J1627">
        <v>35</v>
      </c>
      <c r="K1627" s="12" t="s">
        <v>176</v>
      </c>
      <c r="L1627">
        <v>0</v>
      </c>
      <c r="M1627">
        <v>0</v>
      </c>
      <c r="O1627" s="39"/>
      <c r="P1627" s="16">
        <v>134671.12</v>
      </c>
      <c r="S1627" s="17"/>
    </row>
    <row r="1628" spans="1:19" x14ac:dyDescent="0.4">
      <c r="A1628">
        <v>8321288</v>
      </c>
      <c r="B1628" s="15">
        <v>31</v>
      </c>
      <c r="C1628" s="12" t="s">
        <v>122</v>
      </c>
      <c r="D1628" s="12" t="s">
        <v>134</v>
      </c>
      <c r="E1628" s="12" t="s">
        <v>151</v>
      </c>
      <c r="F1628" s="12" t="s">
        <v>144</v>
      </c>
      <c r="G1628" s="14">
        <f t="shared" ca="1" si="25"/>
        <v>77589.071027158701</v>
      </c>
      <c r="H1628" s="12" t="s">
        <v>171</v>
      </c>
      <c r="I1628">
        <v>0</v>
      </c>
      <c r="J1628">
        <v>40</v>
      </c>
      <c r="K1628" s="12" t="s">
        <v>176</v>
      </c>
      <c r="L1628">
        <v>0</v>
      </c>
      <c r="M1628">
        <v>0</v>
      </c>
      <c r="O1628" s="39"/>
      <c r="P1628" s="15">
        <v>48582.26</v>
      </c>
      <c r="S1628" s="17"/>
    </row>
    <row r="1629" spans="1:19" x14ac:dyDescent="0.4">
      <c r="A1629">
        <v>8323032</v>
      </c>
      <c r="B1629" s="16">
        <v>51</v>
      </c>
      <c r="C1629" s="12" t="s">
        <v>122</v>
      </c>
      <c r="D1629" s="12" t="s">
        <v>134</v>
      </c>
      <c r="E1629" s="12" t="s">
        <v>152</v>
      </c>
      <c r="F1629" s="12" t="s">
        <v>161</v>
      </c>
      <c r="G1629" s="14">
        <f t="shared" ca="1" si="25"/>
        <v>234661.48401909441</v>
      </c>
      <c r="H1629" s="12" t="s">
        <v>171</v>
      </c>
      <c r="I1629">
        <v>0</v>
      </c>
      <c r="J1629">
        <v>40</v>
      </c>
      <c r="K1629" s="12" t="s">
        <v>176</v>
      </c>
      <c r="L1629">
        <v>0</v>
      </c>
      <c r="M1629">
        <v>0</v>
      </c>
      <c r="O1629" s="39"/>
      <c r="P1629" s="16">
        <v>174275.99</v>
      </c>
      <c r="S1629" s="17"/>
    </row>
    <row r="1630" spans="1:19" x14ac:dyDescent="0.4">
      <c r="A1630">
        <v>8324743</v>
      </c>
      <c r="B1630" s="15">
        <v>38</v>
      </c>
      <c r="C1630" s="12" t="s">
        <v>122</v>
      </c>
      <c r="D1630" s="12" t="s">
        <v>132</v>
      </c>
      <c r="E1630" s="12" t="s">
        <v>152</v>
      </c>
      <c r="F1630" s="12" t="s">
        <v>164</v>
      </c>
      <c r="G1630" s="14">
        <f t="shared" ca="1" si="25"/>
        <v>36773.480636231994</v>
      </c>
      <c r="H1630" s="12" t="s">
        <v>172</v>
      </c>
      <c r="I1630">
        <v>0</v>
      </c>
      <c r="J1630">
        <v>40</v>
      </c>
      <c r="K1630" s="12" t="s">
        <v>176</v>
      </c>
      <c r="L1630">
        <v>0</v>
      </c>
      <c r="M1630">
        <v>0</v>
      </c>
      <c r="O1630" s="39"/>
      <c r="P1630" s="15">
        <v>26562.14</v>
      </c>
      <c r="S1630" s="17"/>
    </row>
    <row r="1631" spans="1:19" x14ac:dyDescent="0.4">
      <c r="A1631">
        <v>8325108</v>
      </c>
      <c r="B1631" s="16">
        <v>57</v>
      </c>
      <c r="C1631" s="12" t="s">
        <v>129</v>
      </c>
      <c r="D1631" s="12" t="s">
        <v>135</v>
      </c>
      <c r="E1631" s="12" t="s">
        <v>152</v>
      </c>
      <c r="F1631" s="12" t="s">
        <v>129</v>
      </c>
      <c r="G1631" s="14">
        <f t="shared" ca="1" si="25"/>
        <v>67316.398283554241</v>
      </c>
      <c r="H1631" s="12" t="s">
        <v>172</v>
      </c>
      <c r="I1631">
        <v>0</v>
      </c>
      <c r="J1631">
        <v>80</v>
      </c>
      <c r="K1631" s="12" t="s">
        <v>176</v>
      </c>
      <c r="L1631">
        <v>862</v>
      </c>
      <c r="M1631">
        <v>1</v>
      </c>
      <c r="O1631" s="39"/>
      <c r="P1631" s="16">
        <v>48118.23</v>
      </c>
      <c r="S1631" s="17"/>
    </row>
    <row r="1632" spans="1:19" x14ac:dyDescent="0.4">
      <c r="A1632">
        <v>8333893</v>
      </c>
      <c r="B1632" s="15">
        <v>28</v>
      </c>
      <c r="C1632" s="12" t="s">
        <v>122</v>
      </c>
      <c r="D1632" s="12" t="s">
        <v>132</v>
      </c>
      <c r="E1632" s="12" t="s">
        <v>152</v>
      </c>
      <c r="F1632" s="12" t="s">
        <v>159</v>
      </c>
      <c r="G1632" s="14">
        <f t="shared" ca="1" si="25"/>
        <v>26610.480477673409</v>
      </c>
      <c r="H1632" s="12" t="s">
        <v>172</v>
      </c>
      <c r="I1632">
        <v>0</v>
      </c>
      <c r="J1632">
        <v>60</v>
      </c>
      <c r="K1632" s="12" t="s">
        <v>176</v>
      </c>
      <c r="L1632">
        <v>10873</v>
      </c>
      <c r="M1632">
        <v>1</v>
      </c>
      <c r="O1632" s="39"/>
      <c r="P1632" s="15">
        <v>17654.509999999998</v>
      </c>
      <c r="S1632" s="17"/>
    </row>
    <row r="1633" spans="1:19" x14ac:dyDescent="0.4">
      <c r="A1633">
        <v>8336066</v>
      </c>
      <c r="B1633" s="16">
        <v>18</v>
      </c>
      <c r="C1633" s="12" t="s">
        <v>122</v>
      </c>
      <c r="D1633" s="12" t="s">
        <v>132</v>
      </c>
      <c r="E1633" s="12" t="s">
        <v>150</v>
      </c>
      <c r="F1633" s="12" t="s">
        <v>164</v>
      </c>
      <c r="G1633" s="14">
        <f t="shared" ca="1" si="25"/>
        <v>204995.4580188668</v>
      </c>
      <c r="H1633" s="12" t="s">
        <v>172</v>
      </c>
      <c r="I1633">
        <v>0</v>
      </c>
      <c r="J1633">
        <v>30</v>
      </c>
      <c r="K1633" s="12" t="s">
        <v>176</v>
      </c>
      <c r="L1633">
        <v>0</v>
      </c>
      <c r="M1633">
        <v>0</v>
      </c>
      <c r="O1633" s="39"/>
      <c r="P1633" s="16">
        <v>171712.27</v>
      </c>
      <c r="S1633" s="17"/>
    </row>
    <row r="1634" spans="1:19" x14ac:dyDescent="0.4">
      <c r="A1634">
        <v>8339919</v>
      </c>
      <c r="B1634" s="15">
        <v>21</v>
      </c>
      <c r="C1634" s="12" t="s">
        <v>122</v>
      </c>
      <c r="D1634" s="12" t="s">
        <v>137</v>
      </c>
      <c r="E1634" s="12" t="s">
        <v>150</v>
      </c>
      <c r="F1634" s="12" t="s">
        <v>159</v>
      </c>
      <c r="G1634" s="14">
        <f t="shared" ca="1" si="25"/>
        <v>396216.94388849952</v>
      </c>
      <c r="H1634" s="12" t="s">
        <v>172</v>
      </c>
      <c r="I1634">
        <v>0</v>
      </c>
      <c r="J1634">
        <v>40</v>
      </c>
      <c r="K1634" s="12" t="s">
        <v>176</v>
      </c>
      <c r="L1634">
        <v>0</v>
      </c>
      <c r="M1634">
        <v>0</v>
      </c>
      <c r="O1634" s="39"/>
      <c r="P1634" s="15">
        <v>328613.90999999997</v>
      </c>
      <c r="S1634" s="17"/>
    </row>
    <row r="1635" spans="1:19" x14ac:dyDescent="0.4">
      <c r="A1635">
        <v>8343688</v>
      </c>
      <c r="B1635" s="16">
        <v>29</v>
      </c>
      <c r="C1635" s="12" t="s">
        <v>122</v>
      </c>
      <c r="D1635" s="12" t="s">
        <v>132</v>
      </c>
      <c r="E1635" s="12" t="s">
        <v>150</v>
      </c>
      <c r="F1635" s="12" t="s">
        <v>164</v>
      </c>
      <c r="G1635" s="14">
        <f t="shared" ca="1" si="25"/>
        <v>71337.24711506661</v>
      </c>
      <c r="H1635" s="12" t="s">
        <v>172</v>
      </c>
      <c r="I1635">
        <v>0</v>
      </c>
      <c r="J1635">
        <v>45</v>
      </c>
      <c r="K1635" s="12" t="s">
        <v>176</v>
      </c>
      <c r="L1635">
        <v>0</v>
      </c>
      <c r="M1635">
        <v>0</v>
      </c>
      <c r="O1635" s="39"/>
      <c r="P1635" s="16">
        <v>36235.39</v>
      </c>
      <c r="S1635" s="17"/>
    </row>
    <row r="1636" spans="1:19" x14ac:dyDescent="0.4">
      <c r="A1636">
        <v>8348603</v>
      </c>
      <c r="B1636" s="15">
        <v>27</v>
      </c>
      <c r="C1636" s="12" t="s">
        <v>122</v>
      </c>
      <c r="D1636" s="12" t="s">
        <v>134</v>
      </c>
      <c r="E1636" s="12" t="s">
        <v>150</v>
      </c>
      <c r="F1636" s="12" t="s">
        <v>164</v>
      </c>
      <c r="G1636" s="14">
        <f t="shared" ca="1" si="25"/>
        <v>177770.54448560951</v>
      </c>
      <c r="H1636" s="12" t="s">
        <v>172</v>
      </c>
      <c r="I1636">
        <v>0</v>
      </c>
      <c r="J1636">
        <v>40</v>
      </c>
      <c r="K1636" s="12" t="s">
        <v>176</v>
      </c>
      <c r="L1636">
        <v>0</v>
      </c>
      <c r="M1636">
        <v>0</v>
      </c>
      <c r="O1636" s="39"/>
      <c r="P1636" s="15">
        <v>97778.54</v>
      </c>
      <c r="S1636" s="17"/>
    </row>
    <row r="1637" spans="1:19" x14ac:dyDescent="0.4">
      <c r="A1637">
        <v>8352499</v>
      </c>
      <c r="B1637" s="16">
        <v>44</v>
      </c>
      <c r="C1637" s="12" t="s">
        <v>122</v>
      </c>
      <c r="D1637" s="12" t="s">
        <v>134</v>
      </c>
      <c r="E1637" s="12" t="s">
        <v>151</v>
      </c>
      <c r="F1637" s="12" t="s">
        <v>163</v>
      </c>
      <c r="G1637" s="14">
        <f t="shared" ca="1" si="25"/>
        <v>173676.38364639433</v>
      </c>
      <c r="H1637" s="12" t="s">
        <v>172</v>
      </c>
      <c r="I1637">
        <v>0</v>
      </c>
      <c r="J1637">
        <v>50</v>
      </c>
      <c r="K1637" s="12" t="s">
        <v>176</v>
      </c>
      <c r="L1637">
        <v>2226</v>
      </c>
      <c r="M1637">
        <v>1</v>
      </c>
      <c r="O1637" s="39"/>
      <c r="P1637" s="16">
        <v>99107.21</v>
      </c>
      <c r="S1637" s="17"/>
    </row>
    <row r="1638" spans="1:19" x14ac:dyDescent="0.4">
      <c r="A1638">
        <v>8353600</v>
      </c>
      <c r="B1638" s="15">
        <v>74</v>
      </c>
      <c r="C1638" s="12" t="s">
        <v>123</v>
      </c>
      <c r="D1638" s="12" t="s">
        <v>135</v>
      </c>
      <c r="E1638" s="12" t="s">
        <v>152</v>
      </c>
      <c r="F1638" s="12" t="s">
        <v>160</v>
      </c>
      <c r="G1638" s="14">
        <f t="shared" ca="1" si="25"/>
        <v>32758.245220133893</v>
      </c>
      <c r="H1638" s="12" t="s">
        <v>172</v>
      </c>
      <c r="I1638">
        <v>0</v>
      </c>
      <c r="J1638">
        <v>10</v>
      </c>
      <c r="K1638" s="12" t="s">
        <v>176</v>
      </c>
      <c r="L1638">
        <v>0</v>
      </c>
      <c r="M1638">
        <v>0</v>
      </c>
      <c r="O1638" s="39"/>
      <c r="P1638" s="15">
        <v>28421.93</v>
      </c>
      <c r="S1638" s="17"/>
    </row>
    <row r="1639" spans="1:19" x14ac:dyDescent="0.4">
      <c r="A1639">
        <v>8364419</v>
      </c>
      <c r="B1639" s="16">
        <v>81</v>
      </c>
      <c r="C1639" s="12" t="s">
        <v>129</v>
      </c>
      <c r="D1639" s="12" t="s">
        <v>134</v>
      </c>
      <c r="E1639" s="12" t="s">
        <v>151</v>
      </c>
      <c r="F1639" s="12" t="s">
        <v>129</v>
      </c>
      <c r="G1639" s="14">
        <f t="shared" ca="1" si="25"/>
        <v>70577.90322562978</v>
      </c>
      <c r="H1639" s="12" t="s">
        <v>171</v>
      </c>
      <c r="I1639">
        <v>0</v>
      </c>
      <c r="J1639">
        <v>35</v>
      </c>
      <c r="K1639" s="12" t="s">
        <v>176</v>
      </c>
      <c r="L1639">
        <v>0</v>
      </c>
      <c r="M1639">
        <v>0</v>
      </c>
      <c r="O1639" s="39"/>
      <c r="P1639" s="16">
        <v>46306.58</v>
      </c>
      <c r="S1639" s="17"/>
    </row>
    <row r="1640" spans="1:19" x14ac:dyDescent="0.4">
      <c r="A1640">
        <v>8373715</v>
      </c>
      <c r="B1640" s="15">
        <v>42</v>
      </c>
      <c r="C1640" s="12" t="s">
        <v>122</v>
      </c>
      <c r="D1640" s="12" t="s">
        <v>132</v>
      </c>
      <c r="E1640" s="12" t="s">
        <v>152</v>
      </c>
      <c r="F1640" s="12" t="s">
        <v>156</v>
      </c>
      <c r="G1640" s="14">
        <f t="shared" ca="1" si="25"/>
        <v>334085.19704328536</v>
      </c>
      <c r="H1640" s="12" t="s">
        <v>171</v>
      </c>
      <c r="I1640">
        <v>0</v>
      </c>
      <c r="J1640">
        <v>30</v>
      </c>
      <c r="K1640" s="12" t="s">
        <v>176</v>
      </c>
      <c r="L1640">
        <v>0</v>
      </c>
      <c r="M1640">
        <v>0</v>
      </c>
      <c r="O1640" s="39"/>
      <c r="P1640" s="15">
        <v>255829.6</v>
      </c>
      <c r="S1640" s="17"/>
    </row>
    <row r="1641" spans="1:19" x14ac:dyDescent="0.4">
      <c r="A1641">
        <v>8384491</v>
      </c>
      <c r="B1641" s="16">
        <v>71</v>
      </c>
      <c r="C1641" s="12" t="s">
        <v>126</v>
      </c>
      <c r="D1641" s="12" t="s">
        <v>144</v>
      </c>
      <c r="E1641" s="12" t="s">
        <v>152</v>
      </c>
      <c r="F1641" s="12" t="s">
        <v>156</v>
      </c>
      <c r="G1641" s="14">
        <f t="shared" ca="1" si="25"/>
        <v>33519.381481988108</v>
      </c>
      <c r="H1641" s="12" t="s">
        <v>172</v>
      </c>
      <c r="I1641">
        <v>0</v>
      </c>
      <c r="J1641">
        <v>28</v>
      </c>
      <c r="K1641" s="12" t="s">
        <v>176</v>
      </c>
      <c r="L1641">
        <v>0</v>
      </c>
      <c r="M1641">
        <v>0</v>
      </c>
      <c r="O1641" s="39"/>
      <c r="P1641" s="16">
        <v>30615.09</v>
      </c>
      <c r="S1641" s="17"/>
    </row>
    <row r="1642" spans="1:19" x14ac:dyDescent="0.4">
      <c r="A1642">
        <v>8389223</v>
      </c>
      <c r="B1642" s="15">
        <v>25</v>
      </c>
      <c r="C1642" s="12" t="s">
        <v>125</v>
      </c>
      <c r="D1642" s="12" t="s">
        <v>135</v>
      </c>
      <c r="E1642" s="12" t="s">
        <v>150</v>
      </c>
      <c r="F1642" s="12" t="s">
        <v>163</v>
      </c>
      <c r="G1642" s="14">
        <f t="shared" ca="1" si="25"/>
        <v>260817.28813489157</v>
      </c>
      <c r="H1642" s="12" t="s">
        <v>171</v>
      </c>
      <c r="I1642">
        <v>0</v>
      </c>
      <c r="J1642">
        <v>40</v>
      </c>
      <c r="K1642" s="12" t="s">
        <v>183</v>
      </c>
      <c r="L1642">
        <v>0</v>
      </c>
      <c r="M1642">
        <v>0</v>
      </c>
      <c r="O1642" s="39"/>
      <c r="P1642" s="15">
        <v>140931.66</v>
      </c>
      <c r="S1642" s="17"/>
    </row>
    <row r="1643" spans="1:19" x14ac:dyDescent="0.4">
      <c r="A1643">
        <v>8394164</v>
      </c>
      <c r="B1643" s="16">
        <v>57</v>
      </c>
      <c r="C1643" s="12" t="s">
        <v>126</v>
      </c>
      <c r="D1643" s="12" t="s">
        <v>134</v>
      </c>
      <c r="E1643" s="12" t="s">
        <v>152</v>
      </c>
      <c r="F1643" s="12" t="s">
        <v>160</v>
      </c>
      <c r="G1643" s="14">
        <f t="shared" ca="1" si="25"/>
        <v>52434.469415036547</v>
      </c>
      <c r="H1643" s="12" t="s">
        <v>172</v>
      </c>
      <c r="I1643">
        <v>0</v>
      </c>
      <c r="J1643">
        <v>40</v>
      </c>
      <c r="K1643" s="12" t="s">
        <v>176</v>
      </c>
      <c r="L1643">
        <v>-199</v>
      </c>
      <c r="M1643">
        <v>1</v>
      </c>
      <c r="O1643" s="39"/>
      <c r="P1643" s="16">
        <v>42016.25</v>
      </c>
      <c r="S1643" s="17"/>
    </row>
    <row r="1644" spans="1:19" x14ac:dyDescent="0.4">
      <c r="A1644">
        <v>8400906</v>
      </c>
      <c r="B1644" s="15">
        <v>69</v>
      </c>
      <c r="C1644" s="12" t="s">
        <v>129</v>
      </c>
      <c r="D1644" s="12" t="s">
        <v>134</v>
      </c>
      <c r="E1644" s="12" t="s">
        <v>152</v>
      </c>
      <c r="F1644" s="12" t="s">
        <v>129</v>
      </c>
      <c r="G1644" s="14">
        <f t="shared" ca="1" si="25"/>
        <v>58694.226889542777</v>
      </c>
      <c r="H1644" s="12" t="s">
        <v>172</v>
      </c>
      <c r="I1644">
        <v>0</v>
      </c>
      <c r="J1644">
        <v>60</v>
      </c>
      <c r="K1644" s="12" t="s">
        <v>176</v>
      </c>
      <c r="L1644">
        <v>12704</v>
      </c>
      <c r="M1644">
        <v>1</v>
      </c>
      <c r="O1644" s="39"/>
      <c r="P1644" s="15">
        <v>35555.199999999997</v>
      </c>
      <c r="S1644" s="17"/>
    </row>
    <row r="1645" spans="1:19" x14ac:dyDescent="0.4">
      <c r="A1645">
        <v>8400999</v>
      </c>
      <c r="B1645" s="16">
        <v>66</v>
      </c>
      <c r="C1645" s="12" t="s">
        <v>122</v>
      </c>
      <c r="D1645" s="12" t="s">
        <v>132</v>
      </c>
      <c r="E1645" s="12" t="s">
        <v>152</v>
      </c>
      <c r="F1645" s="12" t="s">
        <v>162</v>
      </c>
      <c r="G1645" s="14">
        <f t="shared" ca="1" si="25"/>
        <v>27523.343498346389</v>
      </c>
      <c r="H1645" s="12" t="s">
        <v>172</v>
      </c>
      <c r="I1645">
        <v>0</v>
      </c>
      <c r="J1645">
        <v>28</v>
      </c>
      <c r="K1645" s="12" t="s">
        <v>176</v>
      </c>
      <c r="L1645">
        <v>0</v>
      </c>
      <c r="M1645">
        <v>0</v>
      </c>
      <c r="O1645" s="39"/>
      <c r="P1645" s="16">
        <v>24719.18</v>
      </c>
      <c r="S1645" s="17"/>
    </row>
    <row r="1646" spans="1:19" x14ac:dyDescent="0.4">
      <c r="A1646">
        <v>8403547</v>
      </c>
      <c r="B1646" s="15">
        <v>52</v>
      </c>
      <c r="C1646" s="12" t="s">
        <v>122</v>
      </c>
      <c r="D1646" s="12" t="s">
        <v>143</v>
      </c>
      <c r="E1646" s="12" t="s">
        <v>154</v>
      </c>
      <c r="F1646" s="12" t="s">
        <v>159</v>
      </c>
      <c r="G1646" s="14">
        <f t="shared" ca="1" si="25"/>
        <v>33632.809201764176</v>
      </c>
      <c r="H1646" s="12" t="s">
        <v>172</v>
      </c>
      <c r="I1646">
        <v>0</v>
      </c>
      <c r="J1646">
        <v>40</v>
      </c>
      <c r="K1646" s="12" t="s">
        <v>179</v>
      </c>
      <c r="L1646">
        <v>0</v>
      </c>
      <c r="M1646">
        <v>0</v>
      </c>
      <c r="O1646" s="39"/>
      <c r="P1646" s="15">
        <v>21917.9</v>
      </c>
      <c r="S1646" s="17"/>
    </row>
    <row r="1647" spans="1:19" x14ac:dyDescent="0.4">
      <c r="A1647">
        <v>8403735</v>
      </c>
      <c r="B1647" s="16">
        <v>48</v>
      </c>
      <c r="C1647" s="12" t="s">
        <v>122</v>
      </c>
      <c r="D1647" s="12" t="s">
        <v>133</v>
      </c>
      <c r="E1647" s="12" t="s">
        <v>151</v>
      </c>
      <c r="F1647" s="12" t="s">
        <v>158</v>
      </c>
      <c r="G1647" s="14">
        <f t="shared" ca="1" si="25"/>
        <v>229334.12733767886</v>
      </c>
      <c r="H1647" s="12" t="s">
        <v>171</v>
      </c>
      <c r="I1647">
        <v>0</v>
      </c>
      <c r="J1647">
        <v>40</v>
      </c>
      <c r="K1647" s="12" t="s">
        <v>176</v>
      </c>
      <c r="L1647">
        <v>0</v>
      </c>
      <c r="M1647">
        <v>0</v>
      </c>
      <c r="O1647" s="39"/>
      <c r="P1647" s="16">
        <v>177468.71</v>
      </c>
      <c r="S1647" s="17"/>
    </row>
    <row r="1648" spans="1:19" x14ac:dyDescent="0.4">
      <c r="A1648">
        <v>8404676</v>
      </c>
      <c r="B1648" s="15">
        <v>40</v>
      </c>
      <c r="C1648" s="12" t="s">
        <v>122</v>
      </c>
      <c r="D1648" s="12" t="s">
        <v>133</v>
      </c>
      <c r="E1648" s="12" t="s">
        <v>150</v>
      </c>
      <c r="F1648" s="12" t="s">
        <v>163</v>
      </c>
      <c r="G1648" s="14">
        <f t="shared" ca="1" si="25"/>
        <v>105615.82734300342</v>
      </c>
      <c r="H1648" s="12" t="s">
        <v>172</v>
      </c>
      <c r="I1648">
        <v>0</v>
      </c>
      <c r="J1648">
        <v>40</v>
      </c>
      <c r="K1648" s="12" t="s">
        <v>176</v>
      </c>
      <c r="L1648">
        <v>0</v>
      </c>
      <c r="M1648">
        <v>0</v>
      </c>
      <c r="O1648" s="39"/>
      <c r="P1648" s="15">
        <v>61930.879999999997</v>
      </c>
      <c r="S1648" s="17"/>
    </row>
    <row r="1649" spans="1:19" x14ac:dyDescent="0.4">
      <c r="A1649">
        <v>8406414</v>
      </c>
      <c r="B1649" s="16">
        <v>22</v>
      </c>
      <c r="C1649" s="12" t="s">
        <v>122</v>
      </c>
      <c r="D1649" s="12" t="s">
        <v>137</v>
      </c>
      <c r="E1649" s="12" t="s">
        <v>150</v>
      </c>
      <c r="F1649" s="12" t="s">
        <v>159</v>
      </c>
      <c r="G1649" s="14">
        <f t="shared" ca="1" si="25"/>
        <v>149946.73682383334</v>
      </c>
      <c r="H1649" s="12" t="s">
        <v>172</v>
      </c>
      <c r="I1649">
        <v>0</v>
      </c>
      <c r="J1649">
        <v>44</v>
      </c>
      <c r="K1649" s="12" t="s">
        <v>176</v>
      </c>
      <c r="L1649">
        <v>0</v>
      </c>
      <c r="M1649">
        <v>0</v>
      </c>
      <c r="O1649" s="39"/>
      <c r="P1649" s="16">
        <v>115747.3</v>
      </c>
      <c r="S1649" s="17"/>
    </row>
    <row r="1650" spans="1:19" x14ac:dyDescent="0.4">
      <c r="A1650">
        <v>8408662</v>
      </c>
      <c r="B1650" s="15">
        <v>29</v>
      </c>
      <c r="C1650" s="12" t="s">
        <v>122</v>
      </c>
      <c r="D1650" s="12" t="s">
        <v>133</v>
      </c>
      <c r="E1650" s="12" t="s">
        <v>150</v>
      </c>
      <c r="F1650" s="12" t="s">
        <v>144</v>
      </c>
      <c r="G1650" s="14">
        <f t="shared" ca="1" si="25"/>
        <v>158405.59421052871</v>
      </c>
      <c r="H1650" s="12" t="s">
        <v>171</v>
      </c>
      <c r="I1650">
        <v>0</v>
      </c>
      <c r="J1650">
        <v>40</v>
      </c>
      <c r="K1650" s="12" t="s">
        <v>176</v>
      </c>
      <c r="L1650">
        <v>8614</v>
      </c>
      <c r="M1650">
        <v>1</v>
      </c>
      <c r="O1650" s="39"/>
      <c r="P1650" s="15">
        <v>83661</v>
      </c>
      <c r="S1650" s="17"/>
    </row>
    <row r="1651" spans="1:19" x14ac:dyDescent="0.4">
      <c r="A1651">
        <v>8415896</v>
      </c>
      <c r="B1651" s="16">
        <v>51</v>
      </c>
      <c r="C1651" s="12" t="s">
        <v>122</v>
      </c>
      <c r="D1651" s="12" t="s">
        <v>135</v>
      </c>
      <c r="E1651" s="12" t="s">
        <v>152</v>
      </c>
      <c r="F1651" s="12" t="s">
        <v>162</v>
      </c>
      <c r="G1651" s="14">
        <f t="shared" ca="1" si="25"/>
        <v>84643.904501887533</v>
      </c>
      <c r="H1651" s="12" t="s">
        <v>172</v>
      </c>
      <c r="I1651">
        <v>0</v>
      </c>
      <c r="J1651">
        <v>50</v>
      </c>
      <c r="K1651" s="12" t="s">
        <v>176</v>
      </c>
      <c r="L1651">
        <v>7688</v>
      </c>
      <c r="M1651">
        <v>1</v>
      </c>
      <c r="O1651" s="39"/>
      <c r="P1651" s="16">
        <v>73559.69</v>
      </c>
      <c r="S1651" s="17"/>
    </row>
    <row r="1652" spans="1:19" x14ac:dyDescent="0.4">
      <c r="A1652">
        <v>8421755</v>
      </c>
      <c r="B1652" s="15">
        <v>38</v>
      </c>
      <c r="C1652" s="12" t="s">
        <v>122</v>
      </c>
      <c r="D1652" s="12" t="s">
        <v>134</v>
      </c>
      <c r="E1652" s="12" t="s">
        <v>149</v>
      </c>
      <c r="F1652" s="12" t="s">
        <v>162</v>
      </c>
      <c r="G1652" s="14">
        <f t="shared" ca="1" si="25"/>
        <v>356875.46984488401</v>
      </c>
      <c r="H1652" s="12" t="s">
        <v>171</v>
      </c>
      <c r="I1652">
        <v>0</v>
      </c>
      <c r="J1652">
        <v>10</v>
      </c>
      <c r="K1652" s="12" t="s">
        <v>176</v>
      </c>
      <c r="L1652">
        <v>0</v>
      </c>
      <c r="M1652">
        <v>0</v>
      </c>
      <c r="O1652" s="39"/>
      <c r="P1652" s="15">
        <v>248069.91</v>
      </c>
      <c r="S1652" s="17"/>
    </row>
    <row r="1653" spans="1:19" x14ac:dyDescent="0.4">
      <c r="A1653">
        <v>8426368</v>
      </c>
      <c r="B1653" s="16">
        <v>26</v>
      </c>
      <c r="C1653" s="12" t="s">
        <v>122</v>
      </c>
      <c r="D1653" s="12" t="s">
        <v>140</v>
      </c>
      <c r="E1653" s="12" t="s">
        <v>150</v>
      </c>
      <c r="F1653" s="12" t="s">
        <v>158</v>
      </c>
      <c r="G1653" s="14">
        <f t="shared" ca="1" si="25"/>
        <v>48027.78889105298</v>
      </c>
      <c r="H1653" s="12" t="s">
        <v>171</v>
      </c>
      <c r="I1653">
        <v>0</v>
      </c>
      <c r="J1653">
        <v>40</v>
      </c>
      <c r="K1653" s="12" t="s">
        <v>176</v>
      </c>
      <c r="L1653">
        <v>0</v>
      </c>
      <c r="M1653">
        <v>0</v>
      </c>
      <c r="O1653" s="39"/>
      <c r="P1653" s="16">
        <v>29335.26</v>
      </c>
      <c r="S1653" s="17"/>
    </row>
    <row r="1654" spans="1:19" x14ac:dyDescent="0.4">
      <c r="A1654">
        <v>8426774</v>
      </c>
      <c r="B1654" s="15">
        <v>23</v>
      </c>
      <c r="C1654" s="12" t="s">
        <v>122</v>
      </c>
      <c r="D1654" s="12" t="s">
        <v>134</v>
      </c>
      <c r="E1654" s="12" t="s">
        <v>152</v>
      </c>
      <c r="F1654" s="12" t="s">
        <v>162</v>
      </c>
      <c r="G1654" s="14">
        <f t="shared" ca="1" si="25"/>
        <v>47090.713040844021</v>
      </c>
      <c r="H1654" s="12" t="s">
        <v>172</v>
      </c>
      <c r="I1654">
        <v>0</v>
      </c>
      <c r="J1654">
        <v>45</v>
      </c>
      <c r="K1654" s="12" t="s">
        <v>176</v>
      </c>
      <c r="L1654">
        <v>0</v>
      </c>
      <c r="M1654">
        <v>0</v>
      </c>
      <c r="O1654" s="39"/>
      <c r="P1654" s="15">
        <v>35654.11</v>
      </c>
      <c r="S1654" s="17"/>
    </row>
    <row r="1655" spans="1:19" x14ac:dyDescent="0.4">
      <c r="A1655">
        <v>8428521</v>
      </c>
      <c r="B1655" s="16">
        <v>27</v>
      </c>
      <c r="C1655" s="12" t="s">
        <v>122</v>
      </c>
      <c r="D1655" s="12" t="s">
        <v>135</v>
      </c>
      <c r="E1655" s="12" t="s">
        <v>152</v>
      </c>
      <c r="F1655" s="12" t="s">
        <v>162</v>
      </c>
      <c r="G1655" s="14">
        <f t="shared" ca="1" si="25"/>
        <v>44979.893921202813</v>
      </c>
      <c r="H1655" s="12" t="s">
        <v>172</v>
      </c>
      <c r="I1655">
        <v>0</v>
      </c>
      <c r="J1655">
        <v>25</v>
      </c>
      <c r="K1655" s="12" t="s">
        <v>129</v>
      </c>
      <c r="L1655">
        <v>0</v>
      </c>
      <c r="M1655">
        <v>0</v>
      </c>
      <c r="O1655" s="39"/>
      <c r="P1655" s="16">
        <v>42056.01</v>
      </c>
      <c r="S1655" s="17"/>
    </row>
    <row r="1656" spans="1:19" x14ac:dyDescent="0.4">
      <c r="A1656">
        <v>8429135</v>
      </c>
      <c r="B1656" s="15">
        <v>67</v>
      </c>
      <c r="C1656" s="12" t="s">
        <v>124</v>
      </c>
      <c r="D1656" s="12" t="s">
        <v>134</v>
      </c>
      <c r="E1656" s="12" t="s">
        <v>152</v>
      </c>
      <c r="F1656" s="12" t="s">
        <v>160</v>
      </c>
      <c r="G1656" s="14">
        <f t="shared" ca="1" si="25"/>
        <v>73797.17567485066</v>
      </c>
      <c r="H1656" s="12" t="s">
        <v>172</v>
      </c>
      <c r="I1656">
        <v>0</v>
      </c>
      <c r="J1656">
        <v>40</v>
      </c>
      <c r="K1656" s="12" t="s">
        <v>176</v>
      </c>
      <c r="L1656">
        <v>0</v>
      </c>
      <c r="M1656">
        <v>1</v>
      </c>
      <c r="O1656" s="39"/>
      <c r="P1656" s="15">
        <v>46082.74</v>
      </c>
      <c r="S1656" s="17"/>
    </row>
    <row r="1657" spans="1:19" x14ac:dyDescent="0.4">
      <c r="A1657">
        <v>8430910</v>
      </c>
      <c r="B1657" s="16">
        <v>22</v>
      </c>
      <c r="C1657" s="12" t="s">
        <v>122</v>
      </c>
      <c r="D1657" s="12" t="s">
        <v>143</v>
      </c>
      <c r="E1657" s="12" t="s">
        <v>152</v>
      </c>
      <c r="F1657" s="12" t="s">
        <v>156</v>
      </c>
      <c r="G1657" s="14">
        <f t="shared" ca="1" si="25"/>
        <v>48594.349459153527</v>
      </c>
      <c r="H1657" s="12" t="s">
        <v>172</v>
      </c>
      <c r="I1657">
        <v>0</v>
      </c>
      <c r="J1657">
        <v>40</v>
      </c>
      <c r="K1657" s="12" t="s">
        <v>194</v>
      </c>
      <c r="L1657">
        <v>0</v>
      </c>
      <c r="M1657">
        <v>0</v>
      </c>
      <c r="O1657" s="39"/>
      <c r="P1657" s="16">
        <v>33721.18</v>
      </c>
      <c r="S1657" s="17"/>
    </row>
    <row r="1658" spans="1:19" x14ac:dyDescent="0.4">
      <c r="A1658">
        <v>8431638</v>
      </c>
      <c r="B1658" s="15">
        <v>59</v>
      </c>
      <c r="C1658" s="12" t="s">
        <v>124</v>
      </c>
      <c r="D1658" s="12" t="s">
        <v>132</v>
      </c>
      <c r="E1658" s="12" t="s">
        <v>152</v>
      </c>
      <c r="F1658" s="12" t="s">
        <v>160</v>
      </c>
      <c r="G1658" s="14">
        <f t="shared" ca="1" si="25"/>
        <v>32114.992159893543</v>
      </c>
      <c r="H1658" s="12" t="s">
        <v>172</v>
      </c>
      <c r="I1658">
        <v>0</v>
      </c>
      <c r="J1658">
        <v>60</v>
      </c>
      <c r="K1658" s="12" t="s">
        <v>176</v>
      </c>
      <c r="L1658">
        <v>15024</v>
      </c>
      <c r="M1658">
        <v>1</v>
      </c>
      <c r="O1658" s="39"/>
      <c r="P1658" s="15">
        <v>18173.599999999999</v>
      </c>
      <c r="S1658" s="17"/>
    </row>
    <row r="1659" spans="1:19" x14ac:dyDescent="0.4">
      <c r="A1659">
        <v>8437953</v>
      </c>
      <c r="B1659" s="16">
        <v>35</v>
      </c>
      <c r="C1659" s="12" t="s">
        <v>122</v>
      </c>
      <c r="D1659" s="12" t="s">
        <v>132</v>
      </c>
      <c r="E1659" s="12" t="s">
        <v>152</v>
      </c>
      <c r="F1659" s="12" t="s">
        <v>162</v>
      </c>
      <c r="G1659" s="14">
        <f t="shared" ca="1" si="25"/>
        <v>41221.182947162677</v>
      </c>
      <c r="H1659" s="12" t="s">
        <v>172</v>
      </c>
      <c r="I1659">
        <v>0</v>
      </c>
      <c r="J1659">
        <v>40</v>
      </c>
      <c r="K1659" s="12" t="s">
        <v>176</v>
      </c>
      <c r="L1659">
        <v>0</v>
      </c>
      <c r="M1659">
        <v>0</v>
      </c>
      <c r="O1659" s="39"/>
      <c r="P1659" s="16">
        <v>32143.1</v>
      </c>
      <c r="S1659" s="17"/>
    </row>
    <row r="1660" spans="1:19" x14ac:dyDescent="0.4">
      <c r="A1660">
        <v>8439128</v>
      </c>
      <c r="B1660" s="15">
        <v>28</v>
      </c>
      <c r="C1660" s="12" t="s">
        <v>122</v>
      </c>
      <c r="D1660" s="12" t="s">
        <v>135</v>
      </c>
      <c r="E1660" s="12" t="s">
        <v>152</v>
      </c>
      <c r="F1660" s="12" t="s">
        <v>156</v>
      </c>
      <c r="G1660" s="14">
        <f t="shared" ca="1" si="25"/>
        <v>50887.392103737577</v>
      </c>
      <c r="H1660" s="12" t="s">
        <v>172</v>
      </c>
      <c r="I1660">
        <v>0</v>
      </c>
      <c r="J1660">
        <v>40</v>
      </c>
      <c r="K1660" s="12" t="s">
        <v>176</v>
      </c>
      <c r="L1660">
        <v>0</v>
      </c>
      <c r="M1660">
        <v>0</v>
      </c>
      <c r="O1660" s="39"/>
      <c r="P1660" s="15">
        <v>26201.5</v>
      </c>
      <c r="S1660" s="17"/>
    </row>
    <row r="1661" spans="1:19" x14ac:dyDescent="0.4">
      <c r="A1661">
        <v>8441043</v>
      </c>
      <c r="B1661" s="16">
        <v>54</v>
      </c>
      <c r="C1661" s="12" t="s">
        <v>122</v>
      </c>
      <c r="D1661" s="12" t="s">
        <v>140</v>
      </c>
      <c r="E1661" s="12" t="s">
        <v>152</v>
      </c>
      <c r="F1661" s="12" t="s">
        <v>164</v>
      </c>
      <c r="G1661" s="14">
        <f t="shared" ca="1" si="25"/>
        <v>44743.092536503122</v>
      </c>
      <c r="H1661" s="12" t="s">
        <v>172</v>
      </c>
      <c r="I1661">
        <v>0</v>
      </c>
      <c r="J1661">
        <v>40</v>
      </c>
      <c r="K1661" s="12" t="s">
        <v>176</v>
      </c>
      <c r="L1661">
        <v>0</v>
      </c>
      <c r="M1661">
        <v>0</v>
      </c>
      <c r="O1661" s="39"/>
      <c r="P1661" s="16">
        <v>30844.18</v>
      </c>
      <c r="S1661" s="17"/>
    </row>
    <row r="1662" spans="1:19" x14ac:dyDescent="0.4">
      <c r="A1662">
        <v>8443516</v>
      </c>
      <c r="B1662" s="15">
        <v>18</v>
      </c>
      <c r="C1662" s="12" t="s">
        <v>122</v>
      </c>
      <c r="D1662" s="12" t="s">
        <v>139</v>
      </c>
      <c r="E1662" s="12" t="s">
        <v>150</v>
      </c>
      <c r="F1662" s="12" t="s">
        <v>156</v>
      </c>
      <c r="G1662" s="14">
        <f t="shared" ca="1" si="25"/>
        <v>213105.72801985746</v>
      </c>
      <c r="H1662" s="12" t="s">
        <v>172</v>
      </c>
      <c r="I1662">
        <v>0</v>
      </c>
      <c r="J1662">
        <v>20</v>
      </c>
      <c r="K1662" s="12" t="s">
        <v>176</v>
      </c>
      <c r="L1662">
        <v>0</v>
      </c>
      <c r="M1662">
        <v>0</v>
      </c>
      <c r="O1662" s="39"/>
      <c r="P1662" s="15">
        <v>114950.17</v>
      </c>
      <c r="S1662" s="17"/>
    </row>
    <row r="1663" spans="1:19" x14ac:dyDescent="0.4">
      <c r="A1663">
        <v>8444792</v>
      </c>
      <c r="B1663" s="16">
        <v>31</v>
      </c>
      <c r="C1663" s="12" t="s">
        <v>122</v>
      </c>
      <c r="D1663" s="12" t="s">
        <v>132</v>
      </c>
      <c r="E1663" s="12" t="s">
        <v>152</v>
      </c>
      <c r="F1663" s="12" t="s">
        <v>159</v>
      </c>
      <c r="G1663" s="14">
        <f t="shared" ca="1" si="25"/>
        <v>48425.729474773856</v>
      </c>
      <c r="H1663" s="12" t="s">
        <v>172</v>
      </c>
      <c r="I1663">
        <v>0</v>
      </c>
      <c r="J1663">
        <v>40</v>
      </c>
      <c r="K1663" s="12" t="s">
        <v>176</v>
      </c>
      <c r="L1663">
        <v>3102</v>
      </c>
      <c r="M1663">
        <v>1</v>
      </c>
      <c r="O1663" s="39"/>
      <c r="P1663" s="16">
        <v>43796.160000000003</v>
      </c>
      <c r="S1663" s="17"/>
    </row>
    <row r="1664" spans="1:19" x14ac:dyDescent="0.4">
      <c r="A1664">
        <v>8445724</v>
      </c>
      <c r="B1664" s="15">
        <v>45</v>
      </c>
      <c r="C1664" s="12" t="s">
        <v>124</v>
      </c>
      <c r="D1664" s="12" t="s">
        <v>134</v>
      </c>
      <c r="E1664" s="12" t="s">
        <v>152</v>
      </c>
      <c r="F1664" s="12" t="s">
        <v>160</v>
      </c>
      <c r="G1664" s="14">
        <f t="shared" ca="1" si="25"/>
        <v>49831.456928596424</v>
      </c>
      <c r="H1664" s="12" t="s">
        <v>172</v>
      </c>
      <c r="I1664">
        <v>0</v>
      </c>
      <c r="J1664">
        <v>55</v>
      </c>
      <c r="K1664" s="12" t="s">
        <v>176</v>
      </c>
      <c r="L1664">
        <v>15024</v>
      </c>
      <c r="M1664">
        <v>1</v>
      </c>
      <c r="O1664" s="39"/>
      <c r="P1664" s="15">
        <v>30706.26</v>
      </c>
      <c r="S1664" s="17"/>
    </row>
    <row r="1665" spans="1:19" x14ac:dyDescent="0.4">
      <c r="A1665">
        <v>8447194</v>
      </c>
      <c r="B1665" s="16">
        <v>27</v>
      </c>
      <c r="C1665" s="12" t="s">
        <v>122</v>
      </c>
      <c r="D1665" s="12" t="s">
        <v>132</v>
      </c>
      <c r="E1665" s="12" t="s">
        <v>151</v>
      </c>
      <c r="F1665" s="12" t="s">
        <v>160</v>
      </c>
      <c r="G1665" s="14">
        <f t="shared" ca="1" si="25"/>
        <v>458694.83090610401</v>
      </c>
      <c r="H1665" s="12" t="s">
        <v>171</v>
      </c>
      <c r="I1665">
        <v>0</v>
      </c>
      <c r="J1665">
        <v>40</v>
      </c>
      <c r="K1665" s="12" t="s">
        <v>176</v>
      </c>
      <c r="L1665">
        <v>0</v>
      </c>
      <c r="M1665">
        <v>0</v>
      </c>
      <c r="O1665" s="39"/>
      <c r="P1665" s="16">
        <v>291269.15000000002</v>
      </c>
      <c r="S1665" s="17"/>
    </row>
    <row r="1666" spans="1:19" x14ac:dyDescent="0.4">
      <c r="A1666">
        <v>8448544</v>
      </c>
      <c r="B1666" s="15">
        <v>49</v>
      </c>
      <c r="C1666" s="12" t="s">
        <v>122</v>
      </c>
      <c r="D1666" s="12" t="s">
        <v>137</v>
      </c>
      <c r="E1666" s="12" t="s">
        <v>151</v>
      </c>
      <c r="F1666" s="12" t="s">
        <v>163</v>
      </c>
      <c r="G1666" s="14">
        <f t="shared" ca="1" si="25"/>
        <v>230661.1490754759</v>
      </c>
      <c r="H1666" s="12" t="s">
        <v>171</v>
      </c>
      <c r="I1666">
        <v>0</v>
      </c>
      <c r="J1666">
        <v>40</v>
      </c>
      <c r="K1666" s="12" t="s">
        <v>176</v>
      </c>
      <c r="L1666">
        <v>0</v>
      </c>
      <c r="M1666">
        <v>0</v>
      </c>
      <c r="O1666" s="39"/>
      <c r="P1666" s="15">
        <v>175877.19</v>
      </c>
      <c r="S1666" s="17"/>
    </row>
    <row r="1667" spans="1:19" x14ac:dyDescent="0.4">
      <c r="A1667">
        <v>8454327</v>
      </c>
      <c r="B1667" s="16">
        <v>53</v>
      </c>
      <c r="C1667" s="12" t="s">
        <v>122</v>
      </c>
      <c r="D1667" s="12" t="s">
        <v>134</v>
      </c>
      <c r="E1667" s="12" t="s">
        <v>152</v>
      </c>
      <c r="F1667" s="12" t="s">
        <v>157</v>
      </c>
      <c r="G1667" s="14">
        <f t="shared" ca="1" si="25"/>
        <v>45643.087379500925</v>
      </c>
      <c r="H1667" s="12" t="s">
        <v>172</v>
      </c>
      <c r="I1667">
        <v>0</v>
      </c>
      <c r="J1667">
        <v>40</v>
      </c>
      <c r="K1667" s="12" t="s">
        <v>176</v>
      </c>
      <c r="L1667">
        <v>10750</v>
      </c>
      <c r="M1667">
        <v>1</v>
      </c>
      <c r="O1667" s="39"/>
      <c r="P1667" s="16">
        <v>33204.379999999997</v>
      </c>
      <c r="S1667" s="17"/>
    </row>
    <row r="1668" spans="1:19" x14ac:dyDescent="0.4">
      <c r="A1668">
        <v>8456007</v>
      </c>
      <c r="B1668" s="15">
        <v>38</v>
      </c>
      <c r="C1668" s="12" t="s">
        <v>127</v>
      </c>
      <c r="D1668" s="12" t="s">
        <v>132</v>
      </c>
      <c r="E1668" s="12" t="s">
        <v>151</v>
      </c>
      <c r="F1668" s="12" t="s">
        <v>158</v>
      </c>
      <c r="G1668" s="14">
        <f t="shared" ca="1" si="25"/>
        <v>320133.12782301096</v>
      </c>
      <c r="H1668" s="12" t="s">
        <v>171</v>
      </c>
      <c r="I1668">
        <v>0</v>
      </c>
      <c r="J1668">
        <v>40</v>
      </c>
      <c r="K1668" s="12" t="s">
        <v>176</v>
      </c>
      <c r="L1668">
        <v>0</v>
      </c>
      <c r="M1668">
        <v>0</v>
      </c>
      <c r="O1668" s="39"/>
      <c r="P1668" s="15">
        <v>178189.6</v>
      </c>
      <c r="S1668" s="17"/>
    </row>
    <row r="1669" spans="1:19" x14ac:dyDescent="0.4">
      <c r="A1669">
        <v>8461691</v>
      </c>
      <c r="B1669" s="16">
        <v>54</v>
      </c>
      <c r="C1669" s="12" t="s">
        <v>125</v>
      </c>
      <c r="D1669" s="12" t="s">
        <v>132</v>
      </c>
      <c r="E1669" s="12" t="s">
        <v>150</v>
      </c>
      <c r="F1669" s="12" t="s">
        <v>144</v>
      </c>
      <c r="G1669" s="14">
        <f t="shared" ca="1" si="25"/>
        <v>190878.15485919599</v>
      </c>
      <c r="H1669" s="12" t="s">
        <v>171</v>
      </c>
      <c r="I1669">
        <v>0</v>
      </c>
      <c r="J1669">
        <v>40</v>
      </c>
      <c r="K1669" s="12" t="s">
        <v>179</v>
      </c>
      <c r="L1669">
        <v>0</v>
      </c>
      <c r="M1669">
        <v>0</v>
      </c>
      <c r="O1669" s="39"/>
      <c r="P1669" s="16">
        <v>120586.35</v>
      </c>
      <c r="S1669" s="17"/>
    </row>
    <row r="1670" spans="1:19" x14ac:dyDescent="0.4">
      <c r="A1670">
        <v>8465909</v>
      </c>
      <c r="B1670" s="15">
        <v>20</v>
      </c>
      <c r="C1670" s="12" t="s">
        <v>129</v>
      </c>
      <c r="D1670" s="12" t="s">
        <v>132</v>
      </c>
      <c r="E1670" s="12" t="s">
        <v>150</v>
      </c>
      <c r="F1670" s="12" t="s">
        <v>129</v>
      </c>
      <c r="G1670" s="14">
        <f t="shared" ca="1" si="25"/>
        <v>231502.04885917704</v>
      </c>
      <c r="H1670" s="12" t="s">
        <v>172</v>
      </c>
      <c r="I1670">
        <v>0</v>
      </c>
      <c r="J1670">
        <v>10</v>
      </c>
      <c r="K1670" s="12" t="s">
        <v>176</v>
      </c>
      <c r="L1670">
        <v>0</v>
      </c>
      <c r="M1670">
        <v>0</v>
      </c>
      <c r="O1670" s="39"/>
      <c r="P1670" s="15">
        <v>118821.36</v>
      </c>
      <c r="S1670" s="17"/>
    </row>
    <row r="1671" spans="1:19" x14ac:dyDescent="0.4">
      <c r="A1671">
        <v>8484570</v>
      </c>
      <c r="B1671" s="16">
        <v>36</v>
      </c>
      <c r="C1671" s="12" t="s">
        <v>127</v>
      </c>
      <c r="D1671" s="12" t="s">
        <v>132</v>
      </c>
      <c r="E1671" s="12" t="s">
        <v>152</v>
      </c>
      <c r="F1671" s="12" t="s">
        <v>164</v>
      </c>
      <c r="G1671" s="14">
        <f t="shared" ca="1" si="25"/>
        <v>43541.635600391477</v>
      </c>
      <c r="H1671" s="12" t="s">
        <v>172</v>
      </c>
      <c r="I1671">
        <v>0</v>
      </c>
      <c r="J1671">
        <v>50</v>
      </c>
      <c r="K1671" s="12" t="s">
        <v>176</v>
      </c>
      <c r="L1671">
        <v>0</v>
      </c>
      <c r="M1671">
        <v>0</v>
      </c>
      <c r="O1671" s="39"/>
      <c r="P1671" s="16">
        <v>27526.46</v>
      </c>
      <c r="S1671" s="17"/>
    </row>
    <row r="1672" spans="1:19" x14ac:dyDescent="0.4">
      <c r="A1672">
        <v>8485032</v>
      </c>
      <c r="B1672" s="15">
        <v>29</v>
      </c>
      <c r="C1672" s="12" t="s">
        <v>122</v>
      </c>
      <c r="D1672" s="12" t="s">
        <v>133</v>
      </c>
      <c r="E1672" s="12" t="s">
        <v>150</v>
      </c>
      <c r="F1672" s="12" t="s">
        <v>162</v>
      </c>
      <c r="G1672" s="14">
        <f t="shared" ca="1" si="25"/>
        <v>88480.39888401443</v>
      </c>
      <c r="H1672" s="12" t="s">
        <v>172</v>
      </c>
      <c r="I1672">
        <v>0</v>
      </c>
      <c r="J1672">
        <v>45</v>
      </c>
      <c r="K1672" s="12" t="s">
        <v>179</v>
      </c>
      <c r="L1672">
        <v>0</v>
      </c>
      <c r="M1672">
        <v>0</v>
      </c>
      <c r="O1672" s="39"/>
      <c r="P1672" s="15">
        <v>69967.33</v>
      </c>
      <c r="S1672" s="17"/>
    </row>
    <row r="1673" spans="1:19" x14ac:dyDescent="0.4">
      <c r="A1673">
        <v>8490978</v>
      </c>
      <c r="B1673" s="16">
        <v>57</v>
      </c>
      <c r="C1673" s="12" t="s">
        <v>129</v>
      </c>
      <c r="D1673" s="12" t="s">
        <v>143</v>
      </c>
      <c r="E1673" s="12" t="s">
        <v>152</v>
      </c>
      <c r="F1673" s="12" t="s">
        <v>129</v>
      </c>
      <c r="G1673" s="14">
        <f t="shared" ca="1" si="25"/>
        <v>61228.057967203509</v>
      </c>
      <c r="H1673" s="12" t="s">
        <v>172</v>
      </c>
      <c r="I1673">
        <v>0</v>
      </c>
      <c r="J1673">
        <v>84</v>
      </c>
      <c r="K1673" s="12" t="s">
        <v>176</v>
      </c>
      <c r="L1673">
        <v>7298</v>
      </c>
      <c r="M1673">
        <v>1</v>
      </c>
      <c r="O1673" s="39"/>
      <c r="P1673" s="16">
        <v>38222.19</v>
      </c>
      <c r="S1673" s="17"/>
    </row>
    <row r="1674" spans="1:19" x14ac:dyDescent="0.4">
      <c r="A1674">
        <v>8491145</v>
      </c>
      <c r="B1674" s="15">
        <v>33</v>
      </c>
      <c r="C1674" s="12" t="s">
        <v>123</v>
      </c>
      <c r="D1674" s="12" t="s">
        <v>132</v>
      </c>
      <c r="E1674" s="12" t="s">
        <v>152</v>
      </c>
      <c r="F1674" s="12" t="s">
        <v>160</v>
      </c>
      <c r="G1674" s="14">
        <f t="shared" ca="1" si="25"/>
        <v>57079.112260459871</v>
      </c>
      <c r="H1674" s="12" t="s">
        <v>172</v>
      </c>
      <c r="I1674">
        <v>0</v>
      </c>
      <c r="J1674">
        <v>45</v>
      </c>
      <c r="K1674" s="12" t="s">
        <v>176</v>
      </c>
      <c r="L1674">
        <v>0</v>
      </c>
      <c r="M1674">
        <v>0</v>
      </c>
      <c r="O1674" s="39"/>
      <c r="P1674" s="15">
        <v>32405.19</v>
      </c>
      <c r="S1674" s="17"/>
    </row>
    <row r="1675" spans="1:19" x14ac:dyDescent="0.4">
      <c r="A1675">
        <v>8504378</v>
      </c>
      <c r="B1675" s="16">
        <v>38</v>
      </c>
      <c r="C1675" s="12" t="s">
        <v>122</v>
      </c>
      <c r="D1675" s="12" t="s">
        <v>134</v>
      </c>
      <c r="E1675" s="12" t="s">
        <v>150</v>
      </c>
      <c r="F1675" s="12" t="s">
        <v>156</v>
      </c>
      <c r="G1675" s="14">
        <f t="shared" ref="G1675:G1738" ca="1" si="26">P1675*(1+RAND())</f>
        <v>154222.72511247595</v>
      </c>
      <c r="H1675" s="12" t="s">
        <v>171</v>
      </c>
      <c r="I1675">
        <v>0</v>
      </c>
      <c r="J1675">
        <v>30</v>
      </c>
      <c r="K1675" s="12" t="s">
        <v>176</v>
      </c>
      <c r="L1675">
        <v>0</v>
      </c>
      <c r="M1675">
        <v>0</v>
      </c>
      <c r="O1675" s="39"/>
      <c r="P1675" s="16">
        <v>141697.29</v>
      </c>
      <c r="S1675" s="17"/>
    </row>
    <row r="1676" spans="1:19" x14ac:dyDescent="0.4">
      <c r="A1676">
        <v>8508526</v>
      </c>
      <c r="B1676" s="15">
        <v>79</v>
      </c>
      <c r="C1676" s="12" t="s">
        <v>122</v>
      </c>
      <c r="D1676" s="12" t="s">
        <v>135</v>
      </c>
      <c r="E1676" s="12" t="s">
        <v>152</v>
      </c>
      <c r="F1676" s="12" t="s">
        <v>162</v>
      </c>
      <c r="G1676" s="14">
        <f t="shared" ca="1" si="26"/>
        <v>1649.7680770475008</v>
      </c>
      <c r="H1676" s="12" t="s">
        <v>172</v>
      </c>
      <c r="I1676">
        <v>0</v>
      </c>
      <c r="J1676">
        <v>40</v>
      </c>
      <c r="K1676" s="12" t="s">
        <v>176</v>
      </c>
      <c r="L1676">
        <v>0</v>
      </c>
      <c r="M1676">
        <v>0</v>
      </c>
      <c r="O1676" s="39"/>
      <c r="P1676" s="15">
        <v>1598.95</v>
      </c>
      <c r="S1676" s="17"/>
    </row>
    <row r="1677" spans="1:19" x14ac:dyDescent="0.4">
      <c r="A1677">
        <v>8510462</v>
      </c>
      <c r="B1677" s="16">
        <v>58</v>
      </c>
      <c r="C1677" s="12" t="s">
        <v>122</v>
      </c>
      <c r="D1677" s="12" t="s">
        <v>134</v>
      </c>
      <c r="E1677" s="12" t="s">
        <v>153</v>
      </c>
      <c r="F1677" s="12" t="s">
        <v>158</v>
      </c>
      <c r="G1677" s="14">
        <f t="shared" ca="1" si="26"/>
        <v>333745.40595804434</v>
      </c>
      <c r="H1677" s="12" t="s">
        <v>171</v>
      </c>
      <c r="I1677">
        <v>0</v>
      </c>
      <c r="J1677">
        <v>40</v>
      </c>
      <c r="K1677" s="12" t="s">
        <v>176</v>
      </c>
      <c r="L1677">
        <v>0</v>
      </c>
      <c r="M1677">
        <v>0</v>
      </c>
      <c r="O1677" s="39"/>
      <c r="P1677" s="16">
        <v>234352.59</v>
      </c>
      <c r="S1677" s="17"/>
    </row>
    <row r="1678" spans="1:19" x14ac:dyDescent="0.4">
      <c r="A1678">
        <v>8511676</v>
      </c>
      <c r="B1678" s="15">
        <v>18</v>
      </c>
      <c r="C1678" s="12" t="s">
        <v>122</v>
      </c>
      <c r="D1678" s="12" t="s">
        <v>139</v>
      </c>
      <c r="E1678" s="12" t="s">
        <v>150</v>
      </c>
      <c r="F1678" s="12" t="s">
        <v>156</v>
      </c>
      <c r="G1678" s="14">
        <f t="shared" ca="1" si="26"/>
        <v>157096.07915775687</v>
      </c>
      <c r="H1678" s="12" t="s">
        <v>171</v>
      </c>
      <c r="I1678">
        <v>0</v>
      </c>
      <c r="J1678">
        <v>20</v>
      </c>
      <c r="K1678" s="12" t="s">
        <v>176</v>
      </c>
      <c r="L1678">
        <v>0</v>
      </c>
      <c r="M1678">
        <v>0</v>
      </c>
      <c r="O1678" s="39"/>
      <c r="P1678" s="15">
        <v>112531.32</v>
      </c>
      <c r="S1678" s="17"/>
    </row>
    <row r="1679" spans="1:19" x14ac:dyDescent="0.4">
      <c r="A1679">
        <v>8511774</v>
      </c>
      <c r="B1679" s="16">
        <v>50</v>
      </c>
      <c r="C1679" s="12" t="s">
        <v>122</v>
      </c>
      <c r="D1679" s="12" t="s">
        <v>133</v>
      </c>
      <c r="E1679" s="12" t="s">
        <v>151</v>
      </c>
      <c r="F1679" s="12" t="s">
        <v>159</v>
      </c>
      <c r="G1679" s="14">
        <f t="shared" ca="1" si="26"/>
        <v>88780.810411783255</v>
      </c>
      <c r="H1679" s="12" t="s">
        <v>172</v>
      </c>
      <c r="I1679">
        <v>0</v>
      </c>
      <c r="J1679">
        <v>45</v>
      </c>
      <c r="K1679" s="12" t="s">
        <v>176</v>
      </c>
      <c r="L1679">
        <v>0</v>
      </c>
      <c r="M1679">
        <v>0</v>
      </c>
      <c r="O1679" s="39"/>
      <c r="P1679" s="16">
        <v>87361.2</v>
      </c>
      <c r="S1679" s="17"/>
    </row>
    <row r="1680" spans="1:19" x14ac:dyDescent="0.4">
      <c r="A1680">
        <v>8517950</v>
      </c>
      <c r="B1680" s="15">
        <v>24</v>
      </c>
      <c r="C1680" s="12" t="s">
        <v>122</v>
      </c>
      <c r="D1680" s="12" t="s">
        <v>134</v>
      </c>
      <c r="E1680" s="12" t="s">
        <v>150</v>
      </c>
      <c r="F1680" s="12" t="s">
        <v>165</v>
      </c>
      <c r="G1680" s="14">
        <f t="shared" ca="1" si="26"/>
        <v>251919.85857572264</v>
      </c>
      <c r="H1680" s="12" t="s">
        <v>172</v>
      </c>
      <c r="I1680">
        <v>0</v>
      </c>
      <c r="J1680">
        <v>50</v>
      </c>
      <c r="K1680" s="12" t="s">
        <v>176</v>
      </c>
      <c r="L1680">
        <v>0</v>
      </c>
      <c r="M1680">
        <v>0</v>
      </c>
      <c r="O1680" s="39"/>
      <c r="P1680" s="15">
        <v>175354.11</v>
      </c>
      <c r="S1680" s="17"/>
    </row>
    <row r="1681" spans="1:19" x14ac:dyDescent="0.4">
      <c r="A1681">
        <v>8523736</v>
      </c>
      <c r="B1681" s="16">
        <v>29</v>
      </c>
      <c r="C1681" s="12" t="s">
        <v>122</v>
      </c>
      <c r="D1681" s="12" t="s">
        <v>135</v>
      </c>
      <c r="E1681" s="12" t="s">
        <v>150</v>
      </c>
      <c r="F1681" s="12" t="s">
        <v>144</v>
      </c>
      <c r="G1681" s="14">
        <f t="shared" ca="1" si="26"/>
        <v>74971.425471297174</v>
      </c>
      <c r="H1681" s="12" t="s">
        <v>172</v>
      </c>
      <c r="I1681">
        <v>0</v>
      </c>
      <c r="J1681">
        <v>40</v>
      </c>
      <c r="K1681" s="12" t="s">
        <v>176</v>
      </c>
      <c r="L1681">
        <v>0</v>
      </c>
      <c r="M1681">
        <v>0</v>
      </c>
      <c r="O1681" s="39"/>
      <c r="P1681" s="16">
        <v>62808.800000000003</v>
      </c>
      <c r="S1681" s="17"/>
    </row>
    <row r="1682" spans="1:19" x14ac:dyDescent="0.4">
      <c r="A1682">
        <v>8540704</v>
      </c>
      <c r="B1682" s="15">
        <v>17</v>
      </c>
      <c r="C1682" s="12" t="s">
        <v>122</v>
      </c>
      <c r="D1682" s="12" t="s">
        <v>140</v>
      </c>
      <c r="E1682" s="12" t="s">
        <v>150</v>
      </c>
      <c r="F1682" s="12" t="s">
        <v>164</v>
      </c>
      <c r="G1682" s="14">
        <f t="shared" ca="1" si="26"/>
        <v>165293.85612588885</v>
      </c>
      <c r="H1682" s="12" t="s">
        <v>172</v>
      </c>
      <c r="I1682">
        <v>0</v>
      </c>
      <c r="J1682">
        <v>10</v>
      </c>
      <c r="K1682" s="12" t="s">
        <v>176</v>
      </c>
      <c r="L1682">
        <v>0</v>
      </c>
      <c r="M1682">
        <v>0</v>
      </c>
      <c r="O1682" s="39"/>
      <c r="P1682" s="15">
        <v>117629.97</v>
      </c>
      <c r="S1682" s="17"/>
    </row>
    <row r="1683" spans="1:19" x14ac:dyDescent="0.4">
      <c r="A1683">
        <v>8542627</v>
      </c>
      <c r="B1683" s="16">
        <v>31</v>
      </c>
      <c r="C1683" s="12" t="s">
        <v>123</v>
      </c>
      <c r="D1683" s="12" t="s">
        <v>134</v>
      </c>
      <c r="E1683" s="12" t="s">
        <v>151</v>
      </c>
      <c r="F1683" s="12" t="s">
        <v>156</v>
      </c>
      <c r="G1683" s="14">
        <f t="shared" ca="1" si="26"/>
        <v>53749.001231949776</v>
      </c>
      <c r="H1683" s="12" t="s">
        <v>172</v>
      </c>
      <c r="I1683">
        <v>0</v>
      </c>
      <c r="J1683">
        <v>35</v>
      </c>
      <c r="K1683" s="12" t="s">
        <v>176</v>
      </c>
      <c r="L1683">
        <v>0</v>
      </c>
      <c r="M1683">
        <v>0</v>
      </c>
      <c r="O1683" s="39"/>
      <c r="P1683" s="16">
        <v>32864.65</v>
      </c>
      <c r="S1683" s="17"/>
    </row>
    <row r="1684" spans="1:19" x14ac:dyDescent="0.4">
      <c r="A1684">
        <v>8545629</v>
      </c>
      <c r="B1684" s="15">
        <v>39</v>
      </c>
      <c r="C1684" s="12" t="s">
        <v>122</v>
      </c>
      <c r="D1684" s="12" t="s">
        <v>132</v>
      </c>
      <c r="E1684" s="12" t="s">
        <v>151</v>
      </c>
      <c r="F1684" s="12" t="s">
        <v>162</v>
      </c>
      <c r="G1684" s="14">
        <f t="shared" ca="1" si="26"/>
        <v>73896.825629539278</v>
      </c>
      <c r="H1684" s="12" t="s">
        <v>171</v>
      </c>
      <c r="I1684">
        <v>0</v>
      </c>
      <c r="J1684">
        <v>35</v>
      </c>
      <c r="K1684" s="12" t="s">
        <v>176</v>
      </c>
      <c r="L1684">
        <v>0</v>
      </c>
      <c r="M1684">
        <v>0</v>
      </c>
      <c r="O1684" s="39"/>
      <c r="P1684" s="15">
        <v>57036.86</v>
      </c>
      <c r="S1684" s="17"/>
    </row>
    <row r="1685" spans="1:19" x14ac:dyDescent="0.4">
      <c r="A1685">
        <v>8554333</v>
      </c>
      <c r="B1685" s="16">
        <v>24</v>
      </c>
      <c r="C1685" s="12" t="s">
        <v>122</v>
      </c>
      <c r="D1685" s="12" t="s">
        <v>134</v>
      </c>
      <c r="E1685" s="12" t="s">
        <v>150</v>
      </c>
      <c r="F1685" s="12" t="s">
        <v>156</v>
      </c>
      <c r="G1685" s="14">
        <f t="shared" ca="1" si="26"/>
        <v>135396.96425390727</v>
      </c>
      <c r="H1685" s="12" t="s">
        <v>172</v>
      </c>
      <c r="I1685">
        <v>1147.3333333333301</v>
      </c>
      <c r="J1685">
        <v>30</v>
      </c>
      <c r="K1685" s="12" t="s">
        <v>176</v>
      </c>
      <c r="L1685">
        <v>0</v>
      </c>
      <c r="M1685">
        <v>0</v>
      </c>
      <c r="O1685" s="39"/>
      <c r="P1685" s="16">
        <v>125044.05</v>
      </c>
      <c r="S1685" s="17"/>
    </row>
    <row r="1686" spans="1:19" x14ac:dyDescent="0.4">
      <c r="A1686">
        <v>8554502</v>
      </c>
      <c r="B1686" s="15">
        <v>54</v>
      </c>
      <c r="C1686" s="12" t="s">
        <v>125</v>
      </c>
      <c r="D1686" s="12" t="s">
        <v>132</v>
      </c>
      <c r="E1686" s="12" t="s">
        <v>153</v>
      </c>
      <c r="F1686" s="12" t="s">
        <v>158</v>
      </c>
      <c r="G1686" s="14">
        <f t="shared" ca="1" si="26"/>
        <v>318128.26276604668</v>
      </c>
      <c r="H1686" s="12" t="s">
        <v>171</v>
      </c>
      <c r="I1686">
        <v>0</v>
      </c>
      <c r="J1686">
        <v>40</v>
      </c>
      <c r="K1686" s="12" t="s">
        <v>179</v>
      </c>
      <c r="L1686">
        <v>0</v>
      </c>
      <c r="M1686">
        <v>0</v>
      </c>
      <c r="O1686" s="39"/>
      <c r="P1686" s="15">
        <v>179420.65</v>
      </c>
      <c r="S1686" s="17"/>
    </row>
    <row r="1687" spans="1:19" x14ac:dyDescent="0.4">
      <c r="A1687">
        <v>8560872</v>
      </c>
      <c r="B1687" s="16">
        <v>30</v>
      </c>
      <c r="C1687" s="12" t="s">
        <v>122</v>
      </c>
      <c r="D1687" s="12" t="s">
        <v>144</v>
      </c>
      <c r="E1687" s="12" t="s">
        <v>150</v>
      </c>
      <c r="F1687" s="12" t="s">
        <v>144</v>
      </c>
      <c r="G1687" s="14">
        <f t="shared" ca="1" si="26"/>
        <v>220928.94606793227</v>
      </c>
      <c r="H1687" s="12" t="s">
        <v>171</v>
      </c>
      <c r="I1687">
        <v>0</v>
      </c>
      <c r="J1687">
        <v>40</v>
      </c>
      <c r="K1687" s="12" t="s">
        <v>129</v>
      </c>
      <c r="L1687">
        <v>0</v>
      </c>
      <c r="M1687">
        <v>0</v>
      </c>
      <c r="O1687" s="39"/>
      <c r="P1687" s="16">
        <v>125119.54</v>
      </c>
      <c r="S1687" s="17"/>
    </row>
    <row r="1688" spans="1:19" x14ac:dyDescent="0.4">
      <c r="A1688">
        <v>8565699</v>
      </c>
      <c r="B1688" s="15">
        <v>22</v>
      </c>
      <c r="C1688" s="12" t="s">
        <v>122</v>
      </c>
      <c r="D1688" s="12" t="s">
        <v>134</v>
      </c>
      <c r="E1688" s="12" t="s">
        <v>150</v>
      </c>
      <c r="F1688" s="12" t="s">
        <v>156</v>
      </c>
      <c r="G1688" s="14">
        <f t="shared" ca="1" si="26"/>
        <v>240828.22125888144</v>
      </c>
      <c r="H1688" s="12" t="s">
        <v>171</v>
      </c>
      <c r="I1688">
        <v>0</v>
      </c>
      <c r="J1688">
        <v>40</v>
      </c>
      <c r="K1688" s="12" t="s">
        <v>176</v>
      </c>
      <c r="L1688">
        <v>0</v>
      </c>
      <c r="M1688">
        <v>0</v>
      </c>
      <c r="O1688" s="39"/>
      <c r="P1688" s="15">
        <v>207989.32</v>
      </c>
      <c r="S1688" s="17"/>
    </row>
    <row r="1689" spans="1:19" x14ac:dyDescent="0.4">
      <c r="A1689">
        <v>8567642</v>
      </c>
      <c r="B1689" s="16">
        <v>30</v>
      </c>
      <c r="C1689" s="12" t="s">
        <v>122</v>
      </c>
      <c r="D1689" s="12" t="s">
        <v>134</v>
      </c>
      <c r="E1689" s="12" t="s">
        <v>150</v>
      </c>
      <c r="F1689" s="12" t="s">
        <v>167</v>
      </c>
      <c r="G1689" s="14">
        <f t="shared" ca="1" si="26"/>
        <v>201158.5028623949</v>
      </c>
      <c r="H1689" s="12" t="s">
        <v>171</v>
      </c>
      <c r="I1689">
        <v>0</v>
      </c>
      <c r="J1689">
        <v>40</v>
      </c>
      <c r="K1689" s="12" t="s">
        <v>190</v>
      </c>
      <c r="L1689">
        <v>0</v>
      </c>
      <c r="M1689">
        <v>0</v>
      </c>
      <c r="O1689" s="39"/>
      <c r="P1689" s="16">
        <v>105205.97</v>
      </c>
      <c r="S1689" s="17"/>
    </row>
    <row r="1690" spans="1:19" x14ac:dyDescent="0.4">
      <c r="A1690">
        <v>8574539</v>
      </c>
      <c r="B1690" s="15">
        <v>76</v>
      </c>
      <c r="C1690" s="12" t="s">
        <v>127</v>
      </c>
      <c r="D1690" s="12" t="s">
        <v>138</v>
      </c>
      <c r="E1690" s="12" t="s">
        <v>153</v>
      </c>
      <c r="F1690" s="12" t="s">
        <v>144</v>
      </c>
      <c r="G1690" s="14">
        <f t="shared" ca="1" si="26"/>
        <v>132805.42357370866</v>
      </c>
      <c r="H1690" s="12" t="s">
        <v>171</v>
      </c>
      <c r="I1690">
        <v>0</v>
      </c>
      <c r="J1690">
        <v>15</v>
      </c>
      <c r="K1690" s="12" t="s">
        <v>176</v>
      </c>
      <c r="L1690">
        <v>0</v>
      </c>
      <c r="M1690">
        <v>0</v>
      </c>
      <c r="O1690" s="39"/>
      <c r="P1690" s="15">
        <v>90883.96</v>
      </c>
      <c r="S1690" s="17"/>
    </row>
    <row r="1691" spans="1:19" x14ac:dyDescent="0.4">
      <c r="A1691">
        <v>8582563</v>
      </c>
      <c r="B1691" s="16">
        <v>57</v>
      </c>
      <c r="C1691" s="12" t="s">
        <v>125</v>
      </c>
      <c r="D1691" s="12" t="s">
        <v>135</v>
      </c>
      <c r="E1691" s="12" t="s">
        <v>151</v>
      </c>
      <c r="F1691" s="12" t="s">
        <v>160</v>
      </c>
      <c r="G1691" s="14">
        <f t="shared" ca="1" si="26"/>
        <v>112943.04504609719</v>
      </c>
      <c r="H1691" s="12" t="s">
        <v>172</v>
      </c>
      <c r="I1691">
        <v>0</v>
      </c>
      <c r="J1691">
        <v>40</v>
      </c>
      <c r="K1691" s="12" t="s">
        <v>176</v>
      </c>
      <c r="L1691">
        <v>0</v>
      </c>
      <c r="M1691">
        <v>0</v>
      </c>
      <c r="O1691" s="39"/>
      <c r="P1691" s="16">
        <v>85398.16</v>
      </c>
      <c r="S1691" s="17"/>
    </row>
    <row r="1692" spans="1:19" x14ac:dyDescent="0.4">
      <c r="A1692">
        <v>8583651</v>
      </c>
      <c r="B1692" s="15">
        <v>46</v>
      </c>
      <c r="C1692" s="12" t="s">
        <v>126</v>
      </c>
      <c r="D1692" s="12" t="s">
        <v>135</v>
      </c>
      <c r="E1692" s="12" t="s">
        <v>152</v>
      </c>
      <c r="F1692" s="12" t="s">
        <v>144</v>
      </c>
      <c r="G1692" s="14">
        <f t="shared" ca="1" si="26"/>
        <v>43266.048241137498</v>
      </c>
      <c r="H1692" s="12" t="s">
        <v>172</v>
      </c>
      <c r="I1692">
        <v>0</v>
      </c>
      <c r="J1692">
        <v>37</v>
      </c>
      <c r="K1692" s="12" t="s">
        <v>176</v>
      </c>
      <c r="L1692">
        <v>0</v>
      </c>
      <c r="M1692">
        <v>0</v>
      </c>
      <c r="O1692" s="39"/>
      <c r="P1692" s="15">
        <v>26199.46</v>
      </c>
      <c r="S1692" s="17"/>
    </row>
    <row r="1693" spans="1:19" x14ac:dyDescent="0.4">
      <c r="A1693">
        <v>8587374</v>
      </c>
      <c r="B1693" s="16">
        <v>31</v>
      </c>
      <c r="C1693" s="12" t="s">
        <v>125</v>
      </c>
      <c r="D1693" s="12" t="s">
        <v>132</v>
      </c>
      <c r="E1693" s="12" t="s">
        <v>152</v>
      </c>
      <c r="F1693" s="12" t="s">
        <v>160</v>
      </c>
      <c r="G1693" s="14">
        <f t="shared" ca="1" si="26"/>
        <v>26326.449560077097</v>
      </c>
      <c r="H1693" s="12" t="s">
        <v>172</v>
      </c>
      <c r="I1693">
        <v>0</v>
      </c>
      <c r="J1693">
        <v>35</v>
      </c>
      <c r="K1693" s="12" t="s">
        <v>176</v>
      </c>
      <c r="L1693">
        <v>0</v>
      </c>
      <c r="M1693">
        <v>0</v>
      </c>
      <c r="O1693" s="39"/>
      <c r="P1693" s="16">
        <v>15281.6</v>
      </c>
      <c r="S1693" s="17"/>
    </row>
    <row r="1694" spans="1:19" x14ac:dyDescent="0.4">
      <c r="A1694">
        <v>8592395</v>
      </c>
      <c r="B1694" s="15">
        <v>22</v>
      </c>
      <c r="C1694" s="12" t="s">
        <v>122</v>
      </c>
      <c r="D1694" s="12" t="s">
        <v>132</v>
      </c>
      <c r="E1694" s="12" t="s">
        <v>150</v>
      </c>
      <c r="F1694" s="12" t="s">
        <v>162</v>
      </c>
      <c r="G1694" s="14">
        <f t="shared" ca="1" si="26"/>
        <v>141154.87143053638</v>
      </c>
      <c r="H1694" s="12" t="s">
        <v>171</v>
      </c>
      <c r="I1694">
        <v>0</v>
      </c>
      <c r="J1694">
        <v>17</v>
      </c>
      <c r="K1694" s="12" t="s">
        <v>176</v>
      </c>
      <c r="L1694">
        <v>0</v>
      </c>
      <c r="M1694">
        <v>0</v>
      </c>
      <c r="O1694" s="39"/>
      <c r="P1694" s="15">
        <v>82437.34</v>
      </c>
      <c r="S1694" s="17"/>
    </row>
    <row r="1695" spans="1:19" x14ac:dyDescent="0.4">
      <c r="A1695">
        <v>8593134</v>
      </c>
      <c r="B1695" s="16">
        <v>44</v>
      </c>
      <c r="C1695" s="12" t="s">
        <v>122</v>
      </c>
      <c r="D1695" s="12" t="s">
        <v>134</v>
      </c>
      <c r="E1695" s="12" t="s">
        <v>152</v>
      </c>
      <c r="F1695" s="12" t="s">
        <v>157</v>
      </c>
      <c r="G1695" s="14">
        <f t="shared" ca="1" si="26"/>
        <v>26576.694146698293</v>
      </c>
      <c r="H1695" s="12" t="s">
        <v>172</v>
      </c>
      <c r="I1695">
        <v>0</v>
      </c>
      <c r="J1695">
        <v>40</v>
      </c>
      <c r="K1695" s="12" t="s">
        <v>176</v>
      </c>
      <c r="L1695">
        <v>0</v>
      </c>
      <c r="M1695">
        <v>0</v>
      </c>
      <c r="O1695" s="39"/>
      <c r="P1695" s="16">
        <v>17465.61</v>
      </c>
      <c r="S1695" s="17"/>
    </row>
    <row r="1696" spans="1:19" x14ac:dyDescent="0.4">
      <c r="A1696">
        <v>8593421</v>
      </c>
      <c r="B1696" s="15">
        <v>25</v>
      </c>
      <c r="C1696" s="12" t="s">
        <v>122</v>
      </c>
      <c r="D1696" s="12" t="s">
        <v>134</v>
      </c>
      <c r="E1696" s="12" t="s">
        <v>150</v>
      </c>
      <c r="F1696" s="12" t="s">
        <v>158</v>
      </c>
      <c r="G1696" s="14">
        <f t="shared" ca="1" si="26"/>
        <v>201844.656027797</v>
      </c>
      <c r="H1696" s="12" t="s">
        <v>171</v>
      </c>
      <c r="I1696">
        <v>0</v>
      </c>
      <c r="J1696">
        <v>40</v>
      </c>
      <c r="K1696" s="12" t="s">
        <v>176</v>
      </c>
      <c r="L1696">
        <v>0</v>
      </c>
      <c r="M1696">
        <v>0</v>
      </c>
      <c r="O1696" s="39"/>
      <c r="P1696" s="15">
        <v>184734.6</v>
      </c>
      <c r="S1696" s="17"/>
    </row>
    <row r="1697" spans="1:19" x14ac:dyDescent="0.4">
      <c r="A1697">
        <v>8594225</v>
      </c>
      <c r="B1697" s="16">
        <v>24</v>
      </c>
      <c r="C1697" s="12" t="s">
        <v>122</v>
      </c>
      <c r="D1697" s="12" t="s">
        <v>134</v>
      </c>
      <c r="E1697" s="12" t="s">
        <v>151</v>
      </c>
      <c r="F1697" s="12" t="s">
        <v>156</v>
      </c>
      <c r="G1697" s="14">
        <f t="shared" ca="1" si="26"/>
        <v>255931.85804766274</v>
      </c>
      <c r="H1697" s="12" t="s">
        <v>171</v>
      </c>
      <c r="I1697">
        <v>0</v>
      </c>
      <c r="J1697">
        <v>40</v>
      </c>
      <c r="K1697" s="12" t="s">
        <v>207</v>
      </c>
      <c r="L1697">
        <v>0</v>
      </c>
      <c r="M1697">
        <v>0</v>
      </c>
      <c r="O1697" s="39"/>
      <c r="P1697" s="16">
        <v>225317.12</v>
      </c>
      <c r="S1697" s="17"/>
    </row>
    <row r="1698" spans="1:19" x14ac:dyDescent="0.4">
      <c r="A1698">
        <v>8594796</v>
      </c>
      <c r="B1698" s="15">
        <v>49</v>
      </c>
      <c r="C1698" s="12" t="s">
        <v>123</v>
      </c>
      <c r="D1698" s="12" t="s">
        <v>133</v>
      </c>
      <c r="E1698" s="12" t="s">
        <v>151</v>
      </c>
      <c r="F1698" s="12" t="s">
        <v>160</v>
      </c>
      <c r="G1698" s="14">
        <f t="shared" ca="1" si="26"/>
        <v>101978.7990046214</v>
      </c>
      <c r="H1698" s="12" t="s">
        <v>172</v>
      </c>
      <c r="I1698">
        <v>0</v>
      </c>
      <c r="J1698">
        <v>25</v>
      </c>
      <c r="K1698" s="12" t="s">
        <v>176</v>
      </c>
      <c r="L1698">
        <v>0</v>
      </c>
      <c r="M1698">
        <v>0</v>
      </c>
      <c r="O1698" s="39"/>
      <c r="P1698" s="15">
        <v>65953.27</v>
      </c>
      <c r="S1698" s="17"/>
    </row>
    <row r="1699" spans="1:19" x14ac:dyDescent="0.4">
      <c r="A1699">
        <v>8605137</v>
      </c>
      <c r="B1699" s="16">
        <v>58</v>
      </c>
      <c r="C1699" s="12" t="s">
        <v>122</v>
      </c>
      <c r="D1699" s="12" t="s">
        <v>134</v>
      </c>
      <c r="E1699" s="12" t="s">
        <v>152</v>
      </c>
      <c r="F1699" s="12" t="s">
        <v>158</v>
      </c>
      <c r="G1699" s="14">
        <f t="shared" ca="1" si="26"/>
        <v>138685.34092306477</v>
      </c>
      <c r="H1699" s="12" t="s">
        <v>172</v>
      </c>
      <c r="I1699">
        <v>0</v>
      </c>
      <c r="J1699">
        <v>45</v>
      </c>
      <c r="K1699" s="12" t="s">
        <v>176</v>
      </c>
      <c r="L1699">
        <v>2502</v>
      </c>
      <c r="M1699">
        <v>1</v>
      </c>
      <c r="O1699" s="39"/>
      <c r="P1699" s="16">
        <v>76211.05</v>
      </c>
      <c r="S1699" s="17"/>
    </row>
    <row r="1700" spans="1:19" x14ac:dyDescent="0.4">
      <c r="A1700">
        <v>8605732</v>
      </c>
      <c r="B1700" s="15">
        <v>17</v>
      </c>
      <c r="C1700" s="12" t="s">
        <v>129</v>
      </c>
      <c r="D1700" s="12" t="s">
        <v>139</v>
      </c>
      <c r="E1700" s="12" t="s">
        <v>150</v>
      </c>
      <c r="F1700" s="12" t="s">
        <v>129</v>
      </c>
      <c r="G1700" s="14">
        <f t="shared" ca="1" si="26"/>
        <v>147958.3606804786</v>
      </c>
      <c r="H1700" s="12" t="s">
        <v>171</v>
      </c>
      <c r="I1700">
        <v>0</v>
      </c>
      <c r="J1700">
        <v>30</v>
      </c>
      <c r="K1700" s="12" t="s">
        <v>176</v>
      </c>
      <c r="L1700">
        <v>0</v>
      </c>
      <c r="M1700">
        <v>0</v>
      </c>
      <c r="O1700" s="39"/>
      <c r="P1700" s="15">
        <v>90852.67</v>
      </c>
      <c r="S1700" s="17"/>
    </row>
    <row r="1701" spans="1:19" x14ac:dyDescent="0.4">
      <c r="A1701">
        <v>8610619</v>
      </c>
      <c r="B1701" s="16">
        <v>53</v>
      </c>
      <c r="C1701" s="12" t="s">
        <v>122</v>
      </c>
      <c r="D1701" s="12" t="s">
        <v>132</v>
      </c>
      <c r="E1701" s="12" t="s">
        <v>152</v>
      </c>
      <c r="F1701" s="12" t="s">
        <v>157</v>
      </c>
      <c r="G1701" s="14">
        <f t="shared" ca="1" si="26"/>
        <v>54582.567779064389</v>
      </c>
      <c r="H1701" s="12" t="s">
        <v>172</v>
      </c>
      <c r="I1701">
        <v>0</v>
      </c>
      <c r="J1701">
        <v>45</v>
      </c>
      <c r="K1701" s="12" t="s">
        <v>176</v>
      </c>
      <c r="L1701">
        <v>7298</v>
      </c>
      <c r="M1701">
        <v>1</v>
      </c>
      <c r="O1701" s="39"/>
      <c r="P1701" s="16">
        <v>37398.269999999997</v>
      </c>
      <c r="S1701" s="17"/>
    </row>
    <row r="1702" spans="1:19" x14ac:dyDescent="0.4">
      <c r="A1702">
        <v>8614525</v>
      </c>
      <c r="B1702" s="15">
        <v>19</v>
      </c>
      <c r="C1702" s="12" t="s">
        <v>123</v>
      </c>
      <c r="D1702" s="12" t="s">
        <v>134</v>
      </c>
      <c r="E1702" s="12" t="s">
        <v>150</v>
      </c>
      <c r="F1702" s="12" t="s">
        <v>156</v>
      </c>
      <c r="G1702" s="14">
        <f t="shared" ca="1" si="26"/>
        <v>82319.838154113939</v>
      </c>
      <c r="H1702" s="12" t="s">
        <v>172</v>
      </c>
      <c r="I1702">
        <v>0</v>
      </c>
      <c r="J1702">
        <v>53</v>
      </c>
      <c r="K1702" s="12" t="s">
        <v>176</v>
      </c>
      <c r="L1702">
        <v>0</v>
      </c>
      <c r="M1702">
        <v>0</v>
      </c>
      <c r="O1702" s="39"/>
      <c r="P1702" s="15">
        <v>57730.91</v>
      </c>
      <c r="S1702" s="17"/>
    </row>
    <row r="1703" spans="1:19" x14ac:dyDescent="0.4">
      <c r="A1703">
        <v>8617905</v>
      </c>
      <c r="B1703" s="16">
        <v>23</v>
      </c>
      <c r="C1703" s="12" t="s">
        <v>122</v>
      </c>
      <c r="D1703" s="12" t="s">
        <v>134</v>
      </c>
      <c r="E1703" s="12" t="s">
        <v>152</v>
      </c>
      <c r="F1703" s="12" t="s">
        <v>157</v>
      </c>
      <c r="G1703" s="14">
        <f t="shared" ca="1" si="26"/>
        <v>41365.557698680714</v>
      </c>
      <c r="H1703" s="12" t="s">
        <v>172</v>
      </c>
      <c r="I1703">
        <v>0</v>
      </c>
      <c r="J1703">
        <v>60</v>
      </c>
      <c r="K1703" s="12" t="s">
        <v>176</v>
      </c>
      <c r="L1703">
        <v>0</v>
      </c>
      <c r="M1703">
        <v>0</v>
      </c>
      <c r="O1703" s="39"/>
      <c r="P1703" s="16">
        <v>20959.54</v>
      </c>
      <c r="S1703" s="17"/>
    </row>
    <row r="1704" spans="1:19" x14ac:dyDescent="0.4">
      <c r="A1704">
        <v>8623146</v>
      </c>
      <c r="B1704" s="15">
        <v>37</v>
      </c>
      <c r="C1704" s="12" t="s">
        <v>129</v>
      </c>
      <c r="D1704" s="12" t="s">
        <v>137</v>
      </c>
      <c r="E1704" s="12" t="s">
        <v>152</v>
      </c>
      <c r="F1704" s="12" t="s">
        <v>129</v>
      </c>
      <c r="G1704" s="14">
        <f t="shared" ca="1" si="26"/>
        <v>328426.77684441325</v>
      </c>
      <c r="H1704" s="12" t="s">
        <v>171</v>
      </c>
      <c r="I1704">
        <v>0</v>
      </c>
      <c r="J1704">
        <v>40</v>
      </c>
      <c r="K1704" s="12" t="s">
        <v>176</v>
      </c>
      <c r="L1704">
        <v>0</v>
      </c>
      <c r="M1704">
        <v>0</v>
      </c>
      <c r="O1704" s="39"/>
      <c r="P1704" s="15">
        <v>211846.51</v>
      </c>
      <c r="S1704" s="17"/>
    </row>
    <row r="1705" spans="1:19" x14ac:dyDescent="0.4">
      <c r="A1705">
        <v>8626790</v>
      </c>
      <c r="B1705" s="16">
        <v>58</v>
      </c>
      <c r="C1705" s="12" t="s">
        <v>122</v>
      </c>
      <c r="D1705" s="12" t="s">
        <v>139</v>
      </c>
      <c r="E1705" s="12" t="s">
        <v>152</v>
      </c>
      <c r="F1705" s="12" t="s">
        <v>159</v>
      </c>
      <c r="G1705" s="14">
        <f t="shared" ca="1" si="26"/>
        <v>36249.753644954944</v>
      </c>
      <c r="H1705" s="12" t="s">
        <v>172</v>
      </c>
      <c r="I1705">
        <v>0</v>
      </c>
      <c r="J1705">
        <v>40</v>
      </c>
      <c r="K1705" s="12" t="s">
        <v>176</v>
      </c>
      <c r="L1705">
        <v>0</v>
      </c>
      <c r="M1705">
        <v>0</v>
      </c>
      <c r="O1705" s="39"/>
      <c r="P1705" s="16">
        <v>21525.26</v>
      </c>
      <c r="S1705" s="17"/>
    </row>
    <row r="1706" spans="1:19" x14ac:dyDescent="0.4">
      <c r="A1706">
        <v>8627037</v>
      </c>
      <c r="B1706" s="15">
        <v>41</v>
      </c>
      <c r="C1706" s="12" t="s">
        <v>124</v>
      </c>
      <c r="D1706" s="12" t="s">
        <v>134</v>
      </c>
      <c r="E1706" s="12" t="s">
        <v>152</v>
      </c>
      <c r="F1706" s="12" t="s">
        <v>162</v>
      </c>
      <c r="G1706" s="14">
        <f t="shared" ca="1" si="26"/>
        <v>45916.77022833674</v>
      </c>
      <c r="H1706" s="12" t="s">
        <v>172</v>
      </c>
      <c r="I1706">
        <v>0</v>
      </c>
      <c r="J1706">
        <v>62</v>
      </c>
      <c r="K1706" s="12" t="s">
        <v>176</v>
      </c>
      <c r="L1706">
        <v>0</v>
      </c>
      <c r="M1706">
        <v>0</v>
      </c>
      <c r="O1706" s="39"/>
      <c r="P1706" s="15">
        <v>31556.98</v>
      </c>
      <c r="S1706" s="17"/>
    </row>
    <row r="1707" spans="1:19" x14ac:dyDescent="0.4">
      <c r="A1707">
        <v>8632793</v>
      </c>
      <c r="B1707" s="16">
        <v>36</v>
      </c>
      <c r="C1707" s="12" t="s">
        <v>122</v>
      </c>
      <c r="D1707" s="12" t="s">
        <v>133</v>
      </c>
      <c r="E1707" s="12" t="s">
        <v>152</v>
      </c>
      <c r="F1707" s="12" t="s">
        <v>161</v>
      </c>
      <c r="G1707" s="14">
        <f t="shared" ca="1" si="26"/>
        <v>86682.424025830274</v>
      </c>
      <c r="H1707" s="12" t="s">
        <v>172</v>
      </c>
      <c r="I1707">
        <v>0</v>
      </c>
      <c r="J1707">
        <v>40</v>
      </c>
      <c r="K1707" s="12" t="s">
        <v>176</v>
      </c>
      <c r="L1707">
        <v>0</v>
      </c>
      <c r="M1707">
        <v>0</v>
      </c>
      <c r="O1707" s="39"/>
      <c r="P1707" s="16">
        <v>46578.97</v>
      </c>
      <c r="S1707" s="17"/>
    </row>
    <row r="1708" spans="1:19" x14ac:dyDescent="0.4">
      <c r="A1708">
        <v>8640495</v>
      </c>
      <c r="B1708" s="15">
        <v>18</v>
      </c>
      <c r="C1708" s="12" t="s">
        <v>127</v>
      </c>
      <c r="D1708" s="12" t="s">
        <v>132</v>
      </c>
      <c r="E1708" s="12" t="s">
        <v>150</v>
      </c>
      <c r="F1708" s="12" t="s">
        <v>162</v>
      </c>
      <c r="G1708" s="14">
        <f t="shared" ca="1" si="26"/>
        <v>269470.07133444428</v>
      </c>
      <c r="H1708" s="12" t="s">
        <v>171</v>
      </c>
      <c r="I1708">
        <v>0</v>
      </c>
      <c r="J1708">
        <v>32</v>
      </c>
      <c r="K1708" s="12" t="s">
        <v>176</v>
      </c>
      <c r="L1708">
        <v>0</v>
      </c>
      <c r="M1708">
        <v>0</v>
      </c>
      <c r="O1708" s="39"/>
      <c r="P1708" s="15">
        <v>135003.07999999999</v>
      </c>
      <c r="S1708" s="17"/>
    </row>
    <row r="1709" spans="1:19" x14ac:dyDescent="0.4">
      <c r="A1709">
        <v>8641837</v>
      </c>
      <c r="B1709" s="16">
        <v>23</v>
      </c>
      <c r="C1709" s="12" t="s">
        <v>122</v>
      </c>
      <c r="D1709" s="12" t="s">
        <v>132</v>
      </c>
      <c r="E1709" s="12" t="s">
        <v>150</v>
      </c>
      <c r="F1709" s="12" t="s">
        <v>162</v>
      </c>
      <c r="G1709" s="14">
        <f t="shared" ca="1" si="26"/>
        <v>266398.38581174379</v>
      </c>
      <c r="H1709" s="12" t="s">
        <v>171</v>
      </c>
      <c r="I1709">
        <v>0</v>
      </c>
      <c r="J1709">
        <v>20</v>
      </c>
      <c r="K1709" s="12" t="s">
        <v>176</v>
      </c>
      <c r="L1709">
        <v>0</v>
      </c>
      <c r="M1709">
        <v>0</v>
      </c>
      <c r="O1709" s="39"/>
      <c r="P1709" s="16">
        <v>148944.25</v>
      </c>
      <c r="S1709" s="17"/>
    </row>
    <row r="1710" spans="1:19" x14ac:dyDescent="0.4">
      <c r="A1710">
        <v>8651679</v>
      </c>
      <c r="B1710" s="15">
        <v>28</v>
      </c>
      <c r="C1710" s="12" t="s">
        <v>122</v>
      </c>
      <c r="D1710" s="12" t="s">
        <v>141</v>
      </c>
      <c r="E1710" s="12" t="s">
        <v>150</v>
      </c>
      <c r="F1710" s="12" t="s">
        <v>144</v>
      </c>
      <c r="G1710" s="14">
        <f t="shared" ca="1" si="26"/>
        <v>149476.5102929011</v>
      </c>
      <c r="H1710" s="12" t="s">
        <v>171</v>
      </c>
      <c r="I1710">
        <v>0</v>
      </c>
      <c r="J1710">
        <v>60</v>
      </c>
      <c r="K1710" s="12" t="s">
        <v>182</v>
      </c>
      <c r="L1710">
        <v>8603</v>
      </c>
      <c r="M1710">
        <v>1</v>
      </c>
      <c r="O1710" s="39"/>
      <c r="P1710" s="15">
        <v>100415.86</v>
      </c>
      <c r="S1710" s="17"/>
    </row>
    <row r="1711" spans="1:19" x14ac:dyDescent="0.4">
      <c r="A1711">
        <v>8660235</v>
      </c>
      <c r="B1711" s="16">
        <v>59</v>
      </c>
      <c r="C1711" s="12" t="s">
        <v>122</v>
      </c>
      <c r="D1711" s="12" t="s">
        <v>135</v>
      </c>
      <c r="E1711" s="12" t="s">
        <v>152</v>
      </c>
      <c r="F1711" s="12" t="s">
        <v>159</v>
      </c>
      <c r="G1711" s="14">
        <f t="shared" ca="1" si="26"/>
        <v>73525.565465163818</v>
      </c>
      <c r="H1711" s="12" t="s">
        <v>172</v>
      </c>
      <c r="I1711">
        <v>0</v>
      </c>
      <c r="J1711">
        <v>4</v>
      </c>
      <c r="K1711" s="12" t="s">
        <v>176</v>
      </c>
      <c r="L1711">
        <v>0</v>
      </c>
      <c r="M1711">
        <v>0</v>
      </c>
      <c r="O1711" s="39"/>
      <c r="P1711" s="16">
        <v>42148.58</v>
      </c>
      <c r="S1711" s="17"/>
    </row>
    <row r="1712" spans="1:19" x14ac:dyDescent="0.4">
      <c r="A1712">
        <v>8661084</v>
      </c>
      <c r="B1712" s="15">
        <v>55</v>
      </c>
      <c r="C1712" s="12" t="s">
        <v>125</v>
      </c>
      <c r="D1712" s="12" t="s">
        <v>138</v>
      </c>
      <c r="E1712" s="12" t="s">
        <v>152</v>
      </c>
      <c r="F1712" s="12" t="s">
        <v>160</v>
      </c>
      <c r="G1712" s="14">
        <f t="shared" ca="1" si="26"/>
        <v>64433.462825994895</v>
      </c>
      <c r="H1712" s="12" t="s">
        <v>172</v>
      </c>
      <c r="I1712">
        <v>0</v>
      </c>
      <c r="J1712">
        <v>50</v>
      </c>
      <c r="K1712" s="12" t="s">
        <v>176</v>
      </c>
      <c r="L1712">
        <v>0</v>
      </c>
      <c r="M1712">
        <v>0</v>
      </c>
      <c r="O1712" s="39"/>
      <c r="P1712" s="15">
        <v>38521.57</v>
      </c>
      <c r="S1712" s="17"/>
    </row>
    <row r="1713" spans="1:19" x14ac:dyDescent="0.4">
      <c r="A1713">
        <v>8664030</v>
      </c>
      <c r="B1713" s="16">
        <v>31</v>
      </c>
      <c r="C1713" s="12" t="s">
        <v>126</v>
      </c>
      <c r="D1713" s="12" t="s">
        <v>135</v>
      </c>
      <c r="E1713" s="12" t="s">
        <v>150</v>
      </c>
      <c r="F1713" s="12" t="s">
        <v>144</v>
      </c>
      <c r="G1713" s="14">
        <f t="shared" ca="1" si="26"/>
        <v>138428.67651938117</v>
      </c>
      <c r="H1713" s="12" t="s">
        <v>171</v>
      </c>
      <c r="I1713">
        <v>0</v>
      </c>
      <c r="J1713">
        <v>40</v>
      </c>
      <c r="K1713" s="12" t="s">
        <v>176</v>
      </c>
      <c r="L1713">
        <v>0</v>
      </c>
      <c r="M1713">
        <v>0</v>
      </c>
      <c r="O1713" s="39"/>
      <c r="P1713" s="16">
        <v>98650.65</v>
      </c>
      <c r="S1713" s="17"/>
    </row>
    <row r="1714" spans="1:19" x14ac:dyDescent="0.4">
      <c r="A1714">
        <v>8665194</v>
      </c>
      <c r="B1714" s="15">
        <v>28</v>
      </c>
      <c r="C1714" s="12" t="s">
        <v>122</v>
      </c>
      <c r="D1714" s="12" t="s">
        <v>134</v>
      </c>
      <c r="E1714" s="12" t="s">
        <v>152</v>
      </c>
      <c r="F1714" s="12" t="s">
        <v>161</v>
      </c>
      <c r="G1714" s="14">
        <f t="shared" ca="1" si="26"/>
        <v>40795.101147856542</v>
      </c>
      <c r="H1714" s="12" t="s">
        <v>171</v>
      </c>
      <c r="I1714">
        <v>0</v>
      </c>
      <c r="J1714">
        <v>40</v>
      </c>
      <c r="K1714" s="12" t="s">
        <v>176</v>
      </c>
      <c r="L1714">
        <v>0</v>
      </c>
      <c r="M1714">
        <v>0</v>
      </c>
      <c r="O1714" s="39"/>
      <c r="P1714" s="15">
        <v>31235.77</v>
      </c>
      <c r="S1714" s="17"/>
    </row>
    <row r="1715" spans="1:19" x14ac:dyDescent="0.4">
      <c r="A1715">
        <v>8671037</v>
      </c>
      <c r="B1715" s="16">
        <v>32</v>
      </c>
      <c r="C1715" s="12" t="s">
        <v>122</v>
      </c>
      <c r="D1715" s="12" t="s">
        <v>135</v>
      </c>
      <c r="E1715" s="12" t="s">
        <v>152</v>
      </c>
      <c r="F1715" s="12" t="s">
        <v>160</v>
      </c>
      <c r="G1715" s="14">
        <f t="shared" ca="1" si="26"/>
        <v>68400.768327119906</v>
      </c>
      <c r="H1715" s="12" t="s">
        <v>172</v>
      </c>
      <c r="I1715">
        <v>0</v>
      </c>
      <c r="J1715">
        <v>60</v>
      </c>
      <c r="K1715" s="12" t="s">
        <v>176</v>
      </c>
      <c r="L1715">
        <v>4099</v>
      </c>
      <c r="M1715">
        <v>1</v>
      </c>
      <c r="O1715" s="39"/>
      <c r="P1715" s="16">
        <v>46009.41</v>
      </c>
      <c r="S1715" s="17"/>
    </row>
    <row r="1716" spans="1:19" x14ac:dyDescent="0.4">
      <c r="A1716">
        <v>8679648</v>
      </c>
      <c r="B1716" s="15">
        <v>45</v>
      </c>
      <c r="C1716" s="12" t="s">
        <v>122</v>
      </c>
      <c r="D1716" s="12" t="s">
        <v>132</v>
      </c>
      <c r="E1716" s="12" t="s">
        <v>151</v>
      </c>
      <c r="F1716" s="12" t="s">
        <v>158</v>
      </c>
      <c r="G1716" s="14">
        <f t="shared" ca="1" si="26"/>
        <v>350573.66302196821</v>
      </c>
      <c r="H1716" s="12" t="s">
        <v>171</v>
      </c>
      <c r="I1716">
        <v>0</v>
      </c>
      <c r="J1716">
        <v>45</v>
      </c>
      <c r="K1716" s="12" t="s">
        <v>176</v>
      </c>
      <c r="L1716">
        <v>0</v>
      </c>
      <c r="M1716">
        <v>0</v>
      </c>
      <c r="O1716" s="39"/>
      <c r="P1716" s="15">
        <v>200130.22</v>
      </c>
      <c r="S1716" s="17"/>
    </row>
    <row r="1717" spans="1:19" x14ac:dyDescent="0.4">
      <c r="A1717">
        <v>8686839</v>
      </c>
      <c r="B1717" s="16">
        <v>40</v>
      </c>
      <c r="C1717" s="12" t="s">
        <v>122</v>
      </c>
      <c r="D1717" s="12" t="s">
        <v>134</v>
      </c>
      <c r="E1717" s="12" t="s">
        <v>151</v>
      </c>
      <c r="F1717" s="12" t="s">
        <v>157</v>
      </c>
      <c r="G1717" s="14">
        <f t="shared" ca="1" si="26"/>
        <v>452453.6151412105</v>
      </c>
      <c r="H1717" s="12" t="s">
        <v>172</v>
      </c>
      <c r="I1717">
        <v>0</v>
      </c>
      <c r="J1717">
        <v>45</v>
      </c>
      <c r="K1717" s="12" t="s">
        <v>176</v>
      </c>
      <c r="L1717">
        <v>0</v>
      </c>
      <c r="M1717">
        <v>0</v>
      </c>
      <c r="O1717" s="39"/>
      <c r="P1717" s="16">
        <v>275897.09999999998</v>
      </c>
      <c r="S1717" s="17"/>
    </row>
    <row r="1718" spans="1:19" x14ac:dyDescent="0.4">
      <c r="A1718">
        <v>8689599</v>
      </c>
      <c r="B1718" s="15">
        <v>37</v>
      </c>
      <c r="C1718" s="12" t="s">
        <v>122</v>
      </c>
      <c r="D1718" s="12" t="s">
        <v>132</v>
      </c>
      <c r="E1718" s="12" t="s">
        <v>152</v>
      </c>
      <c r="F1718" s="12" t="s">
        <v>159</v>
      </c>
      <c r="G1718" s="14">
        <f t="shared" ca="1" si="26"/>
        <v>58965.931799378632</v>
      </c>
      <c r="H1718" s="12" t="s">
        <v>172</v>
      </c>
      <c r="I1718">
        <v>0</v>
      </c>
      <c r="J1718">
        <v>50</v>
      </c>
      <c r="K1718" s="12" t="s">
        <v>176</v>
      </c>
      <c r="L1718">
        <v>0</v>
      </c>
      <c r="M1718">
        <v>1</v>
      </c>
      <c r="O1718" s="39"/>
      <c r="P1718" s="15">
        <v>35282.57</v>
      </c>
      <c r="S1718" s="17"/>
    </row>
    <row r="1719" spans="1:19" x14ac:dyDescent="0.4">
      <c r="A1719">
        <v>8694210</v>
      </c>
      <c r="B1719" s="16">
        <v>27</v>
      </c>
      <c r="C1719" s="12" t="s">
        <v>122</v>
      </c>
      <c r="D1719" s="12" t="s">
        <v>137</v>
      </c>
      <c r="E1719" s="12" t="s">
        <v>152</v>
      </c>
      <c r="F1719" s="12" t="s">
        <v>162</v>
      </c>
      <c r="G1719" s="14">
        <f t="shared" ca="1" si="26"/>
        <v>45064.396866734707</v>
      </c>
      <c r="H1719" s="12" t="s">
        <v>172</v>
      </c>
      <c r="I1719">
        <v>0</v>
      </c>
      <c r="J1719">
        <v>40</v>
      </c>
      <c r="K1719" s="12" t="s">
        <v>176</v>
      </c>
      <c r="L1719">
        <v>0</v>
      </c>
      <c r="M1719">
        <v>0</v>
      </c>
      <c r="O1719" s="39"/>
      <c r="P1719" s="16">
        <v>23895.35</v>
      </c>
      <c r="S1719" s="17"/>
    </row>
    <row r="1720" spans="1:19" x14ac:dyDescent="0.4">
      <c r="A1720">
        <v>8695492</v>
      </c>
      <c r="B1720" s="15">
        <v>23</v>
      </c>
      <c r="C1720" s="12" t="s">
        <v>122</v>
      </c>
      <c r="D1720" s="12" t="s">
        <v>132</v>
      </c>
      <c r="E1720" s="12" t="s">
        <v>150</v>
      </c>
      <c r="F1720" s="12" t="s">
        <v>163</v>
      </c>
      <c r="G1720" s="14">
        <f t="shared" ca="1" si="26"/>
        <v>43888.538989730121</v>
      </c>
      <c r="H1720" s="12" t="s">
        <v>172</v>
      </c>
      <c r="I1720">
        <v>0</v>
      </c>
      <c r="J1720">
        <v>60</v>
      </c>
      <c r="K1720" s="12" t="s">
        <v>176</v>
      </c>
      <c r="L1720">
        <v>0</v>
      </c>
      <c r="M1720">
        <v>0</v>
      </c>
      <c r="O1720" s="39"/>
      <c r="P1720" s="15">
        <v>25190.43</v>
      </c>
      <c r="S1720" s="17"/>
    </row>
    <row r="1721" spans="1:19" x14ac:dyDescent="0.4">
      <c r="A1721">
        <v>8703746</v>
      </c>
      <c r="B1721" s="16">
        <v>31</v>
      </c>
      <c r="C1721" s="12" t="s">
        <v>122</v>
      </c>
      <c r="D1721" s="12" t="s">
        <v>134</v>
      </c>
      <c r="E1721" s="12" t="s">
        <v>152</v>
      </c>
      <c r="F1721" s="12" t="s">
        <v>159</v>
      </c>
      <c r="G1721" s="14">
        <f t="shared" ca="1" si="26"/>
        <v>52317.726523277037</v>
      </c>
      <c r="H1721" s="12" t="s">
        <v>172</v>
      </c>
      <c r="I1721">
        <v>0</v>
      </c>
      <c r="J1721">
        <v>40</v>
      </c>
      <c r="K1721" s="12" t="s">
        <v>179</v>
      </c>
      <c r="L1721">
        <v>0</v>
      </c>
      <c r="M1721">
        <v>0</v>
      </c>
      <c r="O1721" s="39"/>
      <c r="P1721" s="16">
        <v>35669.1</v>
      </c>
      <c r="S1721" s="17"/>
    </row>
    <row r="1722" spans="1:19" x14ac:dyDescent="0.4">
      <c r="A1722">
        <v>8706438</v>
      </c>
      <c r="B1722" s="15">
        <v>37</v>
      </c>
      <c r="C1722" s="12" t="s">
        <v>122</v>
      </c>
      <c r="D1722" s="12" t="s">
        <v>133</v>
      </c>
      <c r="E1722" s="12" t="s">
        <v>150</v>
      </c>
      <c r="F1722" s="12" t="s">
        <v>158</v>
      </c>
      <c r="G1722" s="14">
        <f t="shared" ca="1" si="26"/>
        <v>120489.65350735806</v>
      </c>
      <c r="H1722" s="12" t="s">
        <v>171</v>
      </c>
      <c r="I1722">
        <v>0</v>
      </c>
      <c r="J1722">
        <v>40</v>
      </c>
      <c r="K1722" s="12" t="s">
        <v>176</v>
      </c>
      <c r="L1722">
        <v>0</v>
      </c>
      <c r="M1722">
        <v>0</v>
      </c>
      <c r="O1722" s="39"/>
      <c r="P1722" s="15">
        <v>62859.11</v>
      </c>
      <c r="S1722" s="17"/>
    </row>
    <row r="1723" spans="1:19" x14ac:dyDescent="0.4">
      <c r="A1723">
        <v>8721322</v>
      </c>
      <c r="B1723" s="16">
        <v>23</v>
      </c>
      <c r="C1723" s="12" t="s">
        <v>126</v>
      </c>
      <c r="D1723" s="12" t="s">
        <v>134</v>
      </c>
      <c r="E1723" s="12" t="s">
        <v>150</v>
      </c>
      <c r="F1723" s="12" t="s">
        <v>156</v>
      </c>
      <c r="G1723" s="14">
        <f t="shared" ca="1" si="26"/>
        <v>286337.36282037687</v>
      </c>
      <c r="H1723" s="12" t="s">
        <v>172</v>
      </c>
      <c r="I1723">
        <v>0</v>
      </c>
      <c r="J1723">
        <v>40</v>
      </c>
      <c r="K1723" s="12" t="s">
        <v>176</v>
      </c>
      <c r="L1723">
        <v>0</v>
      </c>
      <c r="M1723">
        <v>0</v>
      </c>
      <c r="O1723" s="39"/>
      <c r="P1723" s="16">
        <v>220099.64</v>
      </c>
      <c r="S1723" s="17"/>
    </row>
    <row r="1724" spans="1:19" x14ac:dyDescent="0.4">
      <c r="A1724">
        <v>8725411</v>
      </c>
      <c r="B1724" s="15">
        <v>32</v>
      </c>
      <c r="C1724" s="12" t="s">
        <v>122</v>
      </c>
      <c r="D1724" s="12" t="s">
        <v>135</v>
      </c>
      <c r="E1724" s="12" t="s">
        <v>150</v>
      </c>
      <c r="F1724" s="12" t="s">
        <v>160</v>
      </c>
      <c r="G1724" s="14">
        <f t="shared" ca="1" si="26"/>
        <v>271285.67892312392</v>
      </c>
      <c r="H1724" s="12" t="s">
        <v>171</v>
      </c>
      <c r="I1724">
        <v>0</v>
      </c>
      <c r="J1724">
        <v>40</v>
      </c>
      <c r="K1724" s="12" t="s">
        <v>176</v>
      </c>
      <c r="L1724">
        <v>0</v>
      </c>
      <c r="M1724">
        <v>0</v>
      </c>
      <c r="O1724" s="39"/>
      <c r="P1724" s="15">
        <v>217570.86</v>
      </c>
      <c r="S1724" s="17"/>
    </row>
    <row r="1725" spans="1:19" x14ac:dyDescent="0.4">
      <c r="A1725">
        <v>8728502</v>
      </c>
      <c r="B1725" s="16">
        <v>21</v>
      </c>
      <c r="C1725" s="12" t="s">
        <v>122</v>
      </c>
      <c r="D1725" s="12" t="s">
        <v>134</v>
      </c>
      <c r="E1725" s="12" t="s">
        <v>150</v>
      </c>
      <c r="F1725" s="12" t="s">
        <v>158</v>
      </c>
      <c r="G1725" s="14">
        <f t="shared" ca="1" si="26"/>
        <v>173363.67567099331</v>
      </c>
      <c r="H1725" s="12" t="s">
        <v>172</v>
      </c>
      <c r="I1725">
        <v>0</v>
      </c>
      <c r="J1725">
        <v>40</v>
      </c>
      <c r="K1725" s="12" t="s">
        <v>176</v>
      </c>
      <c r="L1725">
        <v>0</v>
      </c>
      <c r="M1725">
        <v>0</v>
      </c>
      <c r="O1725" s="39"/>
      <c r="P1725" s="16">
        <v>102106.03</v>
      </c>
      <c r="S1725" s="17"/>
    </row>
    <row r="1726" spans="1:19" x14ac:dyDescent="0.4">
      <c r="A1726">
        <v>8730625</v>
      </c>
      <c r="B1726" s="15">
        <v>46</v>
      </c>
      <c r="C1726" s="12" t="s">
        <v>126</v>
      </c>
      <c r="D1726" s="12" t="s">
        <v>134</v>
      </c>
      <c r="E1726" s="12" t="s">
        <v>151</v>
      </c>
      <c r="F1726" s="12" t="s">
        <v>160</v>
      </c>
      <c r="G1726" s="14">
        <f t="shared" ca="1" si="26"/>
        <v>16628.435240241281</v>
      </c>
      <c r="H1726" s="12" t="s">
        <v>172</v>
      </c>
      <c r="I1726">
        <v>0</v>
      </c>
      <c r="J1726">
        <v>40</v>
      </c>
      <c r="K1726" s="12" t="s">
        <v>176</v>
      </c>
      <c r="L1726">
        <v>0</v>
      </c>
      <c r="M1726">
        <v>0</v>
      </c>
      <c r="O1726" s="39"/>
      <c r="P1726" s="15">
        <v>10067.379999999999</v>
      </c>
      <c r="S1726" s="17"/>
    </row>
    <row r="1727" spans="1:19" x14ac:dyDescent="0.4">
      <c r="A1727">
        <v>8732307</v>
      </c>
      <c r="B1727" s="16">
        <v>55</v>
      </c>
      <c r="C1727" s="12" t="s">
        <v>125</v>
      </c>
      <c r="D1727" s="12" t="s">
        <v>145</v>
      </c>
      <c r="E1727" s="12" t="s">
        <v>150</v>
      </c>
      <c r="F1727" s="12" t="s">
        <v>156</v>
      </c>
      <c r="G1727" s="14">
        <f t="shared" ca="1" si="26"/>
        <v>156732.4861838003</v>
      </c>
      <c r="H1727" s="12" t="s">
        <v>171</v>
      </c>
      <c r="I1727">
        <v>0</v>
      </c>
      <c r="J1727">
        <v>40</v>
      </c>
      <c r="K1727" s="12" t="s">
        <v>176</v>
      </c>
      <c r="L1727">
        <v>0</v>
      </c>
      <c r="M1727">
        <v>0</v>
      </c>
      <c r="O1727" s="39"/>
      <c r="P1727" s="16">
        <v>97502.95</v>
      </c>
      <c r="S1727" s="17"/>
    </row>
    <row r="1728" spans="1:19" x14ac:dyDescent="0.4">
      <c r="A1728">
        <v>8733813</v>
      </c>
      <c r="B1728" s="15">
        <v>44</v>
      </c>
      <c r="C1728" s="12" t="s">
        <v>122</v>
      </c>
      <c r="D1728" s="12" t="s">
        <v>132</v>
      </c>
      <c r="E1728" s="12" t="s">
        <v>151</v>
      </c>
      <c r="F1728" s="12" t="s">
        <v>160</v>
      </c>
      <c r="G1728" s="14">
        <f t="shared" ca="1" si="26"/>
        <v>127391.91117622625</v>
      </c>
      <c r="H1728" s="12" t="s">
        <v>171</v>
      </c>
      <c r="I1728">
        <v>0</v>
      </c>
      <c r="J1728">
        <v>50</v>
      </c>
      <c r="K1728" s="12" t="s">
        <v>176</v>
      </c>
      <c r="L1728">
        <v>0</v>
      </c>
      <c r="M1728">
        <v>0</v>
      </c>
      <c r="O1728" s="39"/>
      <c r="P1728" s="15">
        <v>92595.95</v>
      </c>
      <c r="S1728" s="17"/>
    </row>
    <row r="1729" spans="1:19" x14ac:dyDescent="0.4">
      <c r="A1729">
        <v>8735659</v>
      </c>
      <c r="B1729" s="16">
        <v>35</v>
      </c>
      <c r="C1729" s="12" t="s">
        <v>123</v>
      </c>
      <c r="D1729" s="12" t="s">
        <v>134</v>
      </c>
      <c r="E1729" s="12" t="s">
        <v>151</v>
      </c>
      <c r="F1729" s="12" t="s">
        <v>159</v>
      </c>
      <c r="G1729" s="14">
        <f t="shared" ca="1" si="26"/>
        <v>334316.04295234563</v>
      </c>
      <c r="H1729" s="12" t="s">
        <v>172</v>
      </c>
      <c r="I1729">
        <v>0</v>
      </c>
      <c r="J1729">
        <v>15</v>
      </c>
      <c r="K1729" s="12" t="s">
        <v>176</v>
      </c>
      <c r="L1729">
        <v>0</v>
      </c>
      <c r="M1729">
        <v>0</v>
      </c>
      <c r="O1729" s="39"/>
      <c r="P1729" s="16">
        <v>171957.58</v>
      </c>
      <c r="S1729" s="17"/>
    </row>
    <row r="1730" spans="1:19" x14ac:dyDescent="0.4">
      <c r="A1730">
        <v>8738103</v>
      </c>
      <c r="B1730" s="15">
        <v>57</v>
      </c>
      <c r="C1730" s="12" t="s">
        <v>127</v>
      </c>
      <c r="D1730" s="12" t="s">
        <v>134</v>
      </c>
      <c r="E1730" s="12" t="s">
        <v>150</v>
      </c>
      <c r="F1730" s="12" t="s">
        <v>158</v>
      </c>
      <c r="G1730" s="14">
        <f t="shared" ca="1" si="26"/>
        <v>3965.6992728263267</v>
      </c>
      <c r="H1730" s="12" t="s">
        <v>172</v>
      </c>
      <c r="I1730">
        <v>1505.3333333333301</v>
      </c>
      <c r="J1730">
        <v>40</v>
      </c>
      <c r="K1730" s="12" t="s">
        <v>176</v>
      </c>
      <c r="L1730">
        <v>0</v>
      </c>
      <c r="M1730">
        <v>0</v>
      </c>
      <c r="O1730" s="39"/>
      <c r="P1730" s="15">
        <v>3666.87</v>
      </c>
      <c r="S1730" s="17"/>
    </row>
    <row r="1731" spans="1:19" x14ac:dyDescent="0.4">
      <c r="A1731">
        <v>8741452</v>
      </c>
      <c r="B1731" s="16">
        <v>58</v>
      </c>
      <c r="C1731" s="12" t="s">
        <v>129</v>
      </c>
      <c r="D1731" s="12" t="s">
        <v>145</v>
      </c>
      <c r="E1731" s="12" t="s">
        <v>152</v>
      </c>
      <c r="F1731" s="12" t="s">
        <v>129</v>
      </c>
      <c r="G1731" s="14">
        <f t="shared" ca="1" si="26"/>
        <v>12379.128884040796</v>
      </c>
      <c r="H1731" s="12" t="s">
        <v>172</v>
      </c>
      <c r="I1731">
        <v>0</v>
      </c>
      <c r="J1731">
        <v>24</v>
      </c>
      <c r="K1731" s="12" t="s">
        <v>176</v>
      </c>
      <c r="L1731">
        <v>0</v>
      </c>
      <c r="M1731">
        <v>0</v>
      </c>
      <c r="O1731" s="39"/>
      <c r="P1731" s="16">
        <v>9294.49</v>
      </c>
      <c r="S1731" s="17"/>
    </row>
    <row r="1732" spans="1:19" x14ac:dyDescent="0.4">
      <c r="A1732">
        <v>8747513</v>
      </c>
      <c r="B1732" s="15">
        <v>64</v>
      </c>
      <c r="C1732" s="12" t="s">
        <v>124</v>
      </c>
      <c r="D1732" s="12" t="s">
        <v>134</v>
      </c>
      <c r="E1732" s="12" t="s">
        <v>152</v>
      </c>
      <c r="F1732" s="12" t="s">
        <v>158</v>
      </c>
      <c r="G1732" s="14">
        <f t="shared" ca="1" si="26"/>
        <v>190852.86988589895</v>
      </c>
      <c r="H1732" s="12" t="s">
        <v>171</v>
      </c>
      <c r="I1732">
        <v>0</v>
      </c>
      <c r="J1732">
        <v>40</v>
      </c>
      <c r="K1732" s="12" t="s">
        <v>129</v>
      </c>
      <c r="L1732">
        <v>20051</v>
      </c>
      <c r="M1732">
        <v>1</v>
      </c>
      <c r="O1732" s="39"/>
      <c r="P1732" s="15">
        <v>122906.29</v>
      </c>
      <c r="S1732" s="17"/>
    </row>
    <row r="1733" spans="1:19" x14ac:dyDescent="0.4">
      <c r="A1733">
        <v>8749774</v>
      </c>
      <c r="B1733" s="16">
        <v>52</v>
      </c>
      <c r="C1733" s="12" t="s">
        <v>122</v>
      </c>
      <c r="D1733" s="12" t="s">
        <v>138</v>
      </c>
      <c r="E1733" s="12" t="s">
        <v>151</v>
      </c>
      <c r="F1733" s="12" t="s">
        <v>144</v>
      </c>
      <c r="G1733" s="14">
        <f t="shared" ca="1" si="26"/>
        <v>85382.461130225696</v>
      </c>
      <c r="H1733" s="12" t="s">
        <v>171</v>
      </c>
      <c r="I1733">
        <v>0</v>
      </c>
      <c r="J1733">
        <v>60</v>
      </c>
      <c r="K1733" s="12" t="s">
        <v>176</v>
      </c>
      <c r="L1733">
        <v>0</v>
      </c>
      <c r="M1733">
        <v>0</v>
      </c>
      <c r="O1733" s="39"/>
      <c r="P1733" s="16">
        <v>56251.18</v>
      </c>
      <c r="S1733" s="17"/>
    </row>
    <row r="1734" spans="1:19" x14ac:dyDescent="0.4">
      <c r="A1734">
        <v>8751802</v>
      </c>
      <c r="B1734" s="15">
        <v>36</v>
      </c>
      <c r="C1734" s="12" t="s">
        <v>122</v>
      </c>
      <c r="D1734" s="12" t="s">
        <v>132</v>
      </c>
      <c r="E1734" s="12" t="s">
        <v>151</v>
      </c>
      <c r="F1734" s="12" t="s">
        <v>158</v>
      </c>
      <c r="G1734" s="14">
        <f t="shared" ca="1" si="26"/>
        <v>136700.69060510371</v>
      </c>
      <c r="H1734" s="12" t="s">
        <v>172</v>
      </c>
      <c r="I1734">
        <v>0</v>
      </c>
      <c r="J1734">
        <v>45</v>
      </c>
      <c r="K1734" s="12" t="s">
        <v>176</v>
      </c>
      <c r="L1734">
        <v>0</v>
      </c>
      <c r="M1734">
        <v>0</v>
      </c>
      <c r="O1734" s="39"/>
      <c r="P1734" s="15">
        <v>110263.49</v>
      </c>
      <c r="S1734" s="17"/>
    </row>
    <row r="1735" spans="1:19" x14ac:dyDescent="0.4">
      <c r="A1735">
        <v>8752461</v>
      </c>
      <c r="B1735" s="16">
        <v>39</v>
      </c>
      <c r="C1735" s="12" t="s">
        <v>122</v>
      </c>
      <c r="D1735" s="12" t="s">
        <v>134</v>
      </c>
      <c r="E1735" s="12" t="s">
        <v>152</v>
      </c>
      <c r="F1735" s="12" t="s">
        <v>162</v>
      </c>
      <c r="G1735" s="14">
        <f t="shared" ca="1" si="26"/>
        <v>290106.19733776106</v>
      </c>
      <c r="H1735" s="12" t="s">
        <v>171</v>
      </c>
      <c r="I1735">
        <v>0</v>
      </c>
      <c r="J1735">
        <v>36</v>
      </c>
      <c r="K1735" s="12" t="s">
        <v>176</v>
      </c>
      <c r="L1735">
        <v>0</v>
      </c>
      <c r="M1735">
        <v>0</v>
      </c>
      <c r="O1735" s="39"/>
      <c r="P1735" s="16">
        <v>168753.79</v>
      </c>
      <c r="S1735" s="17"/>
    </row>
    <row r="1736" spans="1:19" x14ac:dyDescent="0.4">
      <c r="A1736">
        <v>8752512</v>
      </c>
      <c r="B1736" s="15">
        <v>18</v>
      </c>
      <c r="C1736" s="12" t="s">
        <v>122</v>
      </c>
      <c r="D1736" s="12" t="s">
        <v>132</v>
      </c>
      <c r="E1736" s="12" t="s">
        <v>150</v>
      </c>
      <c r="F1736" s="12" t="s">
        <v>158</v>
      </c>
      <c r="G1736" s="14">
        <f t="shared" ca="1" si="26"/>
        <v>198168.21392395499</v>
      </c>
      <c r="H1736" s="12" t="s">
        <v>172</v>
      </c>
      <c r="I1736">
        <v>0</v>
      </c>
      <c r="J1736">
        <v>30</v>
      </c>
      <c r="K1736" s="12" t="s">
        <v>176</v>
      </c>
      <c r="L1736">
        <v>0</v>
      </c>
      <c r="M1736">
        <v>0</v>
      </c>
      <c r="O1736" s="39"/>
      <c r="P1736" s="15">
        <v>177348.64</v>
      </c>
      <c r="S1736" s="17"/>
    </row>
    <row r="1737" spans="1:19" x14ac:dyDescent="0.4">
      <c r="A1737">
        <v>8753378</v>
      </c>
      <c r="B1737" s="16">
        <v>24</v>
      </c>
      <c r="C1737" s="12" t="s">
        <v>127</v>
      </c>
      <c r="D1737" s="12" t="s">
        <v>135</v>
      </c>
      <c r="E1737" s="12" t="s">
        <v>150</v>
      </c>
      <c r="F1737" s="12" t="s">
        <v>144</v>
      </c>
      <c r="G1737" s="14">
        <f t="shared" ca="1" si="26"/>
        <v>94241.894291624747</v>
      </c>
      <c r="H1737" s="12" t="s">
        <v>171</v>
      </c>
      <c r="I1737">
        <v>0</v>
      </c>
      <c r="J1737">
        <v>40</v>
      </c>
      <c r="K1737" s="12" t="s">
        <v>176</v>
      </c>
      <c r="L1737">
        <v>0</v>
      </c>
      <c r="M1737">
        <v>0</v>
      </c>
      <c r="O1737" s="39"/>
      <c r="P1737" s="16">
        <v>79484.820000000007</v>
      </c>
      <c r="S1737" s="17"/>
    </row>
    <row r="1738" spans="1:19" x14ac:dyDescent="0.4">
      <c r="A1738">
        <v>8759657</v>
      </c>
      <c r="B1738" s="15">
        <v>30</v>
      </c>
      <c r="C1738" s="12" t="s">
        <v>122</v>
      </c>
      <c r="D1738" s="12" t="s">
        <v>134</v>
      </c>
      <c r="E1738" s="12" t="s">
        <v>152</v>
      </c>
      <c r="F1738" s="12" t="s">
        <v>159</v>
      </c>
      <c r="G1738" s="14">
        <f t="shared" ca="1" si="26"/>
        <v>61318.658563028133</v>
      </c>
      <c r="H1738" s="12" t="s">
        <v>172</v>
      </c>
      <c r="I1738">
        <v>0</v>
      </c>
      <c r="J1738">
        <v>40</v>
      </c>
      <c r="K1738" s="12" t="s">
        <v>176</v>
      </c>
      <c r="L1738">
        <v>0</v>
      </c>
      <c r="M1738">
        <v>0</v>
      </c>
      <c r="O1738" s="39"/>
      <c r="P1738" s="15">
        <v>38139.25</v>
      </c>
      <c r="S1738" s="17"/>
    </row>
    <row r="1739" spans="1:19" x14ac:dyDescent="0.4">
      <c r="A1739">
        <v>8761470</v>
      </c>
      <c r="B1739" s="16">
        <v>40</v>
      </c>
      <c r="C1739" s="12" t="s">
        <v>122</v>
      </c>
      <c r="D1739" s="12" t="s">
        <v>132</v>
      </c>
      <c r="E1739" s="12" t="s">
        <v>152</v>
      </c>
      <c r="F1739" s="12" t="s">
        <v>159</v>
      </c>
      <c r="G1739" s="14">
        <f t="shared" ref="G1739:G1802" ca="1" si="27">P1739*(1+RAND())</f>
        <v>33805.758383425426</v>
      </c>
      <c r="H1739" s="12" t="s">
        <v>172</v>
      </c>
      <c r="I1739">
        <v>0</v>
      </c>
      <c r="J1739">
        <v>52</v>
      </c>
      <c r="K1739" s="12" t="s">
        <v>176</v>
      </c>
      <c r="L1739">
        <v>0</v>
      </c>
      <c r="M1739">
        <v>0</v>
      </c>
      <c r="O1739" s="39"/>
      <c r="P1739" s="16">
        <v>26579.19</v>
      </c>
      <c r="S1739" s="17"/>
    </row>
    <row r="1740" spans="1:19" x14ac:dyDescent="0.4">
      <c r="A1740">
        <v>8764551</v>
      </c>
      <c r="B1740" s="15">
        <v>35</v>
      </c>
      <c r="C1740" s="12" t="s">
        <v>126</v>
      </c>
      <c r="D1740" s="12" t="s">
        <v>132</v>
      </c>
      <c r="E1740" s="12" t="s">
        <v>151</v>
      </c>
      <c r="F1740" s="12" t="s">
        <v>158</v>
      </c>
      <c r="G1740" s="14">
        <f t="shared" ca="1" si="27"/>
        <v>342852.72019696125</v>
      </c>
      <c r="H1740" s="12" t="s">
        <v>171</v>
      </c>
      <c r="I1740">
        <v>0</v>
      </c>
      <c r="J1740">
        <v>40</v>
      </c>
      <c r="K1740" s="12" t="s">
        <v>176</v>
      </c>
      <c r="L1740">
        <v>0</v>
      </c>
      <c r="M1740">
        <v>0</v>
      </c>
      <c r="O1740" s="39"/>
      <c r="P1740" s="15">
        <v>215224.82</v>
      </c>
      <c r="S1740" s="17"/>
    </row>
    <row r="1741" spans="1:19" x14ac:dyDescent="0.4">
      <c r="A1741">
        <v>8769201</v>
      </c>
      <c r="B1741" s="16">
        <v>44</v>
      </c>
      <c r="C1741" s="12" t="s">
        <v>122</v>
      </c>
      <c r="D1741" s="12" t="s">
        <v>132</v>
      </c>
      <c r="E1741" s="12" t="s">
        <v>152</v>
      </c>
      <c r="F1741" s="12" t="s">
        <v>162</v>
      </c>
      <c r="G1741" s="14">
        <f t="shared" ca="1" si="27"/>
        <v>37995.608831508369</v>
      </c>
      <c r="H1741" s="12" t="s">
        <v>172</v>
      </c>
      <c r="I1741">
        <v>0</v>
      </c>
      <c r="J1741">
        <v>55</v>
      </c>
      <c r="K1741" s="12" t="s">
        <v>176</v>
      </c>
      <c r="L1741">
        <v>0</v>
      </c>
      <c r="M1741">
        <v>0</v>
      </c>
      <c r="O1741" s="39"/>
      <c r="P1741" s="16">
        <v>22373.02</v>
      </c>
      <c r="S1741" s="17"/>
    </row>
    <row r="1742" spans="1:19" x14ac:dyDescent="0.4">
      <c r="A1742">
        <v>8778709</v>
      </c>
      <c r="B1742" s="15">
        <v>32</v>
      </c>
      <c r="C1742" s="12" t="s">
        <v>127</v>
      </c>
      <c r="D1742" s="12" t="s">
        <v>135</v>
      </c>
      <c r="E1742" s="12" t="s">
        <v>152</v>
      </c>
      <c r="F1742" s="12" t="s">
        <v>160</v>
      </c>
      <c r="G1742" s="14">
        <f t="shared" ca="1" si="27"/>
        <v>36784.961480528356</v>
      </c>
      <c r="H1742" s="12" t="s">
        <v>172</v>
      </c>
      <c r="I1742">
        <v>0</v>
      </c>
      <c r="J1742">
        <v>40</v>
      </c>
      <c r="K1742" s="12" t="s">
        <v>176</v>
      </c>
      <c r="L1742">
        <v>0</v>
      </c>
      <c r="M1742">
        <v>0</v>
      </c>
      <c r="O1742" s="39"/>
      <c r="P1742" s="15">
        <v>25724.06</v>
      </c>
      <c r="S1742" s="17"/>
    </row>
    <row r="1743" spans="1:19" x14ac:dyDescent="0.4">
      <c r="A1743">
        <v>8778723</v>
      </c>
      <c r="B1743" s="16">
        <v>50</v>
      </c>
      <c r="C1743" s="12" t="s">
        <v>122</v>
      </c>
      <c r="D1743" s="12" t="s">
        <v>132</v>
      </c>
      <c r="E1743" s="12" t="s">
        <v>152</v>
      </c>
      <c r="F1743" s="12" t="s">
        <v>161</v>
      </c>
      <c r="G1743" s="14">
        <f t="shared" ca="1" si="27"/>
        <v>41014.310397546622</v>
      </c>
      <c r="H1743" s="12" t="s">
        <v>172</v>
      </c>
      <c r="I1743">
        <v>0</v>
      </c>
      <c r="J1743">
        <v>40</v>
      </c>
      <c r="K1743" s="12" t="s">
        <v>176</v>
      </c>
      <c r="L1743">
        <v>0</v>
      </c>
      <c r="M1743">
        <v>0</v>
      </c>
      <c r="O1743" s="39"/>
      <c r="P1743" s="16">
        <v>31436.62</v>
      </c>
      <c r="S1743" s="17"/>
    </row>
    <row r="1744" spans="1:19" x14ac:dyDescent="0.4">
      <c r="A1744">
        <v>8779157</v>
      </c>
      <c r="B1744" s="15">
        <v>51</v>
      </c>
      <c r="C1744" s="12" t="s">
        <v>123</v>
      </c>
      <c r="D1744" s="12" t="s">
        <v>133</v>
      </c>
      <c r="E1744" s="12" t="s">
        <v>151</v>
      </c>
      <c r="F1744" s="12" t="s">
        <v>160</v>
      </c>
      <c r="G1744" s="14">
        <f t="shared" ca="1" si="27"/>
        <v>426056.14973490604</v>
      </c>
      <c r="H1744" s="12" t="s">
        <v>171</v>
      </c>
      <c r="I1744">
        <v>0</v>
      </c>
      <c r="J1744">
        <v>99</v>
      </c>
      <c r="K1744" s="12" t="s">
        <v>176</v>
      </c>
      <c r="L1744">
        <v>0</v>
      </c>
      <c r="M1744">
        <v>0</v>
      </c>
      <c r="O1744" s="39"/>
      <c r="P1744" s="15">
        <v>257253.9</v>
      </c>
      <c r="S1744" s="17"/>
    </row>
    <row r="1745" spans="1:19" x14ac:dyDescent="0.4">
      <c r="A1745">
        <v>8786914</v>
      </c>
      <c r="B1745" s="16">
        <v>36</v>
      </c>
      <c r="C1745" s="12" t="s">
        <v>122</v>
      </c>
      <c r="D1745" s="12" t="s">
        <v>139</v>
      </c>
      <c r="E1745" s="12" t="s">
        <v>152</v>
      </c>
      <c r="F1745" s="12" t="s">
        <v>157</v>
      </c>
      <c r="G1745" s="14">
        <f t="shared" ca="1" si="27"/>
        <v>65672.481104852573</v>
      </c>
      <c r="H1745" s="12" t="s">
        <v>172</v>
      </c>
      <c r="I1745">
        <v>0</v>
      </c>
      <c r="J1745">
        <v>47</v>
      </c>
      <c r="K1745" s="12" t="s">
        <v>176</v>
      </c>
      <c r="L1745">
        <v>0</v>
      </c>
      <c r="M1745">
        <v>0</v>
      </c>
      <c r="O1745" s="39"/>
      <c r="P1745" s="16">
        <v>45375.02</v>
      </c>
      <c r="S1745" s="17"/>
    </row>
    <row r="1746" spans="1:19" x14ac:dyDescent="0.4">
      <c r="A1746">
        <v>8796387</v>
      </c>
      <c r="B1746" s="15">
        <v>34</v>
      </c>
      <c r="C1746" s="12" t="s">
        <v>122</v>
      </c>
      <c r="D1746" s="12" t="s">
        <v>132</v>
      </c>
      <c r="E1746" s="12" t="s">
        <v>152</v>
      </c>
      <c r="F1746" s="12" t="s">
        <v>156</v>
      </c>
      <c r="G1746" s="14">
        <f t="shared" ca="1" si="27"/>
        <v>49269.270975702086</v>
      </c>
      <c r="H1746" s="12" t="s">
        <v>172</v>
      </c>
      <c r="I1746">
        <v>0</v>
      </c>
      <c r="J1746">
        <v>40</v>
      </c>
      <c r="K1746" s="12" t="s">
        <v>176</v>
      </c>
      <c r="L1746">
        <v>0</v>
      </c>
      <c r="M1746">
        <v>0</v>
      </c>
      <c r="O1746" s="39"/>
      <c r="P1746" s="15">
        <v>28083.21</v>
      </c>
      <c r="S1746" s="17"/>
    </row>
    <row r="1747" spans="1:19" x14ac:dyDescent="0.4">
      <c r="A1747">
        <v>8796598</v>
      </c>
      <c r="B1747" s="16">
        <v>61</v>
      </c>
      <c r="C1747" s="12" t="s">
        <v>122</v>
      </c>
      <c r="D1747" s="12" t="s">
        <v>134</v>
      </c>
      <c r="E1747" s="12" t="s">
        <v>150</v>
      </c>
      <c r="F1747" s="12" t="s">
        <v>158</v>
      </c>
      <c r="G1747" s="14">
        <f t="shared" ca="1" si="27"/>
        <v>84624.590313700653</v>
      </c>
      <c r="H1747" s="12" t="s">
        <v>171</v>
      </c>
      <c r="I1747">
        <v>0</v>
      </c>
      <c r="J1747">
        <v>40</v>
      </c>
      <c r="K1747" s="12" t="s">
        <v>176</v>
      </c>
      <c r="L1747">
        <v>0</v>
      </c>
      <c r="M1747">
        <v>0</v>
      </c>
      <c r="O1747" s="39"/>
      <c r="P1747" s="16">
        <v>74508.929999999993</v>
      </c>
      <c r="S1747" s="17"/>
    </row>
    <row r="1748" spans="1:19" x14ac:dyDescent="0.4">
      <c r="A1748">
        <v>8797408</v>
      </c>
      <c r="B1748" s="15">
        <v>65</v>
      </c>
      <c r="C1748" s="12" t="s">
        <v>122</v>
      </c>
      <c r="D1748" s="12" t="s">
        <v>140</v>
      </c>
      <c r="E1748" s="12" t="s">
        <v>151</v>
      </c>
      <c r="F1748" s="12" t="s">
        <v>164</v>
      </c>
      <c r="G1748" s="14">
        <f t="shared" ca="1" si="27"/>
        <v>189717.41816961206</v>
      </c>
      <c r="H1748" s="12" t="s">
        <v>171</v>
      </c>
      <c r="I1748">
        <v>0</v>
      </c>
      <c r="J1748">
        <v>28</v>
      </c>
      <c r="K1748" s="12" t="s">
        <v>176</v>
      </c>
      <c r="L1748">
        <v>0</v>
      </c>
      <c r="M1748">
        <v>0</v>
      </c>
      <c r="O1748" s="39"/>
      <c r="P1748" s="15">
        <v>100886.51</v>
      </c>
      <c r="S1748" s="17"/>
    </row>
    <row r="1749" spans="1:19" x14ac:dyDescent="0.4">
      <c r="A1749">
        <v>8802740</v>
      </c>
      <c r="B1749" s="16">
        <v>30</v>
      </c>
      <c r="C1749" s="12" t="s">
        <v>122</v>
      </c>
      <c r="D1749" s="12" t="s">
        <v>133</v>
      </c>
      <c r="E1749" s="12" t="s">
        <v>149</v>
      </c>
      <c r="F1749" s="12" t="s">
        <v>156</v>
      </c>
      <c r="G1749" s="14">
        <f t="shared" ca="1" si="27"/>
        <v>362157.86781575705</v>
      </c>
      <c r="H1749" s="12" t="s">
        <v>171</v>
      </c>
      <c r="I1749">
        <v>0</v>
      </c>
      <c r="J1749">
        <v>40</v>
      </c>
      <c r="K1749" s="12" t="s">
        <v>176</v>
      </c>
      <c r="L1749">
        <v>0</v>
      </c>
      <c r="M1749">
        <v>0</v>
      </c>
      <c r="O1749" s="39"/>
      <c r="P1749" s="16">
        <v>205539.85</v>
      </c>
      <c r="S1749" s="17"/>
    </row>
    <row r="1750" spans="1:19" x14ac:dyDescent="0.4">
      <c r="A1750">
        <v>8810146</v>
      </c>
      <c r="B1750" s="15">
        <v>29</v>
      </c>
      <c r="C1750" s="12" t="s">
        <v>122</v>
      </c>
      <c r="D1750" s="12" t="s">
        <v>135</v>
      </c>
      <c r="E1750" s="12" t="s">
        <v>150</v>
      </c>
      <c r="F1750" s="12" t="s">
        <v>160</v>
      </c>
      <c r="G1750" s="14">
        <f t="shared" ca="1" si="27"/>
        <v>129127.65134973862</v>
      </c>
      <c r="H1750" s="12" t="s">
        <v>171</v>
      </c>
      <c r="I1750">
        <v>0</v>
      </c>
      <c r="J1750">
        <v>55</v>
      </c>
      <c r="K1750" s="12" t="s">
        <v>176</v>
      </c>
      <c r="L1750">
        <v>0</v>
      </c>
      <c r="M1750">
        <v>0</v>
      </c>
      <c r="O1750" s="39"/>
      <c r="P1750" s="15">
        <v>84409.78</v>
      </c>
      <c r="S1750" s="17"/>
    </row>
    <row r="1751" spans="1:19" x14ac:dyDescent="0.4">
      <c r="A1751">
        <v>8816453</v>
      </c>
      <c r="B1751" s="16">
        <v>37</v>
      </c>
      <c r="C1751" s="12" t="s">
        <v>122</v>
      </c>
      <c r="D1751" s="12" t="s">
        <v>144</v>
      </c>
      <c r="E1751" s="12" t="s">
        <v>152</v>
      </c>
      <c r="F1751" s="12" t="s">
        <v>162</v>
      </c>
      <c r="G1751" s="14">
        <f t="shared" ca="1" si="27"/>
        <v>15919.536328578053</v>
      </c>
      <c r="H1751" s="12" t="s">
        <v>172</v>
      </c>
      <c r="I1751">
        <v>0</v>
      </c>
      <c r="J1751">
        <v>45</v>
      </c>
      <c r="K1751" s="12" t="s">
        <v>176</v>
      </c>
      <c r="L1751">
        <v>5120</v>
      </c>
      <c r="M1751">
        <v>1</v>
      </c>
      <c r="O1751" s="39"/>
      <c r="P1751" s="16">
        <v>8856.16</v>
      </c>
      <c r="S1751" s="17"/>
    </row>
    <row r="1752" spans="1:19" x14ac:dyDescent="0.4">
      <c r="A1752">
        <v>8819153</v>
      </c>
      <c r="B1752" s="15">
        <v>38</v>
      </c>
      <c r="C1752" s="12" t="s">
        <v>122</v>
      </c>
      <c r="D1752" s="12" t="s">
        <v>134</v>
      </c>
      <c r="E1752" s="12" t="s">
        <v>150</v>
      </c>
      <c r="F1752" s="12" t="s">
        <v>160</v>
      </c>
      <c r="G1752" s="14">
        <f t="shared" ca="1" si="27"/>
        <v>329700.2236511262</v>
      </c>
      <c r="H1752" s="12" t="s">
        <v>171</v>
      </c>
      <c r="I1752">
        <v>0</v>
      </c>
      <c r="J1752">
        <v>40</v>
      </c>
      <c r="K1752" s="12" t="s">
        <v>176</v>
      </c>
      <c r="L1752">
        <v>0</v>
      </c>
      <c r="M1752">
        <v>0</v>
      </c>
      <c r="O1752" s="39"/>
      <c r="P1752" s="15">
        <v>187366.22</v>
      </c>
      <c r="S1752" s="17"/>
    </row>
    <row r="1753" spans="1:19" x14ac:dyDescent="0.4">
      <c r="A1753">
        <v>8819820</v>
      </c>
      <c r="B1753" s="16">
        <v>54</v>
      </c>
      <c r="C1753" s="12" t="s">
        <v>122</v>
      </c>
      <c r="D1753" s="12" t="s">
        <v>132</v>
      </c>
      <c r="E1753" s="12" t="s">
        <v>152</v>
      </c>
      <c r="F1753" s="12" t="s">
        <v>164</v>
      </c>
      <c r="G1753" s="14">
        <f t="shared" ca="1" si="27"/>
        <v>52792.077117082728</v>
      </c>
      <c r="H1753" s="12" t="s">
        <v>172</v>
      </c>
      <c r="I1753">
        <v>0</v>
      </c>
      <c r="J1753">
        <v>40</v>
      </c>
      <c r="K1753" s="12" t="s">
        <v>176</v>
      </c>
      <c r="L1753">
        <v>0</v>
      </c>
      <c r="M1753">
        <v>0</v>
      </c>
      <c r="O1753" s="39"/>
      <c r="P1753" s="16">
        <v>31677.52</v>
      </c>
      <c r="S1753" s="17"/>
    </row>
    <row r="1754" spans="1:19" x14ac:dyDescent="0.4">
      <c r="A1754">
        <v>8829793</v>
      </c>
      <c r="B1754" s="15">
        <v>43</v>
      </c>
      <c r="C1754" s="12" t="s">
        <v>122</v>
      </c>
      <c r="D1754" s="12" t="s">
        <v>135</v>
      </c>
      <c r="E1754" s="12" t="s">
        <v>150</v>
      </c>
      <c r="F1754" s="12" t="s">
        <v>144</v>
      </c>
      <c r="G1754" s="14">
        <f t="shared" ca="1" si="27"/>
        <v>31718.495665724553</v>
      </c>
      <c r="H1754" s="12" t="s">
        <v>171</v>
      </c>
      <c r="I1754">
        <v>0</v>
      </c>
      <c r="J1754">
        <v>40</v>
      </c>
      <c r="K1754" s="12" t="s">
        <v>176</v>
      </c>
      <c r="L1754">
        <v>0</v>
      </c>
      <c r="M1754">
        <v>1</v>
      </c>
      <c r="O1754" s="39"/>
      <c r="P1754" s="15">
        <v>26205.4</v>
      </c>
      <c r="S1754" s="17"/>
    </row>
    <row r="1755" spans="1:19" x14ac:dyDescent="0.4">
      <c r="A1755">
        <v>8834030</v>
      </c>
      <c r="B1755" s="16">
        <v>43</v>
      </c>
      <c r="C1755" s="12" t="s">
        <v>123</v>
      </c>
      <c r="D1755" s="12" t="s">
        <v>134</v>
      </c>
      <c r="E1755" s="12" t="s">
        <v>152</v>
      </c>
      <c r="F1755" s="12" t="s">
        <v>159</v>
      </c>
      <c r="G1755" s="14">
        <f t="shared" ca="1" si="27"/>
        <v>48898.151657856353</v>
      </c>
      <c r="H1755" s="12" t="s">
        <v>172</v>
      </c>
      <c r="I1755">
        <v>0</v>
      </c>
      <c r="J1755">
        <v>60</v>
      </c>
      <c r="K1755" s="12" t="s">
        <v>176</v>
      </c>
      <c r="L1755">
        <v>0</v>
      </c>
      <c r="M1755">
        <v>0</v>
      </c>
      <c r="O1755" s="39"/>
      <c r="P1755" s="16">
        <v>41590.239999999998</v>
      </c>
      <c r="S1755" s="17"/>
    </row>
    <row r="1756" spans="1:19" x14ac:dyDescent="0.4">
      <c r="A1756">
        <v>8837579</v>
      </c>
      <c r="B1756" s="15">
        <v>46</v>
      </c>
      <c r="C1756" s="12" t="s">
        <v>129</v>
      </c>
      <c r="D1756" s="12" t="s">
        <v>134</v>
      </c>
      <c r="E1756" s="12" t="s">
        <v>151</v>
      </c>
      <c r="F1756" s="12" t="s">
        <v>129</v>
      </c>
      <c r="G1756" s="14">
        <f t="shared" ca="1" si="27"/>
        <v>83174.108678419012</v>
      </c>
      <c r="H1756" s="12" t="s">
        <v>171</v>
      </c>
      <c r="I1756">
        <v>0</v>
      </c>
      <c r="J1756">
        <v>15</v>
      </c>
      <c r="K1756" s="12" t="s">
        <v>176</v>
      </c>
      <c r="L1756">
        <v>0</v>
      </c>
      <c r="M1756">
        <v>0</v>
      </c>
      <c r="O1756" s="39"/>
      <c r="P1756" s="15">
        <v>64482.04</v>
      </c>
      <c r="S1756" s="17"/>
    </row>
    <row r="1757" spans="1:19" x14ac:dyDescent="0.4">
      <c r="A1757">
        <v>8841359</v>
      </c>
      <c r="B1757" s="16">
        <v>44</v>
      </c>
      <c r="C1757" s="12" t="s">
        <v>122</v>
      </c>
      <c r="D1757" s="12" t="s">
        <v>135</v>
      </c>
      <c r="E1757" s="12" t="s">
        <v>151</v>
      </c>
      <c r="F1757" s="12" t="s">
        <v>144</v>
      </c>
      <c r="G1757" s="14">
        <f t="shared" ca="1" si="27"/>
        <v>155476.71796551492</v>
      </c>
      <c r="H1757" s="12" t="s">
        <v>172</v>
      </c>
      <c r="I1757">
        <v>0</v>
      </c>
      <c r="J1757">
        <v>40</v>
      </c>
      <c r="K1757" s="12" t="s">
        <v>176</v>
      </c>
      <c r="L1757">
        <v>0</v>
      </c>
      <c r="M1757">
        <v>0</v>
      </c>
      <c r="O1757" s="39"/>
      <c r="P1757" s="16">
        <v>143817</v>
      </c>
      <c r="S1757" s="17"/>
    </row>
    <row r="1758" spans="1:19" x14ac:dyDescent="0.4">
      <c r="A1758">
        <v>8848288</v>
      </c>
      <c r="B1758" s="15">
        <v>21</v>
      </c>
      <c r="C1758" s="12" t="s">
        <v>122</v>
      </c>
      <c r="D1758" s="12" t="s">
        <v>132</v>
      </c>
      <c r="E1758" s="12" t="s">
        <v>150</v>
      </c>
      <c r="F1758" s="12" t="s">
        <v>162</v>
      </c>
      <c r="G1758" s="14">
        <f t="shared" ca="1" si="27"/>
        <v>185622.06726421352</v>
      </c>
      <c r="H1758" s="12" t="s">
        <v>171</v>
      </c>
      <c r="I1758">
        <v>0</v>
      </c>
      <c r="J1758">
        <v>40</v>
      </c>
      <c r="K1758" s="12" t="s">
        <v>176</v>
      </c>
      <c r="L1758">
        <v>0</v>
      </c>
      <c r="M1758">
        <v>0</v>
      </c>
      <c r="O1758" s="39"/>
      <c r="P1758" s="15">
        <v>138764.04</v>
      </c>
      <c r="S1758" s="17"/>
    </row>
    <row r="1759" spans="1:19" x14ac:dyDescent="0.4">
      <c r="A1759">
        <v>8866502</v>
      </c>
      <c r="B1759" s="16">
        <v>68</v>
      </c>
      <c r="C1759" s="12" t="s">
        <v>122</v>
      </c>
      <c r="D1759" s="12" t="s">
        <v>138</v>
      </c>
      <c r="E1759" s="12" t="s">
        <v>152</v>
      </c>
      <c r="F1759" s="12" t="s">
        <v>144</v>
      </c>
      <c r="G1759" s="14">
        <f t="shared" ca="1" si="27"/>
        <v>62277.619115292866</v>
      </c>
      <c r="H1759" s="12" t="s">
        <v>172</v>
      </c>
      <c r="I1759">
        <v>0</v>
      </c>
      <c r="J1759">
        <v>18</v>
      </c>
      <c r="K1759" s="12" t="s">
        <v>129</v>
      </c>
      <c r="L1759">
        <v>0</v>
      </c>
      <c r="M1759">
        <v>0</v>
      </c>
      <c r="O1759" s="39"/>
      <c r="P1759" s="16">
        <v>52533.94</v>
      </c>
      <c r="S1759" s="17"/>
    </row>
    <row r="1760" spans="1:19" x14ac:dyDescent="0.4">
      <c r="A1760">
        <v>8869018</v>
      </c>
      <c r="B1760" s="15">
        <v>27</v>
      </c>
      <c r="C1760" s="12" t="s">
        <v>122</v>
      </c>
      <c r="D1760" s="12" t="s">
        <v>134</v>
      </c>
      <c r="E1760" s="12" t="s">
        <v>150</v>
      </c>
      <c r="F1760" s="12" t="s">
        <v>157</v>
      </c>
      <c r="G1760" s="14">
        <f t="shared" ca="1" si="27"/>
        <v>85418.334897839217</v>
      </c>
      <c r="H1760" s="12" t="s">
        <v>171</v>
      </c>
      <c r="I1760">
        <v>0</v>
      </c>
      <c r="J1760">
        <v>15</v>
      </c>
      <c r="K1760" s="12" t="s">
        <v>176</v>
      </c>
      <c r="L1760">
        <v>0</v>
      </c>
      <c r="M1760">
        <v>0</v>
      </c>
      <c r="O1760" s="39"/>
      <c r="P1760" s="15">
        <v>67822.94</v>
      </c>
      <c r="S1760" s="17"/>
    </row>
    <row r="1761" spans="1:19" x14ac:dyDescent="0.4">
      <c r="A1761">
        <v>8873045</v>
      </c>
      <c r="B1761" s="16">
        <v>25</v>
      </c>
      <c r="C1761" s="12" t="s">
        <v>122</v>
      </c>
      <c r="D1761" s="12" t="s">
        <v>132</v>
      </c>
      <c r="E1761" s="12" t="s">
        <v>154</v>
      </c>
      <c r="F1761" s="12" t="s">
        <v>162</v>
      </c>
      <c r="G1761" s="14">
        <f t="shared" ca="1" si="27"/>
        <v>133456.2076184222</v>
      </c>
      <c r="H1761" s="12" t="s">
        <v>172</v>
      </c>
      <c r="I1761">
        <v>0</v>
      </c>
      <c r="J1761">
        <v>50</v>
      </c>
      <c r="K1761" s="12" t="s">
        <v>176</v>
      </c>
      <c r="L1761">
        <v>0</v>
      </c>
      <c r="M1761">
        <v>0</v>
      </c>
      <c r="O1761" s="39"/>
      <c r="P1761" s="16">
        <v>76402.880000000005</v>
      </c>
      <c r="S1761" s="17"/>
    </row>
    <row r="1762" spans="1:19" x14ac:dyDescent="0.4">
      <c r="A1762">
        <v>8873595</v>
      </c>
      <c r="B1762" s="15">
        <v>59</v>
      </c>
      <c r="C1762" s="12" t="s">
        <v>122</v>
      </c>
      <c r="D1762" s="12" t="s">
        <v>132</v>
      </c>
      <c r="E1762" s="12" t="s">
        <v>149</v>
      </c>
      <c r="F1762" s="12" t="s">
        <v>158</v>
      </c>
      <c r="G1762" s="14">
        <f t="shared" ca="1" si="27"/>
        <v>310339.04085018515</v>
      </c>
      <c r="H1762" s="12" t="s">
        <v>172</v>
      </c>
      <c r="I1762">
        <v>0</v>
      </c>
      <c r="J1762">
        <v>40</v>
      </c>
      <c r="K1762" s="12" t="s">
        <v>176</v>
      </c>
      <c r="L1762">
        <v>0</v>
      </c>
      <c r="M1762">
        <v>0</v>
      </c>
      <c r="O1762" s="39"/>
      <c r="P1762" s="15">
        <v>170528.46</v>
      </c>
      <c r="S1762" s="17"/>
    </row>
    <row r="1763" spans="1:19" x14ac:dyDescent="0.4">
      <c r="A1763">
        <v>8877656</v>
      </c>
      <c r="B1763" s="16">
        <v>32</v>
      </c>
      <c r="C1763" s="12" t="s">
        <v>122</v>
      </c>
      <c r="D1763" s="12" t="s">
        <v>135</v>
      </c>
      <c r="E1763" s="12" t="s">
        <v>152</v>
      </c>
      <c r="F1763" s="12" t="s">
        <v>144</v>
      </c>
      <c r="G1763" s="14">
        <f t="shared" ca="1" si="27"/>
        <v>53395.675246143706</v>
      </c>
      <c r="H1763" s="12" t="s">
        <v>172</v>
      </c>
      <c r="I1763">
        <v>0</v>
      </c>
      <c r="J1763">
        <v>60</v>
      </c>
      <c r="K1763" s="12" t="s">
        <v>176</v>
      </c>
      <c r="L1763">
        <v>16992</v>
      </c>
      <c r="M1763">
        <v>1</v>
      </c>
      <c r="O1763" s="39"/>
      <c r="P1763" s="16">
        <v>40586.22</v>
      </c>
      <c r="S1763" s="17"/>
    </row>
    <row r="1764" spans="1:19" x14ac:dyDescent="0.4">
      <c r="A1764">
        <v>8881957</v>
      </c>
      <c r="B1764" s="15">
        <v>52</v>
      </c>
      <c r="C1764" s="12" t="s">
        <v>122</v>
      </c>
      <c r="D1764" s="12" t="s">
        <v>135</v>
      </c>
      <c r="E1764" s="12" t="s">
        <v>152</v>
      </c>
      <c r="F1764" s="12" t="s">
        <v>144</v>
      </c>
      <c r="G1764" s="14">
        <f t="shared" ca="1" si="27"/>
        <v>54631.359408001437</v>
      </c>
      <c r="H1764" s="12" t="s">
        <v>172</v>
      </c>
      <c r="I1764">
        <v>0</v>
      </c>
      <c r="J1764">
        <v>40</v>
      </c>
      <c r="K1764" s="12" t="s">
        <v>176</v>
      </c>
      <c r="L1764">
        <v>8415</v>
      </c>
      <c r="M1764">
        <v>1</v>
      </c>
      <c r="O1764" s="39"/>
      <c r="P1764" s="15">
        <v>47326.44</v>
      </c>
      <c r="S1764" s="17"/>
    </row>
    <row r="1765" spans="1:19" x14ac:dyDescent="0.4">
      <c r="A1765">
        <v>8882786</v>
      </c>
      <c r="B1765" s="16">
        <v>65</v>
      </c>
      <c r="C1765" s="12" t="s">
        <v>129</v>
      </c>
      <c r="D1765" s="12" t="s">
        <v>134</v>
      </c>
      <c r="E1765" s="12" t="s">
        <v>152</v>
      </c>
      <c r="F1765" s="12" t="s">
        <v>129</v>
      </c>
      <c r="G1765" s="14">
        <f t="shared" ca="1" si="27"/>
        <v>70690.830557320121</v>
      </c>
      <c r="H1765" s="12" t="s">
        <v>172</v>
      </c>
      <c r="I1765">
        <v>0</v>
      </c>
      <c r="J1765">
        <v>45</v>
      </c>
      <c r="K1765" s="12" t="s">
        <v>176</v>
      </c>
      <c r="L1765">
        <v>0</v>
      </c>
      <c r="M1765">
        <v>0</v>
      </c>
      <c r="O1765" s="39"/>
      <c r="P1765" s="16">
        <v>55353.77</v>
      </c>
      <c r="S1765" s="17"/>
    </row>
    <row r="1766" spans="1:19" x14ac:dyDescent="0.4">
      <c r="A1766">
        <v>8884080</v>
      </c>
      <c r="B1766" s="15">
        <v>20</v>
      </c>
      <c r="C1766" s="12" t="s">
        <v>129</v>
      </c>
      <c r="D1766" s="12" t="s">
        <v>132</v>
      </c>
      <c r="E1766" s="12" t="s">
        <v>150</v>
      </c>
      <c r="F1766" s="12" t="s">
        <v>129</v>
      </c>
      <c r="G1766" s="14">
        <f t="shared" ca="1" si="27"/>
        <v>117832.53184261922</v>
      </c>
      <c r="H1766" s="12" t="s">
        <v>171</v>
      </c>
      <c r="I1766">
        <v>0</v>
      </c>
      <c r="J1766">
        <v>25</v>
      </c>
      <c r="K1766" s="12" t="s">
        <v>176</v>
      </c>
      <c r="L1766">
        <v>0</v>
      </c>
      <c r="M1766">
        <v>0</v>
      </c>
      <c r="O1766" s="39"/>
      <c r="P1766" s="15">
        <v>103534.35</v>
      </c>
      <c r="S1766" s="17"/>
    </row>
    <row r="1767" spans="1:19" x14ac:dyDescent="0.4">
      <c r="A1767">
        <v>8884847</v>
      </c>
      <c r="B1767" s="16">
        <v>50</v>
      </c>
      <c r="C1767" s="12" t="s">
        <v>122</v>
      </c>
      <c r="D1767" s="12" t="s">
        <v>134</v>
      </c>
      <c r="E1767" s="12" t="s">
        <v>152</v>
      </c>
      <c r="F1767" s="12" t="s">
        <v>159</v>
      </c>
      <c r="G1767" s="14">
        <f t="shared" ca="1" si="27"/>
        <v>49052.334155678538</v>
      </c>
      <c r="H1767" s="12" t="s">
        <v>172</v>
      </c>
      <c r="I1767">
        <v>0</v>
      </c>
      <c r="J1767">
        <v>40</v>
      </c>
      <c r="K1767" s="12" t="s">
        <v>176</v>
      </c>
      <c r="L1767">
        <v>0</v>
      </c>
      <c r="M1767">
        <v>0</v>
      </c>
      <c r="O1767" s="39"/>
      <c r="P1767" s="16">
        <v>35494.550000000003</v>
      </c>
      <c r="S1767" s="17"/>
    </row>
    <row r="1768" spans="1:19" x14ac:dyDescent="0.4">
      <c r="A1768">
        <v>8887871</v>
      </c>
      <c r="B1768" s="15">
        <v>65</v>
      </c>
      <c r="C1768" s="12" t="s">
        <v>123</v>
      </c>
      <c r="D1768" s="12" t="s">
        <v>132</v>
      </c>
      <c r="E1768" s="12" t="s">
        <v>152</v>
      </c>
      <c r="F1768" s="12" t="s">
        <v>160</v>
      </c>
      <c r="G1768" s="14">
        <f t="shared" ca="1" si="27"/>
        <v>100490.46856870953</v>
      </c>
      <c r="H1768" s="12" t="s">
        <v>172</v>
      </c>
      <c r="I1768">
        <v>0</v>
      </c>
      <c r="J1768">
        <v>40</v>
      </c>
      <c r="K1768" s="12" t="s">
        <v>176</v>
      </c>
      <c r="L1768">
        <v>0</v>
      </c>
      <c r="M1768">
        <v>0</v>
      </c>
      <c r="O1768" s="39"/>
      <c r="P1768" s="15">
        <v>53584.82</v>
      </c>
      <c r="S1768" s="17"/>
    </row>
    <row r="1769" spans="1:19" x14ac:dyDescent="0.4">
      <c r="A1769">
        <v>8888592</v>
      </c>
      <c r="B1769" s="16">
        <v>29</v>
      </c>
      <c r="C1769" s="12" t="s">
        <v>122</v>
      </c>
      <c r="D1769" s="12" t="s">
        <v>144</v>
      </c>
      <c r="E1769" s="12" t="s">
        <v>152</v>
      </c>
      <c r="F1769" s="12" t="s">
        <v>144</v>
      </c>
      <c r="G1769" s="14">
        <f t="shared" ca="1" si="27"/>
        <v>35629.882802503984</v>
      </c>
      <c r="H1769" s="12" t="s">
        <v>172</v>
      </c>
      <c r="I1769">
        <v>0</v>
      </c>
      <c r="J1769">
        <v>50</v>
      </c>
      <c r="K1769" s="12" t="s">
        <v>176</v>
      </c>
      <c r="L1769">
        <v>0</v>
      </c>
      <c r="M1769">
        <v>1</v>
      </c>
      <c r="O1769" s="39"/>
      <c r="P1769" s="16">
        <v>19685.38</v>
      </c>
      <c r="S1769" s="17"/>
    </row>
    <row r="1770" spans="1:19" x14ac:dyDescent="0.4">
      <c r="A1770">
        <v>8898129</v>
      </c>
      <c r="B1770" s="15">
        <v>36</v>
      </c>
      <c r="C1770" s="12" t="s">
        <v>122</v>
      </c>
      <c r="D1770" s="12" t="s">
        <v>132</v>
      </c>
      <c r="E1770" s="12" t="s">
        <v>152</v>
      </c>
      <c r="F1770" s="12" t="s">
        <v>159</v>
      </c>
      <c r="G1770" s="14">
        <f t="shared" ca="1" si="27"/>
        <v>59698.115079811912</v>
      </c>
      <c r="H1770" s="12" t="s">
        <v>172</v>
      </c>
      <c r="I1770">
        <v>0</v>
      </c>
      <c r="J1770">
        <v>60</v>
      </c>
      <c r="K1770" s="12" t="s">
        <v>176</v>
      </c>
      <c r="L1770">
        <v>5664</v>
      </c>
      <c r="M1770">
        <v>1</v>
      </c>
      <c r="O1770" s="39"/>
      <c r="P1770" s="15">
        <v>30224.06</v>
      </c>
      <c r="S1770" s="17"/>
    </row>
    <row r="1771" spans="1:19" x14ac:dyDescent="0.4">
      <c r="A1771">
        <v>8898859</v>
      </c>
      <c r="B1771" s="16">
        <v>41</v>
      </c>
      <c r="C1771" s="12" t="s">
        <v>125</v>
      </c>
      <c r="D1771" s="12" t="s">
        <v>135</v>
      </c>
      <c r="E1771" s="12" t="s">
        <v>151</v>
      </c>
      <c r="F1771" s="12" t="s">
        <v>144</v>
      </c>
      <c r="G1771" s="14">
        <f t="shared" ca="1" si="27"/>
        <v>265193.02614993113</v>
      </c>
      <c r="H1771" s="12" t="s">
        <v>171</v>
      </c>
      <c r="I1771">
        <v>0</v>
      </c>
      <c r="J1771">
        <v>35</v>
      </c>
      <c r="K1771" s="12" t="s">
        <v>176</v>
      </c>
      <c r="L1771">
        <v>0</v>
      </c>
      <c r="M1771">
        <v>0</v>
      </c>
      <c r="O1771" s="39"/>
      <c r="P1771" s="16">
        <v>180178.97</v>
      </c>
      <c r="S1771" s="17"/>
    </row>
    <row r="1772" spans="1:19" x14ac:dyDescent="0.4">
      <c r="A1772">
        <v>8909335</v>
      </c>
      <c r="B1772" s="15">
        <v>25</v>
      </c>
      <c r="C1772" s="12" t="s">
        <v>122</v>
      </c>
      <c r="D1772" s="12" t="s">
        <v>132</v>
      </c>
      <c r="E1772" s="12" t="s">
        <v>152</v>
      </c>
      <c r="F1772" s="12" t="s">
        <v>158</v>
      </c>
      <c r="G1772" s="14">
        <f t="shared" ca="1" si="27"/>
        <v>290624.61136273248</v>
      </c>
      <c r="H1772" s="12" t="s">
        <v>171</v>
      </c>
      <c r="I1772">
        <v>0</v>
      </c>
      <c r="J1772">
        <v>40</v>
      </c>
      <c r="K1772" s="12" t="s">
        <v>176</v>
      </c>
      <c r="L1772">
        <v>3103</v>
      </c>
      <c r="M1772">
        <v>1</v>
      </c>
      <c r="O1772" s="39"/>
      <c r="P1772" s="15">
        <v>206963.41</v>
      </c>
      <c r="S1772" s="17"/>
    </row>
    <row r="1773" spans="1:19" x14ac:dyDescent="0.4">
      <c r="A1773">
        <v>8921467</v>
      </c>
      <c r="B1773" s="16">
        <v>53</v>
      </c>
      <c r="C1773" s="12" t="s">
        <v>122</v>
      </c>
      <c r="D1773" s="12" t="s">
        <v>133</v>
      </c>
      <c r="E1773" s="12" t="s">
        <v>152</v>
      </c>
      <c r="F1773" s="12" t="s">
        <v>160</v>
      </c>
      <c r="G1773" s="14">
        <f t="shared" ca="1" si="27"/>
        <v>55493.015128961611</v>
      </c>
      <c r="H1773" s="12" t="s">
        <v>172</v>
      </c>
      <c r="I1773">
        <v>0</v>
      </c>
      <c r="J1773">
        <v>99</v>
      </c>
      <c r="K1773" s="12" t="s">
        <v>176</v>
      </c>
      <c r="L1773">
        <v>0</v>
      </c>
      <c r="M1773">
        <v>0</v>
      </c>
      <c r="O1773" s="39"/>
      <c r="P1773" s="16">
        <v>34588.339999999997</v>
      </c>
      <c r="S1773" s="17"/>
    </row>
    <row r="1774" spans="1:19" x14ac:dyDescent="0.4">
      <c r="A1774">
        <v>8928627</v>
      </c>
      <c r="B1774" s="15">
        <v>33</v>
      </c>
      <c r="C1774" s="12" t="s">
        <v>122</v>
      </c>
      <c r="D1774" s="12" t="s">
        <v>132</v>
      </c>
      <c r="E1774" s="12" t="s">
        <v>152</v>
      </c>
      <c r="F1774" s="12" t="s">
        <v>164</v>
      </c>
      <c r="G1774" s="14">
        <f t="shared" ca="1" si="27"/>
        <v>51286.387368573844</v>
      </c>
      <c r="H1774" s="12" t="s">
        <v>172</v>
      </c>
      <c r="I1774">
        <v>0</v>
      </c>
      <c r="J1774">
        <v>50</v>
      </c>
      <c r="K1774" s="12" t="s">
        <v>176</v>
      </c>
      <c r="L1774">
        <v>4229</v>
      </c>
      <c r="M1774">
        <v>1</v>
      </c>
      <c r="O1774" s="39"/>
      <c r="P1774" s="15">
        <v>31790.75</v>
      </c>
      <c r="S1774" s="17"/>
    </row>
    <row r="1775" spans="1:19" x14ac:dyDescent="0.4">
      <c r="A1775">
        <v>8929115</v>
      </c>
      <c r="B1775" s="16">
        <v>51</v>
      </c>
      <c r="C1775" s="12" t="s">
        <v>122</v>
      </c>
      <c r="D1775" s="12" t="s">
        <v>132</v>
      </c>
      <c r="E1775" s="12" t="s">
        <v>152</v>
      </c>
      <c r="F1775" s="12" t="s">
        <v>160</v>
      </c>
      <c r="G1775" s="14">
        <f t="shared" ca="1" si="27"/>
        <v>36335.706920161974</v>
      </c>
      <c r="H1775" s="12" t="s">
        <v>172</v>
      </c>
      <c r="I1775">
        <v>0</v>
      </c>
      <c r="J1775">
        <v>45</v>
      </c>
      <c r="K1775" s="12" t="s">
        <v>176</v>
      </c>
      <c r="L1775">
        <v>0</v>
      </c>
      <c r="M1775">
        <v>0</v>
      </c>
      <c r="O1775" s="39"/>
      <c r="P1775" s="16">
        <v>20839.23</v>
      </c>
      <c r="S1775" s="17"/>
    </row>
    <row r="1776" spans="1:19" x14ac:dyDescent="0.4">
      <c r="A1776">
        <v>8932725</v>
      </c>
      <c r="B1776" s="15">
        <v>40</v>
      </c>
      <c r="C1776" s="12" t="s">
        <v>122</v>
      </c>
      <c r="D1776" s="12" t="s">
        <v>137</v>
      </c>
      <c r="E1776" s="12" t="s">
        <v>151</v>
      </c>
      <c r="F1776" s="12" t="s">
        <v>156</v>
      </c>
      <c r="G1776" s="14">
        <f t="shared" ca="1" si="27"/>
        <v>71469.770614556153</v>
      </c>
      <c r="H1776" s="12" t="s">
        <v>171</v>
      </c>
      <c r="I1776">
        <v>0</v>
      </c>
      <c r="J1776">
        <v>32</v>
      </c>
      <c r="K1776" s="12" t="s">
        <v>176</v>
      </c>
      <c r="L1776">
        <v>0</v>
      </c>
      <c r="M1776">
        <v>0</v>
      </c>
      <c r="O1776" s="39"/>
      <c r="P1776" s="15">
        <v>54892.68</v>
      </c>
      <c r="S1776" s="17"/>
    </row>
    <row r="1777" spans="1:19" x14ac:dyDescent="0.4">
      <c r="A1777">
        <v>8933851</v>
      </c>
      <c r="B1777" s="16">
        <v>18</v>
      </c>
      <c r="C1777" s="12" t="s">
        <v>122</v>
      </c>
      <c r="D1777" s="12" t="s">
        <v>139</v>
      </c>
      <c r="E1777" s="12" t="s">
        <v>150</v>
      </c>
      <c r="F1777" s="12" t="s">
        <v>164</v>
      </c>
      <c r="G1777" s="14">
        <f t="shared" ca="1" si="27"/>
        <v>224174.71016644608</v>
      </c>
      <c r="H1777" s="12" t="s">
        <v>172</v>
      </c>
      <c r="I1777">
        <v>0</v>
      </c>
      <c r="J1777">
        <v>20</v>
      </c>
      <c r="K1777" s="12" t="s">
        <v>176</v>
      </c>
      <c r="L1777">
        <v>0</v>
      </c>
      <c r="M1777">
        <v>0</v>
      </c>
      <c r="O1777" s="39"/>
      <c r="P1777" s="16">
        <v>194452.97</v>
      </c>
      <c r="S1777" s="17"/>
    </row>
    <row r="1778" spans="1:19" x14ac:dyDescent="0.4">
      <c r="A1778">
        <v>8935177</v>
      </c>
      <c r="B1778" s="15">
        <v>33</v>
      </c>
      <c r="C1778" s="12" t="s">
        <v>124</v>
      </c>
      <c r="D1778" s="12" t="s">
        <v>132</v>
      </c>
      <c r="E1778" s="12" t="s">
        <v>152</v>
      </c>
      <c r="F1778" s="12" t="s">
        <v>159</v>
      </c>
      <c r="G1778" s="14">
        <f t="shared" ca="1" si="27"/>
        <v>42232.154617758082</v>
      </c>
      <c r="H1778" s="12" t="s">
        <v>172</v>
      </c>
      <c r="I1778">
        <v>0</v>
      </c>
      <c r="J1778">
        <v>60</v>
      </c>
      <c r="K1778" s="12" t="s">
        <v>129</v>
      </c>
      <c r="L1778">
        <v>0</v>
      </c>
      <c r="M1778">
        <v>0</v>
      </c>
      <c r="O1778" s="39"/>
      <c r="P1778" s="15">
        <v>26155.21</v>
      </c>
      <c r="S1778" s="17"/>
    </row>
    <row r="1779" spans="1:19" x14ac:dyDescent="0.4">
      <c r="A1779">
        <v>8938717</v>
      </c>
      <c r="B1779" s="16">
        <v>41</v>
      </c>
      <c r="C1779" s="12" t="s">
        <v>122</v>
      </c>
      <c r="D1779" s="12" t="s">
        <v>134</v>
      </c>
      <c r="E1779" s="12" t="s">
        <v>149</v>
      </c>
      <c r="F1779" s="12" t="s">
        <v>158</v>
      </c>
      <c r="G1779" s="14">
        <f t="shared" ca="1" si="27"/>
        <v>225788.31904594277</v>
      </c>
      <c r="H1779" s="12" t="s">
        <v>171</v>
      </c>
      <c r="I1779">
        <v>0</v>
      </c>
      <c r="J1779">
        <v>40</v>
      </c>
      <c r="K1779" s="12" t="s">
        <v>129</v>
      </c>
      <c r="L1779">
        <v>0</v>
      </c>
      <c r="M1779">
        <v>0</v>
      </c>
      <c r="O1779" s="39"/>
      <c r="P1779" s="16">
        <v>121944.1</v>
      </c>
      <c r="S1779" s="17"/>
    </row>
    <row r="1780" spans="1:19" x14ac:dyDescent="0.4">
      <c r="A1780">
        <v>8939272</v>
      </c>
      <c r="B1780" s="15">
        <v>22</v>
      </c>
      <c r="C1780" s="12" t="s">
        <v>122</v>
      </c>
      <c r="D1780" s="12" t="s">
        <v>134</v>
      </c>
      <c r="E1780" s="12" t="s">
        <v>150</v>
      </c>
      <c r="F1780" s="12" t="s">
        <v>144</v>
      </c>
      <c r="G1780" s="14">
        <f t="shared" ca="1" si="27"/>
        <v>97937.111775419529</v>
      </c>
      <c r="H1780" s="12" t="s">
        <v>171</v>
      </c>
      <c r="I1780">
        <v>0</v>
      </c>
      <c r="J1780">
        <v>20</v>
      </c>
      <c r="K1780" s="12" t="s">
        <v>176</v>
      </c>
      <c r="L1780">
        <v>0</v>
      </c>
      <c r="M1780">
        <v>0</v>
      </c>
      <c r="O1780" s="39"/>
      <c r="P1780" s="15">
        <v>55761.59</v>
      </c>
      <c r="S1780" s="17"/>
    </row>
    <row r="1781" spans="1:19" x14ac:dyDescent="0.4">
      <c r="A1781">
        <v>8942277</v>
      </c>
      <c r="B1781" s="16">
        <v>57</v>
      </c>
      <c r="C1781" s="12" t="s">
        <v>127</v>
      </c>
      <c r="D1781" s="12" t="s">
        <v>144</v>
      </c>
      <c r="E1781" s="12" t="s">
        <v>151</v>
      </c>
      <c r="F1781" s="12" t="s">
        <v>160</v>
      </c>
      <c r="G1781" s="14">
        <f t="shared" ca="1" si="27"/>
        <v>238828.77644181735</v>
      </c>
      <c r="H1781" s="12" t="s">
        <v>172</v>
      </c>
      <c r="I1781">
        <v>0</v>
      </c>
      <c r="J1781">
        <v>55</v>
      </c>
      <c r="K1781" s="12" t="s">
        <v>176</v>
      </c>
      <c r="L1781">
        <v>7023</v>
      </c>
      <c r="M1781">
        <v>1</v>
      </c>
      <c r="O1781" s="39"/>
      <c r="P1781" s="16">
        <v>122962.35</v>
      </c>
      <c r="S1781" s="17"/>
    </row>
    <row r="1782" spans="1:19" x14ac:dyDescent="0.4">
      <c r="A1782">
        <v>8955265</v>
      </c>
      <c r="B1782" s="15">
        <v>22</v>
      </c>
      <c r="C1782" s="12" t="s">
        <v>122</v>
      </c>
      <c r="D1782" s="12" t="s">
        <v>132</v>
      </c>
      <c r="E1782" s="12" t="s">
        <v>150</v>
      </c>
      <c r="F1782" s="12" t="s">
        <v>158</v>
      </c>
      <c r="G1782" s="14">
        <f t="shared" ca="1" si="27"/>
        <v>104575.55136493198</v>
      </c>
      <c r="H1782" s="12" t="s">
        <v>171</v>
      </c>
      <c r="I1782">
        <v>0</v>
      </c>
      <c r="J1782">
        <v>40</v>
      </c>
      <c r="K1782" s="12" t="s">
        <v>176</v>
      </c>
      <c r="L1782">
        <v>0</v>
      </c>
      <c r="M1782">
        <v>0</v>
      </c>
      <c r="O1782" s="39"/>
      <c r="P1782" s="15">
        <v>96491.51</v>
      </c>
      <c r="S1782" s="17"/>
    </row>
    <row r="1783" spans="1:19" x14ac:dyDescent="0.4">
      <c r="A1783">
        <v>8960146</v>
      </c>
      <c r="B1783" s="16">
        <v>32</v>
      </c>
      <c r="C1783" s="12" t="s">
        <v>122</v>
      </c>
      <c r="D1783" s="12" t="s">
        <v>134</v>
      </c>
      <c r="E1783" s="12" t="s">
        <v>150</v>
      </c>
      <c r="F1783" s="12" t="s">
        <v>161</v>
      </c>
      <c r="G1783" s="14">
        <f t="shared" ca="1" si="27"/>
        <v>177322.55755323279</v>
      </c>
      <c r="H1783" s="12" t="s">
        <v>171</v>
      </c>
      <c r="I1783">
        <v>0</v>
      </c>
      <c r="J1783">
        <v>40</v>
      </c>
      <c r="K1783" s="12" t="s">
        <v>176</v>
      </c>
      <c r="L1783">
        <v>0</v>
      </c>
      <c r="M1783">
        <v>0</v>
      </c>
      <c r="O1783" s="39"/>
      <c r="P1783" s="16">
        <v>111634.75</v>
      </c>
      <c r="S1783" s="17"/>
    </row>
    <row r="1784" spans="1:19" x14ac:dyDescent="0.4">
      <c r="A1784">
        <v>8960193</v>
      </c>
      <c r="B1784" s="15">
        <v>56</v>
      </c>
      <c r="C1784" s="12" t="s">
        <v>122</v>
      </c>
      <c r="D1784" s="12" t="s">
        <v>132</v>
      </c>
      <c r="E1784" s="12" t="s">
        <v>153</v>
      </c>
      <c r="F1784" s="12" t="s">
        <v>160</v>
      </c>
      <c r="G1784" s="14">
        <f t="shared" ca="1" si="27"/>
        <v>45592.216149824613</v>
      </c>
      <c r="H1784" s="12" t="s">
        <v>172</v>
      </c>
      <c r="I1784">
        <v>0</v>
      </c>
      <c r="J1784">
        <v>60</v>
      </c>
      <c r="K1784" s="12" t="s">
        <v>176</v>
      </c>
      <c r="L1784">
        <v>0</v>
      </c>
      <c r="M1784">
        <v>0</v>
      </c>
      <c r="O1784" s="39"/>
      <c r="P1784" s="15">
        <v>39069.69</v>
      </c>
      <c r="S1784" s="17"/>
    </row>
    <row r="1785" spans="1:19" x14ac:dyDescent="0.4">
      <c r="A1785">
        <v>8961167</v>
      </c>
      <c r="B1785" s="16">
        <v>29</v>
      </c>
      <c r="C1785" s="12" t="s">
        <v>122</v>
      </c>
      <c r="D1785" s="12" t="s">
        <v>135</v>
      </c>
      <c r="E1785" s="12" t="s">
        <v>150</v>
      </c>
      <c r="F1785" s="12" t="s">
        <v>160</v>
      </c>
      <c r="G1785" s="14">
        <f t="shared" ca="1" si="27"/>
        <v>95552.558105722157</v>
      </c>
      <c r="H1785" s="12" t="s">
        <v>171</v>
      </c>
      <c r="I1785">
        <v>0</v>
      </c>
      <c r="J1785">
        <v>45</v>
      </c>
      <c r="K1785" s="12" t="s">
        <v>176</v>
      </c>
      <c r="L1785">
        <v>0</v>
      </c>
      <c r="M1785">
        <v>0</v>
      </c>
      <c r="O1785" s="39"/>
      <c r="P1785" s="16">
        <v>74954.41</v>
      </c>
      <c r="S1785" s="17"/>
    </row>
    <row r="1786" spans="1:19" x14ac:dyDescent="0.4">
      <c r="A1786">
        <v>8963479</v>
      </c>
      <c r="B1786" s="15">
        <v>68</v>
      </c>
      <c r="C1786" s="12" t="s">
        <v>123</v>
      </c>
      <c r="D1786" s="12" t="s">
        <v>132</v>
      </c>
      <c r="E1786" s="12" t="s">
        <v>152</v>
      </c>
      <c r="F1786" s="12" t="s">
        <v>156</v>
      </c>
      <c r="G1786" s="14">
        <f t="shared" ca="1" si="27"/>
        <v>48302.594216294034</v>
      </c>
      <c r="H1786" s="12" t="s">
        <v>172</v>
      </c>
      <c r="I1786">
        <v>0</v>
      </c>
      <c r="J1786">
        <v>30</v>
      </c>
      <c r="K1786" s="12" t="s">
        <v>176</v>
      </c>
      <c r="L1786">
        <v>0</v>
      </c>
      <c r="M1786">
        <v>0</v>
      </c>
      <c r="O1786" s="39"/>
      <c r="P1786" s="15">
        <v>48124.25</v>
      </c>
      <c r="S1786" s="17"/>
    </row>
    <row r="1787" spans="1:19" x14ac:dyDescent="0.4">
      <c r="A1787">
        <v>8964400</v>
      </c>
      <c r="B1787" s="16">
        <v>48</v>
      </c>
      <c r="C1787" s="12" t="s">
        <v>122</v>
      </c>
      <c r="D1787" s="12" t="s">
        <v>134</v>
      </c>
      <c r="E1787" s="12" t="s">
        <v>153</v>
      </c>
      <c r="F1787" s="12" t="s">
        <v>161</v>
      </c>
      <c r="G1787" s="14">
        <f t="shared" ca="1" si="27"/>
        <v>151953.3319108198</v>
      </c>
      <c r="H1787" s="12" t="s">
        <v>171</v>
      </c>
      <c r="I1787">
        <v>0</v>
      </c>
      <c r="J1787">
        <v>48</v>
      </c>
      <c r="K1787" s="12" t="s">
        <v>176</v>
      </c>
      <c r="L1787">
        <v>0</v>
      </c>
      <c r="M1787">
        <v>0</v>
      </c>
      <c r="O1787" s="39"/>
      <c r="P1787" s="16">
        <v>76466.64</v>
      </c>
      <c r="S1787" s="17"/>
    </row>
    <row r="1788" spans="1:19" x14ac:dyDescent="0.4">
      <c r="A1788">
        <v>8965429</v>
      </c>
      <c r="B1788" s="15">
        <v>32</v>
      </c>
      <c r="C1788" s="12" t="s">
        <v>129</v>
      </c>
      <c r="D1788" s="12" t="s">
        <v>135</v>
      </c>
      <c r="E1788" s="12" t="s">
        <v>152</v>
      </c>
      <c r="F1788" s="12" t="s">
        <v>129</v>
      </c>
      <c r="G1788" s="14">
        <f t="shared" ca="1" si="27"/>
        <v>153802.86617974294</v>
      </c>
      <c r="H1788" s="12" t="s">
        <v>171</v>
      </c>
      <c r="I1788">
        <v>0</v>
      </c>
      <c r="J1788">
        <v>20</v>
      </c>
      <c r="K1788" s="12" t="s">
        <v>176</v>
      </c>
      <c r="L1788">
        <v>10494</v>
      </c>
      <c r="M1788">
        <v>1</v>
      </c>
      <c r="O1788" s="39"/>
      <c r="P1788" s="15">
        <v>89508.17</v>
      </c>
      <c r="S1788" s="17"/>
    </row>
    <row r="1789" spans="1:19" x14ac:dyDescent="0.4">
      <c r="A1789">
        <v>8970554</v>
      </c>
      <c r="B1789" s="16">
        <v>51</v>
      </c>
      <c r="C1789" s="12" t="s">
        <v>125</v>
      </c>
      <c r="D1789" s="12" t="s">
        <v>146</v>
      </c>
      <c r="E1789" s="12" t="s">
        <v>152</v>
      </c>
      <c r="F1789" s="12" t="s">
        <v>156</v>
      </c>
      <c r="G1789" s="14">
        <f t="shared" ca="1" si="27"/>
        <v>34272.503182989123</v>
      </c>
      <c r="H1789" s="12" t="s">
        <v>172</v>
      </c>
      <c r="I1789">
        <v>0</v>
      </c>
      <c r="J1789">
        <v>40</v>
      </c>
      <c r="K1789" s="12" t="s">
        <v>176</v>
      </c>
      <c r="L1789">
        <v>0</v>
      </c>
      <c r="M1789">
        <v>0</v>
      </c>
      <c r="O1789" s="39"/>
      <c r="P1789" s="16">
        <v>31754.77</v>
      </c>
      <c r="S1789" s="17"/>
    </row>
    <row r="1790" spans="1:19" x14ac:dyDescent="0.4">
      <c r="A1790">
        <v>8972540</v>
      </c>
      <c r="B1790" s="15">
        <v>33</v>
      </c>
      <c r="C1790" s="12" t="s">
        <v>122</v>
      </c>
      <c r="D1790" s="12" t="s">
        <v>145</v>
      </c>
      <c r="E1790" s="12" t="s">
        <v>152</v>
      </c>
      <c r="F1790" s="12" t="s">
        <v>158</v>
      </c>
      <c r="G1790" s="14">
        <f t="shared" ca="1" si="27"/>
        <v>47041.518669270779</v>
      </c>
      <c r="H1790" s="12" t="s">
        <v>172</v>
      </c>
      <c r="I1790">
        <v>0</v>
      </c>
      <c r="J1790">
        <v>45</v>
      </c>
      <c r="K1790" s="12" t="s">
        <v>176</v>
      </c>
      <c r="L1790">
        <v>0</v>
      </c>
      <c r="M1790">
        <v>0</v>
      </c>
      <c r="O1790" s="39"/>
      <c r="P1790" s="15">
        <v>33042.03</v>
      </c>
      <c r="S1790" s="17"/>
    </row>
    <row r="1791" spans="1:19" x14ac:dyDescent="0.4">
      <c r="A1791">
        <v>8974452</v>
      </c>
      <c r="B1791" s="16">
        <v>61</v>
      </c>
      <c r="C1791" s="12" t="s">
        <v>125</v>
      </c>
      <c r="D1791" s="12" t="s">
        <v>135</v>
      </c>
      <c r="E1791" s="12" t="s">
        <v>152</v>
      </c>
      <c r="F1791" s="12" t="s">
        <v>144</v>
      </c>
      <c r="G1791" s="14">
        <f t="shared" ca="1" si="27"/>
        <v>55522.107721617504</v>
      </c>
      <c r="H1791" s="12" t="s">
        <v>172</v>
      </c>
      <c r="I1791">
        <v>0</v>
      </c>
      <c r="J1791">
        <v>42</v>
      </c>
      <c r="K1791" s="12" t="s">
        <v>176</v>
      </c>
      <c r="L1791">
        <v>0</v>
      </c>
      <c r="M1791">
        <v>0</v>
      </c>
      <c r="O1791" s="39"/>
      <c r="P1791" s="16">
        <v>30331.18</v>
      </c>
      <c r="S1791" s="17"/>
    </row>
    <row r="1792" spans="1:19" x14ac:dyDescent="0.4">
      <c r="A1792">
        <v>8975120</v>
      </c>
      <c r="B1792" s="15">
        <v>31</v>
      </c>
      <c r="C1792" s="12" t="s">
        <v>122</v>
      </c>
      <c r="D1792" s="12" t="s">
        <v>135</v>
      </c>
      <c r="E1792" s="12" t="s">
        <v>152</v>
      </c>
      <c r="F1792" s="12" t="s">
        <v>161</v>
      </c>
      <c r="G1792" s="14">
        <f t="shared" ca="1" si="27"/>
        <v>44547.788750020809</v>
      </c>
      <c r="H1792" s="12" t="s">
        <v>172</v>
      </c>
      <c r="I1792">
        <v>0</v>
      </c>
      <c r="J1792">
        <v>50</v>
      </c>
      <c r="K1792" s="12" t="s">
        <v>176</v>
      </c>
      <c r="L1792">
        <v>0</v>
      </c>
      <c r="M1792">
        <v>0</v>
      </c>
      <c r="O1792" s="39"/>
      <c r="P1792" s="15">
        <v>23874.25</v>
      </c>
      <c r="S1792" s="17"/>
    </row>
    <row r="1793" spans="1:19" x14ac:dyDescent="0.4">
      <c r="A1793">
        <v>8983264</v>
      </c>
      <c r="B1793" s="16">
        <v>37</v>
      </c>
      <c r="C1793" s="12" t="s">
        <v>122</v>
      </c>
      <c r="D1793" s="12" t="s">
        <v>145</v>
      </c>
      <c r="E1793" s="12" t="s">
        <v>151</v>
      </c>
      <c r="F1793" s="12" t="s">
        <v>160</v>
      </c>
      <c r="G1793" s="14">
        <f t="shared" ca="1" si="27"/>
        <v>77356.731343252002</v>
      </c>
      <c r="H1793" s="12" t="s">
        <v>172</v>
      </c>
      <c r="I1793">
        <v>0</v>
      </c>
      <c r="J1793">
        <v>50</v>
      </c>
      <c r="K1793" s="12" t="s">
        <v>176</v>
      </c>
      <c r="L1793">
        <v>0</v>
      </c>
      <c r="M1793">
        <v>0</v>
      </c>
      <c r="O1793" s="39"/>
      <c r="P1793" s="16">
        <v>66208.149999999994</v>
      </c>
      <c r="S1793" s="17"/>
    </row>
    <row r="1794" spans="1:19" x14ac:dyDescent="0.4">
      <c r="A1794">
        <v>8989289</v>
      </c>
      <c r="B1794" s="15">
        <v>24</v>
      </c>
      <c r="C1794" s="12" t="s">
        <v>127</v>
      </c>
      <c r="D1794" s="12" t="s">
        <v>134</v>
      </c>
      <c r="E1794" s="12" t="s">
        <v>150</v>
      </c>
      <c r="F1794" s="12" t="s">
        <v>158</v>
      </c>
      <c r="G1794" s="14">
        <f t="shared" ca="1" si="27"/>
        <v>117626.02150078563</v>
      </c>
      <c r="H1794" s="12" t="s">
        <v>171</v>
      </c>
      <c r="I1794">
        <v>0</v>
      </c>
      <c r="J1794">
        <v>40</v>
      </c>
      <c r="K1794" s="12" t="s">
        <v>176</v>
      </c>
      <c r="L1794">
        <v>0</v>
      </c>
      <c r="M1794">
        <v>0</v>
      </c>
      <c r="O1794" s="39"/>
      <c r="P1794" s="15">
        <v>83677.119999999995</v>
      </c>
      <c r="S1794" s="17"/>
    </row>
    <row r="1795" spans="1:19" x14ac:dyDescent="0.4">
      <c r="A1795">
        <v>8989799</v>
      </c>
      <c r="B1795" s="16">
        <v>25</v>
      </c>
      <c r="C1795" s="12" t="s">
        <v>125</v>
      </c>
      <c r="D1795" s="12" t="s">
        <v>132</v>
      </c>
      <c r="E1795" s="12" t="s">
        <v>150</v>
      </c>
      <c r="F1795" s="12" t="s">
        <v>158</v>
      </c>
      <c r="G1795" s="14">
        <f t="shared" ca="1" si="27"/>
        <v>111994.49170972068</v>
      </c>
      <c r="H1795" s="12" t="s">
        <v>171</v>
      </c>
      <c r="I1795">
        <v>0</v>
      </c>
      <c r="J1795">
        <v>40</v>
      </c>
      <c r="K1795" s="12" t="s">
        <v>176</v>
      </c>
      <c r="L1795">
        <v>0</v>
      </c>
      <c r="M1795">
        <v>0</v>
      </c>
      <c r="O1795" s="39"/>
      <c r="P1795" s="16">
        <v>71379.990000000005</v>
      </c>
      <c r="S1795" s="17"/>
    </row>
    <row r="1796" spans="1:19" x14ac:dyDescent="0.4">
      <c r="A1796">
        <v>8992124</v>
      </c>
      <c r="B1796" s="15">
        <v>28</v>
      </c>
      <c r="C1796" s="12" t="s">
        <v>122</v>
      </c>
      <c r="D1796" s="12" t="s">
        <v>144</v>
      </c>
      <c r="E1796" s="12" t="s">
        <v>150</v>
      </c>
      <c r="F1796" s="12" t="s">
        <v>144</v>
      </c>
      <c r="G1796" s="14">
        <f t="shared" ca="1" si="27"/>
        <v>121246.86608985219</v>
      </c>
      <c r="H1796" s="12" t="s">
        <v>172</v>
      </c>
      <c r="I1796">
        <v>0</v>
      </c>
      <c r="J1796">
        <v>55</v>
      </c>
      <c r="K1796" s="12" t="s">
        <v>176</v>
      </c>
      <c r="L1796">
        <v>6634</v>
      </c>
      <c r="M1796">
        <v>1</v>
      </c>
      <c r="O1796" s="39"/>
      <c r="P1796" s="15">
        <v>96723.42</v>
      </c>
      <c r="S1796" s="17"/>
    </row>
    <row r="1797" spans="1:19" x14ac:dyDescent="0.4">
      <c r="A1797">
        <v>8993986</v>
      </c>
      <c r="B1797" s="16">
        <v>29</v>
      </c>
      <c r="C1797" s="12" t="s">
        <v>125</v>
      </c>
      <c r="D1797" s="12" t="s">
        <v>134</v>
      </c>
      <c r="E1797" s="12" t="s">
        <v>150</v>
      </c>
      <c r="F1797" s="12" t="s">
        <v>166</v>
      </c>
      <c r="G1797" s="14">
        <f t="shared" ca="1" si="27"/>
        <v>135824.49456237233</v>
      </c>
      <c r="H1797" s="12" t="s">
        <v>172</v>
      </c>
      <c r="I1797">
        <v>0</v>
      </c>
      <c r="J1797">
        <v>48</v>
      </c>
      <c r="K1797" s="12" t="s">
        <v>176</v>
      </c>
      <c r="L1797">
        <v>0</v>
      </c>
      <c r="M1797">
        <v>0</v>
      </c>
      <c r="O1797" s="39"/>
      <c r="P1797" s="16">
        <v>99433.23</v>
      </c>
      <c r="S1797" s="17"/>
    </row>
    <row r="1798" spans="1:19" x14ac:dyDescent="0.4">
      <c r="A1798">
        <v>9012618</v>
      </c>
      <c r="B1798" s="15">
        <v>37</v>
      </c>
      <c r="C1798" s="12" t="s">
        <v>125</v>
      </c>
      <c r="D1798" s="12" t="s">
        <v>133</v>
      </c>
      <c r="E1798" s="12" t="s">
        <v>152</v>
      </c>
      <c r="F1798" s="12" t="s">
        <v>144</v>
      </c>
      <c r="G1798" s="14">
        <f t="shared" ca="1" si="27"/>
        <v>261905.73522967461</v>
      </c>
      <c r="H1798" s="12" t="s">
        <v>171</v>
      </c>
      <c r="I1798">
        <v>0</v>
      </c>
      <c r="J1798">
        <v>40</v>
      </c>
      <c r="K1798" s="12" t="s">
        <v>129</v>
      </c>
      <c r="L1798">
        <v>99999</v>
      </c>
      <c r="M1798">
        <v>1</v>
      </c>
      <c r="O1798" s="39"/>
      <c r="P1798" s="15">
        <v>240000.62</v>
      </c>
      <c r="S1798" s="17"/>
    </row>
    <row r="1799" spans="1:19" x14ac:dyDescent="0.4">
      <c r="A1799">
        <v>9014829</v>
      </c>
      <c r="B1799" s="16">
        <v>39</v>
      </c>
      <c r="C1799" s="12" t="s">
        <v>122</v>
      </c>
      <c r="D1799" s="12" t="s">
        <v>134</v>
      </c>
      <c r="E1799" s="12" t="s">
        <v>150</v>
      </c>
      <c r="F1799" s="12" t="s">
        <v>158</v>
      </c>
      <c r="G1799" s="14">
        <f t="shared" ca="1" si="27"/>
        <v>442378.16897990194</v>
      </c>
      <c r="H1799" s="12" t="s">
        <v>171</v>
      </c>
      <c r="I1799">
        <v>0</v>
      </c>
      <c r="J1799">
        <v>40</v>
      </c>
      <c r="K1799" s="12" t="s">
        <v>176</v>
      </c>
      <c r="L1799">
        <v>0</v>
      </c>
      <c r="M1799">
        <v>0</v>
      </c>
      <c r="O1799" s="39"/>
      <c r="P1799" s="16">
        <v>234458.87</v>
      </c>
      <c r="S1799" s="17"/>
    </row>
    <row r="1800" spans="1:19" x14ac:dyDescent="0.4">
      <c r="A1800">
        <v>9017565</v>
      </c>
      <c r="B1800" s="15">
        <v>57</v>
      </c>
      <c r="C1800" s="12" t="s">
        <v>124</v>
      </c>
      <c r="D1800" s="12" t="s">
        <v>134</v>
      </c>
      <c r="E1800" s="12" t="s">
        <v>149</v>
      </c>
      <c r="F1800" s="12" t="s">
        <v>165</v>
      </c>
      <c r="G1800" s="14">
        <f t="shared" ca="1" si="27"/>
        <v>135903.81416465802</v>
      </c>
      <c r="H1800" s="12" t="s">
        <v>172</v>
      </c>
      <c r="I1800">
        <v>0</v>
      </c>
      <c r="J1800">
        <v>60</v>
      </c>
      <c r="K1800" s="12" t="s">
        <v>176</v>
      </c>
      <c r="L1800">
        <v>4904</v>
      </c>
      <c r="M1800">
        <v>1</v>
      </c>
      <c r="O1800" s="39"/>
      <c r="P1800" s="15">
        <v>78487.59</v>
      </c>
      <c r="S1800" s="17"/>
    </row>
    <row r="1801" spans="1:19" x14ac:dyDescent="0.4">
      <c r="A1801">
        <v>9019764</v>
      </c>
      <c r="B1801" s="16">
        <v>54</v>
      </c>
      <c r="C1801" s="12" t="s">
        <v>122</v>
      </c>
      <c r="D1801" s="12" t="s">
        <v>134</v>
      </c>
      <c r="E1801" s="12" t="s">
        <v>152</v>
      </c>
      <c r="F1801" s="12" t="s">
        <v>159</v>
      </c>
      <c r="G1801" s="14">
        <f t="shared" ca="1" si="27"/>
        <v>85484.142516382039</v>
      </c>
      <c r="H1801" s="12" t="s">
        <v>172</v>
      </c>
      <c r="I1801">
        <v>1902</v>
      </c>
      <c r="J1801">
        <v>40</v>
      </c>
      <c r="K1801" s="12" t="s">
        <v>176</v>
      </c>
      <c r="L1801">
        <v>0</v>
      </c>
      <c r="M1801">
        <v>1</v>
      </c>
      <c r="O1801" s="39"/>
      <c r="P1801" s="16">
        <v>52853.51</v>
      </c>
      <c r="S1801" s="17"/>
    </row>
    <row r="1802" spans="1:19" x14ac:dyDescent="0.4">
      <c r="A1802">
        <v>9022004</v>
      </c>
      <c r="B1802" s="15">
        <v>29</v>
      </c>
      <c r="C1802" s="12" t="s">
        <v>122</v>
      </c>
      <c r="D1802" s="12" t="s">
        <v>134</v>
      </c>
      <c r="E1802" s="12" t="s">
        <v>152</v>
      </c>
      <c r="F1802" s="12" t="s">
        <v>162</v>
      </c>
      <c r="G1802" s="14">
        <f t="shared" ca="1" si="27"/>
        <v>31109.773155640465</v>
      </c>
      <c r="H1802" s="12" t="s">
        <v>172</v>
      </c>
      <c r="I1802">
        <v>0</v>
      </c>
      <c r="J1802">
        <v>50</v>
      </c>
      <c r="K1802" s="12" t="s">
        <v>176</v>
      </c>
      <c r="L1802">
        <v>0</v>
      </c>
      <c r="M1802">
        <v>0</v>
      </c>
      <c r="O1802" s="39"/>
      <c r="P1802" s="15">
        <v>23718.47</v>
      </c>
      <c r="S1802" s="17"/>
    </row>
    <row r="1803" spans="1:19" x14ac:dyDescent="0.4">
      <c r="A1803">
        <v>9024460</v>
      </c>
      <c r="B1803" s="16">
        <v>59</v>
      </c>
      <c r="C1803" s="12" t="s">
        <v>129</v>
      </c>
      <c r="D1803" s="12" t="s">
        <v>133</v>
      </c>
      <c r="E1803" s="12" t="s">
        <v>151</v>
      </c>
      <c r="F1803" s="12" t="s">
        <v>129</v>
      </c>
      <c r="G1803" s="14">
        <f t="shared" ref="G1803:G1866" ca="1" si="28">P1803*(1+RAND())</f>
        <v>35148.647456362429</v>
      </c>
      <c r="H1803" s="12" t="s">
        <v>172</v>
      </c>
      <c r="I1803">
        <v>0</v>
      </c>
      <c r="J1803">
        <v>8</v>
      </c>
      <c r="K1803" s="12" t="s">
        <v>176</v>
      </c>
      <c r="L1803">
        <v>0</v>
      </c>
      <c r="M1803">
        <v>0</v>
      </c>
      <c r="O1803" s="39"/>
      <c r="P1803" s="16">
        <v>32594.61</v>
      </c>
      <c r="S1803" s="17"/>
    </row>
    <row r="1804" spans="1:19" x14ac:dyDescent="0.4">
      <c r="A1804">
        <v>9026309</v>
      </c>
      <c r="B1804" s="15">
        <v>20</v>
      </c>
      <c r="C1804" s="12" t="s">
        <v>122</v>
      </c>
      <c r="D1804" s="12" t="s">
        <v>134</v>
      </c>
      <c r="E1804" s="12" t="s">
        <v>152</v>
      </c>
      <c r="F1804" s="12" t="s">
        <v>162</v>
      </c>
      <c r="G1804" s="14">
        <f t="shared" ca="1" si="28"/>
        <v>38663.469020217293</v>
      </c>
      <c r="H1804" s="12" t="s">
        <v>172</v>
      </c>
      <c r="I1804">
        <v>0</v>
      </c>
      <c r="J1804">
        <v>20</v>
      </c>
      <c r="K1804" s="12" t="s">
        <v>176</v>
      </c>
      <c r="L1804">
        <v>0</v>
      </c>
      <c r="M1804">
        <v>0</v>
      </c>
      <c r="O1804" s="39"/>
      <c r="P1804" s="15">
        <v>20873.96</v>
      </c>
      <c r="S1804" s="17"/>
    </row>
    <row r="1805" spans="1:19" x14ac:dyDescent="0.4">
      <c r="A1805">
        <v>9033325</v>
      </c>
      <c r="B1805" s="16">
        <v>42</v>
      </c>
      <c r="C1805" s="12" t="s">
        <v>122</v>
      </c>
      <c r="D1805" s="12" t="s">
        <v>134</v>
      </c>
      <c r="E1805" s="12" t="s">
        <v>149</v>
      </c>
      <c r="F1805" s="12" t="s">
        <v>159</v>
      </c>
      <c r="G1805" s="14">
        <f t="shared" ca="1" si="28"/>
        <v>131706.2997417617</v>
      </c>
      <c r="H1805" s="12" t="s">
        <v>172</v>
      </c>
      <c r="I1805">
        <v>0</v>
      </c>
      <c r="J1805">
        <v>40</v>
      </c>
      <c r="K1805" s="12" t="s">
        <v>176</v>
      </c>
      <c r="L1805">
        <v>0</v>
      </c>
      <c r="M1805">
        <v>0</v>
      </c>
      <c r="O1805" s="39"/>
      <c r="P1805" s="16">
        <v>118691.41</v>
      </c>
      <c r="S1805" s="17"/>
    </row>
    <row r="1806" spans="1:19" x14ac:dyDescent="0.4">
      <c r="A1806">
        <v>9045409</v>
      </c>
      <c r="B1806" s="15">
        <v>48</v>
      </c>
      <c r="C1806" s="12" t="s">
        <v>122</v>
      </c>
      <c r="D1806" s="12" t="s">
        <v>138</v>
      </c>
      <c r="E1806" s="12" t="s">
        <v>152</v>
      </c>
      <c r="F1806" s="12" t="s">
        <v>160</v>
      </c>
      <c r="G1806" s="14">
        <f t="shared" ca="1" si="28"/>
        <v>49698.129784831654</v>
      </c>
      <c r="H1806" s="12" t="s">
        <v>172</v>
      </c>
      <c r="I1806">
        <v>0</v>
      </c>
      <c r="J1806">
        <v>50</v>
      </c>
      <c r="K1806" s="12" t="s">
        <v>176</v>
      </c>
      <c r="L1806">
        <v>1202</v>
      </c>
      <c r="M1806">
        <v>1</v>
      </c>
      <c r="O1806" s="39"/>
      <c r="P1806" s="15">
        <v>45432.97</v>
      </c>
      <c r="S1806" s="17"/>
    </row>
    <row r="1807" spans="1:19" x14ac:dyDescent="0.4">
      <c r="A1807">
        <v>9067502</v>
      </c>
      <c r="B1807" s="16">
        <v>45</v>
      </c>
      <c r="C1807" s="12" t="s">
        <v>122</v>
      </c>
      <c r="D1807" s="12" t="s">
        <v>134</v>
      </c>
      <c r="E1807" s="12" t="s">
        <v>151</v>
      </c>
      <c r="F1807" s="12" t="s">
        <v>162</v>
      </c>
      <c r="G1807" s="14">
        <f t="shared" ca="1" si="28"/>
        <v>404499.62841440208</v>
      </c>
      <c r="H1807" s="12" t="s">
        <v>172</v>
      </c>
      <c r="I1807">
        <v>0</v>
      </c>
      <c r="J1807">
        <v>40</v>
      </c>
      <c r="K1807" s="12" t="s">
        <v>176</v>
      </c>
      <c r="L1807">
        <v>0</v>
      </c>
      <c r="M1807">
        <v>0</v>
      </c>
      <c r="O1807" s="39"/>
      <c r="P1807" s="16">
        <v>233344.97</v>
      </c>
      <c r="S1807" s="17"/>
    </row>
    <row r="1808" spans="1:19" x14ac:dyDescent="0.4">
      <c r="A1808">
        <v>9074213</v>
      </c>
      <c r="B1808" s="15">
        <v>20</v>
      </c>
      <c r="C1808" s="12" t="s">
        <v>122</v>
      </c>
      <c r="D1808" s="12" t="s">
        <v>132</v>
      </c>
      <c r="E1808" s="12" t="s">
        <v>150</v>
      </c>
      <c r="F1808" s="12" t="s">
        <v>164</v>
      </c>
      <c r="G1808" s="14">
        <f t="shared" ca="1" si="28"/>
        <v>255827.70223024618</v>
      </c>
      <c r="H1808" s="12" t="s">
        <v>172</v>
      </c>
      <c r="I1808">
        <v>0</v>
      </c>
      <c r="J1808">
        <v>20</v>
      </c>
      <c r="K1808" s="12" t="s">
        <v>176</v>
      </c>
      <c r="L1808">
        <v>0</v>
      </c>
      <c r="M1808">
        <v>0</v>
      </c>
      <c r="O1808" s="39"/>
      <c r="P1808" s="15">
        <v>228650</v>
      </c>
      <c r="S1808" s="17"/>
    </row>
    <row r="1809" spans="1:19" x14ac:dyDescent="0.4">
      <c r="A1809">
        <v>9077768</v>
      </c>
      <c r="B1809" s="16">
        <v>55</v>
      </c>
      <c r="C1809" s="12" t="s">
        <v>122</v>
      </c>
      <c r="D1809" s="12" t="s">
        <v>134</v>
      </c>
      <c r="E1809" s="12" t="s">
        <v>151</v>
      </c>
      <c r="F1809" s="12" t="s">
        <v>144</v>
      </c>
      <c r="G1809" s="14">
        <f t="shared" ca="1" si="28"/>
        <v>418119.01675852749</v>
      </c>
      <c r="H1809" s="12" t="s">
        <v>171</v>
      </c>
      <c r="I1809">
        <v>0</v>
      </c>
      <c r="J1809">
        <v>40</v>
      </c>
      <c r="K1809" s="12" t="s">
        <v>176</v>
      </c>
      <c r="L1809">
        <v>0</v>
      </c>
      <c r="M1809">
        <v>0</v>
      </c>
      <c r="O1809" s="39"/>
      <c r="P1809" s="16">
        <v>274368.49</v>
      </c>
      <c r="S1809" s="17"/>
    </row>
    <row r="1810" spans="1:19" x14ac:dyDescent="0.4">
      <c r="A1810">
        <v>9091196</v>
      </c>
      <c r="B1810" s="15">
        <v>33</v>
      </c>
      <c r="C1810" s="12" t="s">
        <v>122</v>
      </c>
      <c r="D1810" s="12" t="s">
        <v>140</v>
      </c>
      <c r="E1810" s="12" t="s">
        <v>150</v>
      </c>
      <c r="F1810" s="12" t="s">
        <v>156</v>
      </c>
      <c r="G1810" s="14">
        <f t="shared" ca="1" si="28"/>
        <v>241438.24489145729</v>
      </c>
      <c r="H1810" s="12" t="s">
        <v>172</v>
      </c>
      <c r="I1810">
        <v>0</v>
      </c>
      <c r="J1810">
        <v>20</v>
      </c>
      <c r="K1810" s="12" t="s">
        <v>176</v>
      </c>
      <c r="L1810">
        <v>0</v>
      </c>
      <c r="M1810">
        <v>0</v>
      </c>
      <c r="O1810" s="39"/>
      <c r="P1810" s="15">
        <v>142528.17000000001</v>
      </c>
      <c r="S1810" s="17"/>
    </row>
    <row r="1811" spans="1:19" x14ac:dyDescent="0.4">
      <c r="A1811">
        <v>9095709</v>
      </c>
      <c r="B1811" s="16">
        <v>29</v>
      </c>
      <c r="C1811" s="12" t="s">
        <v>122</v>
      </c>
      <c r="D1811" s="12" t="s">
        <v>134</v>
      </c>
      <c r="E1811" s="12" t="s">
        <v>152</v>
      </c>
      <c r="F1811" s="12" t="s">
        <v>161</v>
      </c>
      <c r="G1811" s="14">
        <f t="shared" ca="1" si="28"/>
        <v>61713.853025460092</v>
      </c>
      <c r="H1811" s="12" t="s">
        <v>172</v>
      </c>
      <c r="I1811">
        <v>0</v>
      </c>
      <c r="J1811">
        <v>40</v>
      </c>
      <c r="K1811" s="12" t="s">
        <v>176</v>
      </c>
      <c r="L1811">
        <v>4006</v>
      </c>
      <c r="M1811">
        <v>1</v>
      </c>
      <c r="O1811" s="39"/>
      <c r="P1811" s="16">
        <v>43062.27</v>
      </c>
      <c r="S1811" s="17"/>
    </row>
    <row r="1812" spans="1:19" x14ac:dyDescent="0.4">
      <c r="A1812">
        <v>9098926</v>
      </c>
      <c r="B1812" s="15">
        <v>37</v>
      </c>
      <c r="C1812" s="12" t="s">
        <v>122</v>
      </c>
      <c r="D1812" s="12" t="s">
        <v>133</v>
      </c>
      <c r="E1812" s="12" t="s">
        <v>152</v>
      </c>
      <c r="F1812" s="12" t="s">
        <v>161</v>
      </c>
      <c r="G1812" s="14">
        <f t="shared" ca="1" si="28"/>
        <v>87153.755349204162</v>
      </c>
      <c r="H1812" s="12" t="s">
        <v>172</v>
      </c>
      <c r="I1812">
        <v>0</v>
      </c>
      <c r="J1812">
        <v>40</v>
      </c>
      <c r="K1812" s="12" t="s">
        <v>176</v>
      </c>
      <c r="L1812">
        <v>0</v>
      </c>
      <c r="M1812">
        <v>1</v>
      </c>
      <c r="O1812" s="39"/>
      <c r="P1812" s="15">
        <v>44271.1</v>
      </c>
      <c r="S1812" s="17"/>
    </row>
    <row r="1813" spans="1:19" x14ac:dyDescent="0.4">
      <c r="A1813">
        <v>9122533</v>
      </c>
      <c r="B1813" s="16">
        <v>68</v>
      </c>
      <c r="C1813" s="12" t="s">
        <v>129</v>
      </c>
      <c r="D1813" s="12" t="s">
        <v>147</v>
      </c>
      <c r="E1813" s="12" t="s">
        <v>151</v>
      </c>
      <c r="F1813" s="12" t="s">
        <v>129</v>
      </c>
      <c r="G1813" s="14">
        <f t="shared" ca="1" si="28"/>
        <v>85058.795288329784</v>
      </c>
      <c r="H1813" s="12" t="s">
        <v>171</v>
      </c>
      <c r="I1813">
        <v>0</v>
      </c>
      <c r="J1813">
        <v>20</v>
      </c>
      <c r="K1813" s="12" t="s">
        <v>176</v>
      </c>
      <c r="L1813">
        <v>0</v>
      </c>
      <c r="M1813">
        <v>0</v>
      </c>
      <c r="O1813" s="39"/>
      <c r="P1813" s="16">
        <v>55370.84</v>
      </c>
      <c r="S1813" s="17"/>
    </row>
    <row r="1814" spans="1:19" x14ac:dyDescent="0.4">
      <c r="A1814">
        <v>9126219</v>
      </c>
      <c r="B1814" s="15">
        <v>38</v>
      </c>
      <c r="C1814" s="12" t="s">
        <v>122</v>
      </c>
      <c r="D1814" s="12" t="s">
        <v>132</v>
      </c>
      <c r="E1814" s="12" t="s">
        <v>151</v>
      </c>
      <c r="F1814" s="12" t="s">
        <v>159</v>
      </c>
      <c r="G1814" s="14">
        <f t="shared" ca="1" si="28"/>
        <v>85625.976968974021</v>
      </c>
      <c r="H1814" s="12" t="s">
        <v>172</v>
      </c>
      <c r="I1814">
        <v>1160.6666666666699</v>
      </c>
      <c r="J1814">
        <v>40</v>
      </c>
      <c r="K1814" s="12" t="s">
        <v>176</v>
      </c>
      <c r="L1814">
        <v>0</v>
      </c>
      <c r="M1814">
        <v>0</v>
      </c>
      <c r="O1814" s="39"/>
      <c r="P1814" s="15">
        <v>66808.94</v>
      </c>
      <c r="S1814" s="17"/>
    </row>
    <row r="1815" spans="1:19" x14ac:dyDescent="0.4">
      <c r="A1815">
        <v>9127765</v>
      </c>
      <c r="B1815" s="16">
        <v>61</v>
      </c>
      <c r="C1815" s="12" t="s">
        <v>122</v>
      </c>
      <c r="D1815" s="12" t="s">
        <v>145</v>
      </c>
      <c r="E1815" s="12" t="s">
        <v>153</v>
      </c>
      <c r="F1815" s="12" t="s">
        <v>156</v>
      </c>
      <c r="G1815" s="14">
        <f t="shared" ca="1" si="28"/>
        <v>135243.23241795474</v>
      </c>
      <c r="H1815" s="12" t="s">
        <v>171</v>
      </c>
      <c r="I1815">
        <v>0</v>
      </c>
      <c r="J1815">
        <v>21</v>
      </c>
      <c r="K1815" s="12" t="s">
        <v>176</v>
      </c>
      <c r="L1815">
        <v>0</v>
      </c>
      <c r="M1815">
        <v>0</v>
      </c>
      <c r="O1815" s="39"/>
      <c r="P1815" s="16">
        <v>78161.84</v>
      </c>
      <c r="S1815" s="17"/>
    </row>
    <row r="1816" spans="1:19" x14ac:dyDescent="0.4">
      <c r="A1816">
        <v>9128235</v>
      </c>
      <c r="B1816" s="15">
        <v>31</v>
      </c>
      <c r="C1816" s="12" t="s">
        <v>122</v>
      </c>
      <c r="D1816" s="12" t="s">
        <v>145</v>
      </c>
      <c r="E1816" s="12" t="s">
        <v>150</v>
      </c>
      <c r="F1816" s="12" t="s">
        <v>164</v>
      </c>
      <c r="G1816" s="14">
        <f t="shared" ca="1" si="28"/>
        <v>284091.49462219456</v>
      </c>
      <c r="H1816" s="12" t="s">
        <v>172</v>
      </c>
      <c r="I1816">
        <v>0</v>
      </c>
      <c r="J1816">
        <v>50</v>
      </c>
      <c r="K1816" s="12" t="s">
        <v>176</v>
      </c>
      <c r="L1816">
        <v>0</v>
      </c>
      <c r="M1816">
        <v>0</v>
      </c>
      <c r="O1816" s="39"/>
      <c r="P1816" s="15">
        <v>209072.7</v>
      </c>
      <c r="S1816" s="17"/>
    </row>
    <row r="1817" spans="1:19" x14ac:dyDescent="0.4">
      <c r="A1817">
        <v>9132853</v>
      </c>
      <c r="B1817" s="16">
        <v>24</v>
      </c>
      <c r="C1817" s="12" t="s">
        <v>122</v>
      </c>
      <c r="D1817" s="12" t="s">
        <v>135</v>
      </c>
      <c r="E1817" s="12" t="s">
        <v>150</v>
      </c>
      <c r="F1817" s="12" t="s">
        <v>160</v>
      </c>
      <c r="G1817" s="14">
        <f t="shared" ca="1" si="28"/>
        <v>161934.1215248013</v>
      </c>
      <c r="H1817" s="12" t="s">
        <v>171</v>
      </c>
      <c r="I1817">
        <v>0</v>
      </c>
      <c r="J1817">
        <v>40</v>
      </c>
      <c r="K1817" s="12" t="s">
        <v>176</v>
      </c>
      <c r="L1817">
        <v>0</v>
      </c>
      <c r="M1817">
        <v>0</v>
      </c>
      <c r="O1817" s="39"/>
      <c r="P1817" s="16">
        <v>114400.18</v>
      </c>
      <c r="S1817" s="17"/>
    </row>
    <row r="1818" spans="1:19" x14ac:dyDescent="0.4">
      <c r="A1818">
        <v>9137391</v>
      </c>
      <c r="B1818" s="15">
        <v>31</v>
      </c>
      <c r="C1818" s="12" t="s">
        <v>124</v>
      </c>
      <c r="D1818" s="12" t="s">
        <v>135</v>
      </c>
      <c r="E1818" s="12" t="s">
        <v>152</v>
      </c>
      <c r="F1818" s="12" t="s">
        <v>160</v>
      </c>
      <c r="G1818" s="14">
        <f t="shared" ca="1" si="28"/>
        <v>23111.208615474563</v>
      </c>
      <c r="H1818" s="12" t="s">
        <v>172</v>
      </c>
      <c r="I1818">
        <v>0</v>
      </c>
      <c r="J1818">
        <v>50</v>
      </c>
      <c r="K1818" s="12" t="s">
        <v>176</v>
      </c>
      <c r="L1818">
        <v>9358</v>
      </c>
      <c r="M1818">
        <v>1</v>
      </c>
      <c r="O1818" s="39"/>
      <c r="P1818" s="15">
        <v>13353.45</v>
      </c>
      <c r="S1818" s="17"/>
    </row>
    <row r="1819" spans="1:19" x14ac:dyDescent="0.4">
      <c r="A1819">
        <v>9144458</v>
      </c>
      <c r="B1819" s="16">
        <v>17</v>
      </c>
      <c r="C1819" s="12" t="s">
        <v>122</v>
      </c>
      <c r="D1819" s="12" t="s">
        <v>139</v>
      </c>
      <c r="E1819" s="12" t="s">
        <v>150</v>
      </c>
      <c r="F1819" s="12" t="s">
        <v>162</v>
      </c>
      <c r="G1819" s="14">
        <f t="shared" ca="1" si="28"/>
        <v>207956.17974712598</v>
      </c>
      <c r="H1819" s="12" t="s">
        <v>171</v>
      </c>
      <c r="I1819">
        <v>0</v>
      </c>
      <c r="J1819">
        <v>15</v>
      </c>
      <c r="K1819" s="12" t="s">
        <v>176</v>
      </c>
      <c r="L1819">
        <v>0</v>
      </c>
      <c r="M1819">
        <v>0</v>
      </c>
      <c r="O1819" s="39"/>
      <c r="P1819" s="16">
        <v>142371.67000000001</v>
      </c>
      <c r="S1819" s="17"/>
    </row>
    <row r="1820" spans="1:19" x14ac:dyDescent="0.4">
      <c r="A1820">
        <v>9151219</v>
      </c>
      <c r="B1820" s="15">
        <v>68</v>
      </c>
      <c r="C1820" s="12" t="s">
        <v>122</v>
      </c>
      <c r="D1820" s="12" t="s">
        <v>141</v>
      </c>
      <c r="E1820" s="12" t="s">
        <v>151</v>
      </c>
      <c r="F1820" s="12" t="s">
        <v>144</v>
      </c>
      <c r="G1820" s="14">
        <f t="shared" ca="1" si="28"/>
        <v>32786.688028412413</v>
      </c>
      <c r="H1820" s="12" t="s">
        <v>171</v>
      </c>
      <c r="I1820">
        <v>0</v>
      </c>
      <c r="J1820">
        <v>40</v>
      </c>
      <c r="K1820" s="12" t="s">
        <v>180</v>
      </c>
      <c r="L1820">
        <v>0</v>
      </c>
      <c r="M1820">
        <v>0</v>
      </c>
      <c r="O1820" s="39"/>
      <c r="P1820" s="15">
        <v>25748.68</v>
      </c>
      <c r="S1820" s="17"/>
    </row>
    <row r="1821" spans="1:19" x14ac:dyDescent="0.4">
      <c r="A1821">
        <v>9158086</v>
      </c>
      <c r="B1821" s="16">
        <v>34</v>
      </c>
      <c r="C1821" s="12" t="s">
        <v>122</v>
      </c>
      <c r="D1821" s="12" t="s">
        <v>134</v>
      </c>
      <c r="E1821" s="12" t="s">
        <v>152</v>
      </c>
      <c r="F1821" s="12" t="s">
        <v>162</v>
      </c>
      <c r="G1821" s="14">
        <f t="shared" ca="1" si="28"/>
        <v>36012.422174471736</v>
      </c>
      <c r="H1821" s="12" t="s">
        <v>172</v>
      </c>
      <c r="I1821">
        <v>0</v>
      </c>
      <c r="J1821">
        <v>50</v>
      </c>
      <c r="K1821" s="12" t="s">
        <v>176</v>
      </c>
      <c r="L1821">
        <v>0</v>
      </c>
      <c r="M1821">
        <v>0</v>
      </c>
      <c r="O1821" s="39"/>
      <c r="P1821" s="16">
        <v>20632.310000000001</v>
      </c>
      <c r="S1821" s="17"/>
    </row>
    <row r="1822" spans="1:19" x14ac:dyDescent="0.4">
      <c r="A1822">
        <v>9159682</v>
      </c>
      <c r="B1822" s="15">
        <v>46</v>
      </c>
      <c r="C1822" s="12" t="s">
        <v>122</v>
      </c>
      <c r="D1822" s="12" t="s">
        <v>132</v>
      </c>
      <c r="E1822" s="12" t="s">
        <v>149</v>
      </c>
      <c r="F1822" s="12" t="s">
        <v>162</v>
      </c>
      <c r="G1822" s="14">
        <f t="shared" ca="1" si="28"/>
        <v>116419.57229493924</v>
      </c>
      <c r="H1822" s="12" t="s">
        <v>172</v>
      </c>
      <c r="I1822">
        <v>0</v>
      </c>
      <c r="J1822">
        <v>42</v>
      </c>
      <c r="K1822" s="12" t="s">
        <v>176</v>
      </c>
      <c r="L1822">
        <v>0</v>
      </c>
      <c r="M1822">
        <v>0</v>
      </c>
      <c r="O1822" s="39"/>
      <c r="P1822" s="15">
        <v>61254.080000000002</v>
      </c>
      <c r="S1822" s="17"/>
    </row>
    <row r="1823" spans="1:19" x14ac:dyDescent="0.4">
      <c r="A1823">
        <v>9161420</v>
      </c>
      <c r="B1823" s="16">
        <v>38</v>
      </c>
      <c r="C1823" s="12" t="s">
        <v>122</v>
      </c>
      <c r="D1823" s="12" t="s">
        <v>134</v>
      </c>
      <c r="E1823" s="12" t="s">
        <v>152</v>
      </c>
      <c r="F1823" s="12" t="s">
        <v>162</v>
      </c>
      <c r="G1823" s="14">
        <f t="shared" ca="1" si="28"/>
        <v>58759.421621328838</v>
      </c>
      <c r="H1823" s="12" t="s">
        <v>172</v>
      </c>
      <c r="I1823">
        <v>0</v>
      </c>
      <c r="J1823">
        <v>55</v>
      </c>
      <c r="K1823" s="12" t="s">
        <v>176</v>
      </c>
      <c r="L1823">
        <v>6024</v>
      </c>
      <c r="M1823">
        <v>1</v>
      </c>
      <c r="O1823" s="39"/>
      <c r="P1823" s="16">
        <v>33483.980000000003</v>
      </c>
      <c r="S1823" s="17"/>
    </row>
    <row r="1824" spans="1:19" x14ac:dyDescent="0.4">
      <c r="A1824">
        <v>9172493</v>
      </c>
      <c r="B1824" s="15">
        <v>51</v>
      </c>
      <c r="C1824" s="12" t="s">
        <v>124</v>
      </c>
      <c r="D1824" s="12" t="s">
        <v>132</v>
      </c>
      <c r="E1824" s="12" t="s">
        <v>149</v>
      </c>
      <c r="F1824" s="12" t="s">
        <v>162</v>
      </c>
      <c r="G1824" s="14">
        <f t="shared" ca="1" si="28"/>
        <v>51760.850841044637</v>
      </c>
      <c r="H1824" s="12" t="s">
        <v>171</v>
      </c>
      <c r="I1824">
        <v>0</v>
      </c>
      <c r="J1824">
        <v>40</v>
      </c>
      <c r="K1824" s="12" t="s">
        <v>176</v>
      </c>
      <c r="L1824">
        <v>0</v>
      </c>
      <c r="M1824">
        <v>0</v>
      </c>
      <c r="O1824" s="39"/>
      <c r="P1824" s="15">
        <v>50492.45</v>
      </c>
      <c r="S1824" s="17"/>
    </row>
    <row r="1825" spans="1:19" x14ac:dyDescent="0.4">
      <c r="A1825">
        <v>9176992</v>
      </c>
      <c r="B1825" s="16">
        <v>60</v>
      </c>
      <c r="C1825" s="12" t="s">
        <v>123</v>
      </c>
      <c r="D1825" s="12" t="s">
        <v>134</v>
      </c>
      <c r="E1825" s="12" t="s">
        <v>150</v>
      </c>
      <c r="F1825" s="12" t="s">
        <v>165</v>
      </c>
      <c r="G1825" s="14">
        <f t="shared" ca="1" si="28"/>
        <v>271427.45944935828</v>
      </c>
      <c r="H1825" s="12" t="s">
        <v>172</v>
      </c>
      <c r="I1825">
        <v>0</v>
      </c>
      <c r="J1825">
        <v>42</v>
      </c>
      <c r="K1825" s="12" t="s">
        <v>176</v>
      </c>
      <c r="L1825">
        <v>0</v>
      </c>
      <c r="M1825">
        <v>0</v>
      </c>
      <c r="O1825" s="39"/>
      <c r="P1825" s="16">
        <v>154705.59</v>
      </c>
      <c r="S1825" s="17"/>
    </row>
    <row r="1826" spans="1:19" x14ac:dyDescent="0.4">
      <c r="A1826">
        <v>9182323</v>
      </c>
      <c r="B1826" s="15">
        <v>49</v>
      </c>
      <c r="C1826" s="12" t="s">
        <v>122</v>
      </c>
      <c r="D1826" s="12" t="s">
        <v>132</v>
      </c>
      <c r="E1826" s="12" t="s">
        <v>152</v>
      </c>
      <c r="F1826" s="12" t="s">
        <v>156</v>
      </c>
      <c r="G1826" s="14">
        <f t="shared" ca="1" si="28"/>
        <v>94783.535198059064</v>
      </c>
      <c r="H1826" s="12" t="s">
        <v>172</v>
      </c>
      <c r="I1826">
        <v>0</v>
      </c>
      <c r="J1826">
        <v>17</v>
      </c>
      <c r="K1826" s="12" t="s">
        <v>176</v>
      </c>
      <c r="L1826">
        <v>0</v>
      </c>
      <c r="M1826">
        <v>0</v>
      </c>
      <c r="O1826" s="39"/>
      <c r="P1826" s="15">
        <v>51847.25</v>
      </c>
      <c r="S1826" s="17"/>
    </row>
    <row r="1827" spans="1:19" x14ac:dyDescent="0.4">
      <c r="A1827">
        <v>9191139</v>
      </c>
      <c r="B1827" s="16">
        <v>47</v>
      </c>
      <c r="C1827" s="12" t="s">
        <v>123</v>
      </c>
      <c r="D1827" s="12" t="s">
        <v>135</v>
      </c>
      <c r="E1827" s="12" t="s">
        <v>152</v>
      </c>
      <c r="F1827" s="12" t="s">
        <v>144</v>
      </c>
      <c r="G1827" s="14">
        <f t="shared" ca="1" si="28"/>
        <v>71676.890231552097</v>
      </c>
      <c r="H1827" s="12" t="s">
        <v>172</v>
      </c>
      <c r="I1827">
        <v>0</v>
      </c>
      <c r="J1827">
        <v>60</v>
      </c>
      <c r="K1827" s="12" t="s">
        <v>176</v>
      </c>
      <c r="L1827">
        <v>0</v>
      </c>
      <c r="M1827">
        <v>0</v>
      </c>
      <c r="O1827" s="39"/>
      <c r="P1827" s="16">
        <v>49069.97</v>
      </c>
      <c r="S1827" s="17"/>
    </row>
    <row r="1828" spans="1:19" x14ac:dyDescent="0.4">
      <c r="A1828">
        <v>9199367</v>
      </c>
      <c r="B1828" s="15">
        <v>25</v>
      </c>
      <c r="C1828" s="12" t="s">
        <v>129</v>
      </c>
      <c r="D1828" s="12" t="s">
        <v>135</v>
      </c>
      <c r="E1828" s="12" t="s">
        <v>152</v>
      </c>
      <c r="F1828" s="12" t="s">
        <v>129</v>
      </c>
      <c r="G1828" s="14">
        <f t="shared" ca="1" si="28"/>
        <v>28447.450537787023</v>
      </c>
      <c r="H1828" s="12" t="s">
        <v>172</v>
      </c>
      <c r="I1828">
        <v>0</v>
      </c>
      <c r="J1828">
        <v>40</v>
      </c>
      <c r="K1828" s="12" t="s">
        <v>176</v>
      </c>
      <c r="L1828">
        <v>0</v>
      </c>
      <c r="M1828">
        <v>0</v>
      </c>
      <c r="O1828" s="39"/>
      <c r="P1828" s="15">
        <v>19814.07</v>
      </c>
      <c r="S1828" s="17"/>
    </row>
    <row r="1829" spans="1:19" x14ac:dyDescent="0.4">
      <c r="A1829">
        <v>9209071</v>
      </c>
      <c r="B1829" s="16">
        <v>53</v>
      </c>
      <c r="C1829" s="12" t="s">
        <v>122</v>
      </c>
      <c r="D1829" s="12" t="s">
        <v>135</v>
      </c>
      <c r="E1829" s="12" t="s">
        <v>151</v>
      </c>
      <c r="F1829" s="12" t="s">
        <v>144</v>
      </c>
      <c r="G1829" s="14">
        <f t="shared" ca="1" si="28"/>
        <v>188152.17576482365</v>
      </c>
      <c r="H1829" s="12" t="s">
        <v>172</v>
      </c>
      <c r="I1829">
        <v>0</v>
      </c>
      <c r="J1829">
        <v>55</v>
      </c>
      <c r="K1829" s="12" t="s">
        <v>176</v>
      </c>
      <c r="L1829">
        <v>14344</v>
      </c>
      <c r="M1829">
        <v>1</v>
      </c>
      <c r="O1829" s="39"/>
      <c r="P1829" s="16">
        <v>104338.96</v>
      </c>
      <c r="S1829" s="17"/>
    </row>
    <row r="1830" spans="1:19" x14ac:dyDescent="0.4">
      <c r="A1830">
        <v>9211248</v>
      </c>
      <c r="B1830" s="15">
        <v>40</v>
      </c>
      <c r="C1830" s="12" t="s">
        <v>122</v>
      </c>
      <c r="D1830" s="12" t="s">
        <v>133</v>
      </c>
      <c r="E1830" s="12" t="s">
        <v>152</v>
      </c>
      <c r="F1830" s="12" t="s">
        <v>160</v>
      </c>
      <c r="G1830" s="14">
        <f t="shared" ca="1" si="28"/>
        <v>55250.620135186844</v>
      </c>
      <c r="H1830" s="12" t="s">
        <v>172</v>
      </c>
      <c r="I1830">
        <v>1848</v>
      </c>
      <c r="J1830">
        <v>55</v>
      </c>
      <c r="K1830" s="12" t="s">
        <v>176</v>
      </c>
      <c r="L1830">
        <v>2943</v>
      </c>
      <c r="M1830">
        <v>1</v>
      </c>
      <c r="O1830" s="39"/>
      <c r="P1830" s="15">
        <v>30194.57</v>
      </c>
      <c r="S1830" s="17"/>
    </row>
    <row r="1831" spans="1:19" x14ac:dyDescent="0.4">
      <c r="A1831">
        <v>9212916</v>
      </c>
      <c r="B1831" s="16">
        <v>26</v>
      </c>
      <c r="C1831" s="12" t="s">
        <v>125</v>
      </c>
      <c r="D1831" s="12" t="s">
        <v>135</v>
      </c>
      <c r="E1831" s="12" t="s">
        <v>150</v>
      </c>
      <c r="F1831" s="12" t="s">
        <v>166</v>
      </c>
      <c r="G1831" s="14">
        <f t="shared" ca="1" si="28"/>
        <v>117890.02988239394</v>
      </c>
      <c r="H1831" s="12" t="s">
        <v>172</v>
      </c>
      <c r="I1831">
        <v>0</v>
      </c>
      <c r="J1831">
        <v>40</v>
      </c>
      <c r="K1831" s="12" t="s">
        <v>176</v>
      </c>
      <c r="L1831">
        <v>0</v>
      </c>
      <c r="M1831">
        <v>0</v>
      </c>
      <c r="O1831" s="39"/>
      <c r="P1831" s="16">
        <v>69007.710000000006</v>
      </c>
      <c r="S1831" s="17"/>
    </row>
    <row r="1832" spans="1:19" x14ac:dyDescent="0.4">
      <c r="A1832">
        <v>9213352</v>
      </c>
      <c r="B1832" s="15">
        <v>32</v>
      </c>
      <c r="C1832" s="12" t="s">
        <v>122</v>
      </c>
      <c r="D1832" s="12" t="s">
        <v>133</v>
      </c>
      <c r="E1832" s="12" t="s">
        <v>150</v>
      </c>
      <c r="F1832" s="12" t="s">
        <v>144</v>
      </c>
      <c r="G1832" s="14">
        <f t="shared" ca="1" si="28"/>
        <v>131135.16662451735</v>
      </c>
      <c r="H1832" s="12" t="s">
        <v>172</v>
      </c>
      <c r="I1832">
        <v>0</v>
      </c>
      <c r="J1832">
        <v>40</v>
      </c>
      <c r="K1832" s="12" t="s">
        <v>129</v>
      </c>
      <c r="L1832">
        <v>0</v>
      </c>
      <c r="M1832">
        <v>0</v>
      </c>
      <c r="O1832" s="39"/>
      <c r="P1832" s="15">
        <v>74859.570000000007</v>
      </c>
      <c r="S1832" s="17"/>
    </row>
    <row r="1833" spans="1:19" x14ac:dyDescent="0.4">
      <c r="A1833">
        <v>9216019</v>
      </c>
      <c r="B1833" s="16">
        <v>55</v>
      </c>
      <c r="C1833" s="12" t="s">
        <v>123</v>
      </c>
      <c r="D1833" s="12" t="s">
        <v>134</v>
      </c>
      <c r="E1833" s="12" t="s">
        <v>152</v>
      </c>
      <c r="F1833" s="12" t="s">
        <v>159</v>
      </c>
      <c r="G1833" s="14">
        <f t="shared" ca="1" si="28"/>
        <v>65938.754022226451</v>
      </c>
      <c r="H1833" s="12" t="s">
        <v>172</v>
      </c>
      <c r="I1833">
        <v>0</v>
      </c>
      <c r="J1833">
        <v>50</v>
      </c>
      <c r="K1833" s="12" t="s">
        <v>176</v>
      </c>
      <c r="L1833">
        <v>0</v>
      </c>
      <c r="M1833">
        <v>0</v>
      </c>
      <c r="O1833" s="39"/>
      <c r="P1833" s="16">
        <v>33803.72</v>
      </c>
      <c r="S1833" s="17"/>
    </row>
    <row r="1834" spans="1:19" x14ac:dyDescent="0.4">
      <c r="A1834">
        <v>9223095</v>
      </c>
      <c r="B1834" s="15">
        <v>22</v>
      </c>
      <c r="C1834" s="12" t="s">
        <v>122</v>
      </c>
      <c r="D1834" s="12" t="s">
        <v>132</v>
      </c>
      <c r="E1834" s="12" t="s">
        <v>150</v>
      </c>
      <c r="F1834" s="12" t="s">
        <v>158</v>
      </c>
      <c r="G1834" s="14">
        <f t="shared" ca="1" si="28"/>
        <v>240113.08690223715</v>
      </c>
      <c r="H1834" s="12" t="s">
        <v>172</v>
      </c>
      <c r="I1834">
        <v>0</v>
      </c>
      <c r="J1834">
        <v>40</v>
      </c>
      <c r="K1834" s="12" t="s">
        <v>176</v>
      </c>
      <c r="L1834">
        <v>0</v>
      </c>
      <c r="M1834">
        <v>0</v>
      </c>
      <c r="O1834" s="39"/>
      <c r="P1834" s="15">
        <v>124753.78</v>
      </c>
      <c r="S1834" s="17"/>
    </row>
    <row r="1835" spans="1:19" x14ac:dyDescent="0.4">
      <c r="A1835">
        <v>9227421</v>
      </c>
      <c r="B1835" s="16">
        <v>44</v>
      </c>
      <c r="C1835" s="12" t="s">
        <v>122</v>
      </c>
      <c r="D1835" s="12" t="s">
        <v>135</v>
      </c>
      <c r="E1835" s="12" t="s">
        <v>152</v>
      </c>
      <c r="F1835" s="12" t="s">
        <v>160</v>
      </c>
      <c r="G1835" s="14">
        <f t="shared" ca="1" si="28"/>
        <v>18929.184651947613</v>
      </c>
      <c r="H1835" s="12" t="s">
        <v>172</v>
      </c>
      <c r="I1835">
        <v>0</v>
      </c>
      <c r="J1835">
        <v>35</v>
      </c>
      <c r="K1835" s="12" t="s">
        <v>176</v>
      </c>
      <c r="L1835">
        <v>0</v>
      </c>
      <c r="M1835">
        <v>1</v>
      </c>
      <c r="O1835" s="39"/>
      <c r="P1835" s="16">
        <v>11814.61</v>
      </c>
      <c r="S1835" s="17"/>
    </row>
    <row r="1836" spans="1:19" x14ac:dyDescent="0.4">
      <c r="A1836">
        <v>9238220</v>
      </c>
      <c r="B1836" s="15">
        <v>59</v>
      </c>
      <c r="C1836" s="12" t="s">
        <v>122</v>
      </c>
      <c r="D1836" s="12" t="s">
        <v>132</v>
      </c>
      <c r="E1836" s="12" t="s">
        <v>152</v>
      </c>
      <c r="F1836" s="12" t="s">
        <v>162</v>
      </c>
      <c r="G1836" s="14">
        <f t="shared" ca="1" si="28"/>
        <v>85819.764090842946</v>
      </c>
      <c r="H1836" s="12" t="s">
        <v>172</v>
      </c>
      <c r="I1836">
        <v>0</v>
      </c>
      <c r="J1836">
        <v>40</v>
      </c>
      <c r="K1836" s="12" t="s">
        <v>176</v>
      </c>
      <c r="L1836">
        <v>11476</v>
      </c>
      <c r="M1836">
        <v>1</v>
      </c>
      <c r="O1836" s="39"/>
      <c r="P1836" s="15">
        <v>43930.77</v>
      </c>
      <c r="S1836" s="17"/>
    </row>
    <row r="1837" spans="1:19" x14ac:dyDescent="0.4">
      <c r="A1837">
        <v>9241631</v>
      </c>
      <c r="B1837" s="16">
        <v>50</v>
      </c>
      <c r="C1837" s="12" t="s">
        <v>123</v>
      </c>
      <c r="D1837" s="12" t="s">
        <v>134</v>
      </c>
      <c r="E1837" s="12" t="s">
        <v>152</v>
      </c>
      <c r="F1837" s="12" t="s">
        <v>159</v>
      </c>
      <c r="G1837" s="14">
        <f t="shared" ca="1" si="28"/>
        <v>71223.747044932796</v>
      </c>
      <c r="H1837" s="12" t="s">
        <v>172</v>
      </c>
      <c r="I1837">
        <v>0</v>
      </c>
      <c r="J1837">
        <v>50</v>
      </c>
      <c r="K1837" s="12" t="s">
        <v>176</v>
      </c>
      <c r="L1837">
        <v>99999</v>
      </c>
      <c r="M1837">
        <v>1</v>
      </c>
      <c r="O1837" s="39"/>
      <c r="P1837" s="16">
        <v>55799.59</v>
      </c>
      <c r="S1837" s="17"/>
    </row>
    <row r="1838" spans="1:19" x14ac:dyDescent="0.4">
      <c r="A1838">
        <v>9259774</v>
      </c>
      <c r="B1838" s="15">
        <v>39</v>
      </c>
      <c r="C1838" s="12" t="s">
        <v>122</v>
      </c>
      <c r="D1838" s="12" t="s">
        <v>134</v>
      </c>
      <c r="E1838" s="12" t="s">
        <v>152</v>
      </c>
      <c r="F1838" s="12" t="s">
        <v>162</v>
      </c>
      <c r="G1838" s="14">
        <f t="shared" ca="1" si="28"/>
        <v>34092.422571616778</v>
      </c>
      <c r="H1838" s="12" t="s">
        <v>172</v>
      </c>
      <c r="I1838">
        <v>0</v>
      </c>
      <c r="J1838">
        <v>38</v>
      </c>
      <c r="K1838" s="12" t="s">
        <v>176</v>
      </c>
      <c r="L1838">
        <v>0</v>
      </c>
      <c r="M1838">
        <v>0</v>
      </c>
      <c r="O1838" s="39"/>
      <c r="P1838" s="15">
        <v>25320.87</v>
      </c>
      <c r="S1838" s="17"/>
    </row>
    <row r="1839" spans="1:19" x14ac:dyDescent="0.4">
      <c r="A1839">
        <v>9261453</v>
      </c>
      <c r="B1839" s="16">
        <v>20</v>
      </c>
      <c r="C1839" s="12" t="s">
        <v>122</v>
      </c>
      <c r="D1839" s="12" t="s">
        <v>134</v>
      </c>
      <c r="E1839" s="12" t="s">
        <v>150</v>
      </c>
      <c r="F1839" s="12" t="s">
        <v>164</v>
      </c>
      <c r="G1839" s="14">
        <f t="shared" ca="1" si="28"/>
        <v>143088.64011464294</v>
      </c>
      <c r="H1839" s="12" t="s">
        <v>172</v>
      </c>
      <c r="I1839">
        <v>0</v>
      </c>
      <c r="J1839">
        <v>28</v>
      </c>
      <c r="K1839" s="12" t="s">
        <v>176</v>
      </c>
      <c r="L1839">
        <v>0</v>
      </c>
      <c r="M1839">
        <v>0</v>
      </c>
      <c r="O1839" s="39"/>
      <c r="P1839" s="16">
        <v>140040.31</v>
      </c>
      <c r="S1839" s="17"/>
    </row>
    <row r="1840" spans="1:19" x14ac:dyDescent="0.4">
      <c r="A1840">
        <v>9261812</v>
      </c>
      <c r="B1840" s="15">
        <v>41</v>
      </c>
      <c r="C1840" s="12" t="s">
        <v>125</v>
      </c>
      <c r="D1840" s="12" t="s">
        <v>135</v>
      </c>
      <c r="E1840" s="12" t="s">
        <v>150</v>
      </c>
      <c r="F1840" s="12" t="s">
        <v>144</v>
      </c>
      <c r="G1840" s="14">
        <f t="shared" ca="1" si="28"/>
        <v>211153.64791370535</v>
      </c>
      <c r="H1840" s="12" t="s">
        <v>171</v>
      </c>
      <c r="I1840">
        <v>0</v>
      </c>
      <c r="J1840">
        <v>70</v>
      </c>
      <c r="K1840" s="12" t="s">
        <v>176</v>
      </c>
      <c r="L1840">
        <v>0</v>
      </c>
      <c r="M1840">
        <v>0</v>
      </c>
      <c r="O1840" s="39"/>
      <c r="P1840" s="15">
        <v>110633.95</v>
      </c>
      <c r="S1840" s="17"/>
    </row>
    <row r="1841" spans="1:19" x14ac:dyDescent="0.4">
      <c r="A1841">
        <v>9267087</v>
      </c>
      <c r="B1841" s="16">
        <v>24</v>
      </c>
      <c r="C1841" s="12" t="s">
        <v>122</v>
      </c>
      <c r="D1841" s="12" t="s">
        <v>132</v>
      </c>
      <c r="E1841" s="12" t="s">
        <v>150</v>
      </c>
      <c r="F1841" s="12" t="s">
        <v>160</v>
      </c>
      <c r="G1841" s="14">
        <f t="shared" ca="1" si="28"/>
        <v>208511.18946059496</v>
      </c>
      <c r="H1841" s="12" t="s">
        <v>172</v>
      </c>
      <c r="I1841">
        <v>0</v>
      </c>
      <c r="J1841">
        <v>20</v>
      </c>
      <c r="K1841" s="12" t="s">
        <v>176</v>
      </c>
      <c r="L1841">
        <v>0</v>
      </c>
      <c r="M1841">
        <v>0</v>
      </c>
      <c r="O1841" s="39"/>
      <c r="P1841" s="16">
        <v>150730.43</v>
      </c>
      <c r="S1841" s="17"/>
    </row>
    <row r="1842" spans="1:19" x14ac:dyDescent="0.4">
      <c r="A1842">
        <v>9270975</v>
      </c>
      <c r="B1842" s="15">
        <v>39</v>
      </c>
      <c r="C1842" s="12" t="s">
        <v>122</v>
      </c>
      <c r="D1842" s="12" t="s">
        <v>132</v>
      </c>
      <c r="E1842" s="12" t="s">
        <v>151</v>
      </c>
      <c r="F1842" s="12" t="s">
        <v>164</v>
      </c>
      <c r="G1842" s="14">
        <f t="shared" ca="1" si="28"/>
        <v>183216.87417275115</v>
      </c>
      <c r="H1842" s="12" t="s">
        <v>172</v>
      </c>
      <c r="I1842">
        <v>0</v>
      </c>
      <c r="J1842">
        <v>40</v>
      </c>
      <c r="K1842" s="12" t="s">
        <v>176</v>
      </c>
      <c r="L1842">
        <v>0</v>
      </c>
      <c r="M1842">
        <v>0</v>
      </c>
      <c r="O1842" s="39"/>
      <c r="P1842" s="15">
        <v>94188.68</v>
      </c>
      <c r="S1842" s="17"/>
    </row>
    <row r="1843" spans="1:19" x14ac:dyDescent="0.4">
      <c r="A1843">
        <v>9271368</v>
      </c>
      <c r="B1843" s="16">
        <v>21</v>
      </c>
      <c r="C1843" s="12" t="s">
        <v>122</v>
      </c>
      <c r="D1843" s="12" t="s">
        <v>134</v>
      </c>
      <c r="E1843" s="12" t="s">
        <v>152</v>
      </c>
      <c r="F1843" s="12" t="s">
        <v>144</v>
      </c>
      <c r="G1843" s="14">
        <f t="shared" ca="1" si="28"/>
        <v>112843.09296739034</v>
      </c>
      <c r="H1843" s="12" t="s">
        <v>172</v>
      </c>
      <c r="I1843">
        <v>0</v>
      </c>
      <c r="J1843">
        <v>40</v>
      </c>
      <c r="K1843" s="12" t="s">
        <v>179</v>
      </c>
      <c r="L1843">
        <v>4381</v>
      </c>
      <c r="M1843">
        <v>1</v>
      </c>
      <c r="O1843" s="39"/>
      <c r="P1843" s="16">
        <v>79611.59</v>
      </c>
      <c r="S1843" s="17"/>
    </row>
    <row r="1844" spans="1:19" x14ac:dyDescent="0.4">
      <c r="A1844">
        <v>9272274</v>
      </c>
      <c r="B1844" s="15">
        <v>17</v>
      </c>
      <c r="C1844" s="12" t="s">
        <v>122</v>
      </c>
      <c r="D1844" s="12" t="s">
        <v>139</v>
      </c>
      <c r="E1844" s="12" t="s">
        <v>150</v>
      </c>
      <c r="F1844" s="12" t="s">
        <v>162</v>
      </c>
      <c r="G1844" s="14">
        <f t="shared" ca="1" si="28"/>
        <v>439337.4843457308</v>
      </c>
      <c r="H1844" s="12" t="s">
        <v>171</v>
      </c>
      <c r="I1844">
        <v>0</v>
      </c>
      <c r="J1844">
        <v>13</v>
      </c>
      <c r="K1844" s="12" t="s">
        <v>176</v>
      </c>
      <c r="L1844">
        <v>0</v>
      </c>
      <c r="M1844">
        <v>0</v>
      </c>
      <c r="O1844" s="39"/>
      <c r="P1844" s="15">
        <v>233991.23</v>
      </c>
      <c r="S1844" s="17"/>
    </row>
    <row r="1845" spans="1:19" x14ac:dyDescent="0.4">
      <c r="A1845">
        <v>9276827</v>
      </c>
      <c r="B1845" s="16">
        <v>38</v>
      </c>
      <c r="C1845" s="12" t="s">
        <v>122</v>
      </c>
      <c r="D1845" s="12" t="s">
        <v>134</v>
      </c>
      <c r="E1845" s="12" t="s">
        <v>152</v>
      </c>
      <c r="F1845" s="12" t="s">
        <v>156</v>
      </c>
      <c r="G1845" s="14">
        <f t="shared" ca="1" si="28"/>
        <v>45725.686312713056</v>
      </c>
      <c r="H1845" s="12" t="s">
        <v>172</v>
      </c>
      <c r="I1845">
        <v>0</v>
      </c>
      <c r="J1845">
        <v>45</v>
      </c>
      <c r="K1845" s="12" t="s">
        <v>176</v>
      </c>
      <c r="L1845">
        <v>0</v>
      </c>
      <c r="M1845">
        <v>0</v>
      </c>
      <c r="O1845" s="39"/>
      <c r="P1845" s="16">
        <v>26171.75</v>
      </c>
      <c r="S1845" s="17"/>
    </row>
    <row r="1846" spans="1:19" x14ac:dyDescent="0.4">
      <c r="A1846">
        <v>9280215</v>
      </c>
      <c r="B1846" s="15">
        <v>29</v>
      </c>
      <c r="C1846" s="12" t="s">
        <v>122</v>
      </c>
      <c r="D1846" s="12" t="s">
        <v>135</v>
      </c>
      <c r="E1846" s="12" t="s">
        <v>150</v>
      </c>
      <c r="F1846" s="12" t="s">
        <v>162</v>
      </c>
      <c r="G1846" s="14">
        <f t="shared" ca="1" si="28"/>
        <v>50234.583214468978</v>
      </c>
      <c r="H1846" s="12" t="s">
        <v>172</v>
      </c>
      <c r="I1846">
        <v>0</v>
      </c>
      <c r="J1846">
        <v>48</v>
      </c>
      <c r="K1846" s="12" t="s">
        <v>176</v>
      </c>
      <c r="L1846">
        <v>0</v>
      </c>
      <c r="M1846">
        <v>0</v>
      </c>
      <c r="O1846" s="39"/>
      <c r="P1846" s="15">
        <v>28958.240000000002</v>
      </c>
      <c r="S1846" s="17"/>
    </row>
    <row r="1847" spans="1:19" x14ac:dyDescent="0.4">
      <c r="A1847">
        <v>9285336</v>
      </c>
      <c r="B1847" s="16">
        <v>34</v>
      </c>
      <c r="C1847" s="12" t="s">
        <v>122</v>
      </c>
      <c r="D1847" s="12" t="s">
        <v>134</v>
      </c>
      <c r="E1847" s="12" t="s">
        <v>150</v>
      </c>
      <c r="F1847" s="12" t="s">
        <v>158</v>
      </c>
      <c r="G1847" s="14">
        <f t="shared" ca="1" si="28"/>
        <v>76594.75717501418</v>
      </c>
      <c r="H1847" s="12" t="s">
        <v>171</v>
      </c>
      <c r="I1847">
        <v>0</v>
      </c>
      <c r="J1847">
        <v>36</v>
      </c>
      <c r="K1847" s="12" t="s">
        <v>176</v>
      </c>
      <c r="L1847">
        <v>0</v>
      </c>
      <c r="M1847">
        <v>0</v>
      </c>
      <c r="O1847" s="39"/>
      <c r="P1847" s="16">
        <v>43357.42</v>
      </c>
      <c r="S1847" s="17"/>
    </row>
    <row r="1848" spans="1:19" x14ac:dyDescent="0.4">
      <c r="A1848">
        <v>9303456</v>
      </c>
      <c r="B1848" s="15">
        <v>62</v>
      </c>
      <c r="C1848" s="12" t="s">
        <v>122</v>
      </c>
      <c r="D1848" s="12" t="s">
        <v>135</v>
      </c>
      <c r="E1848" s="12" t="s">
        <v>152</v>
      </c>
      <c r="F1848" s="12" t="s">
        <v>160</v>
      </c>
      <c r="G1848" s="14">
        <f t="shared" ca="1" si="28"/>
        <v>48123.195727154845</v>
      </c>
      <c r="H1848" s="12" t="s">
        <v>172</v>
      </c>
      <c r="I1848">
        <v>0</v>
      </c>
      <c r="J1848">
        <v>40</v>
      </c>
      <c r="K1848" s="12" t="s">
        <v>176</v>
      </c>
      <c r="L1848">
        <v>8185</v>
      </c>
      <c r="M1848">
        <v>1</v>
      </c>
      <c r="O1848" s="39"/>
      <c r="P1848" s="15">
        <v>34262.01</v>
      </c>
      <c r="S1848" s="17"/>
    </row>
    <row r="1849" spans="1:19" x14ac:dyDescent="0.4">
      <c r="A1849">
        <v>9304968</v>
      </c>
      <c r="B1849" s="16">
        <v>33</v>
      </c>
      <c r="C1849" s="12" t="s">
        <v>122</v>
      </c>
      <c r="D1849" s="12" t="s">
        <v>135</v>
      </c>
      <c r="E1849" s="12" t="s">
        <v>152</v>
      </c>
      <c r="F1849" s="12" t="s">
        <v>162</v>
      </c>
      <c r="G1849" s="14">
        <f t="shared" ca="1" si="28"/>
        <v>115698.96464981693</v>
      </c>
      <c r="H1849" s="12" t="s">
        <v>171</v>
      </c>
      <c r="I1849">
        <v>0</v>
      </c>
      <c r="J1849">
        <v>45</v>
      </c>
      <c r="K1849" s="12" t="s">
        <v>176</v>
      </c>
      <c r="L1849">
        <v>2787</v>
      </c>
      <c r="M1849">
        <v>1</v>
      </c>
      <c r="O1849" s="39"/>
      <c r="P1849" s="16">
        <v>87725.56</v>
      </c>
      <c r="S1849" s="17"/>
    </row>
    <row r="1850" spans="1:19" x14ac:dyDescent="0.4">
      <c r="A1850">
        <v>9319732</v>
      </c>
      <c r="B1850" s="15">
        <v>22</v>
      </c>
      <c r="C1850" s="12" t="s">
        <v>122</v>
      </c>
      <c r="D1850" s="12" t="s">
        <v>132</v>
      </c>
      <c r="E1850" s="12" t="s">
        <v>150</v>
      </c>
      <c r="F1850" s="12" t="s">
        <v>158</v>
      </c>
      <c r="G1850" s="14">
        <f t="shared" ca="1" si="28"/>
        <v>73516.125687810898</v>
      </c>
      <c r="H1850" s="12" t="s">
        <v>172</v>
      </c>
      <c r="I1850">
        <v>0</v>
      </c>
      <c r="J1850">
        <v>40</v>
      </c>
      <c r="K1850" s="12" t="s">
        <v>129</v>
      </c>
      <c r="L1850">
        <v>0</v>
      </c>
      <c r="M1850">
        <v>0</v>
      </c>
      <c r="O1850" s="39"/>
      <c r="P1850" s="15">
        <v>38259.449999999997</v>
      </c>
      <c r="S1850" s="17"/>
    </row>
    <row r="1851" spans="1:19" x14ac:dyDescent="0.4">
      <c r="A1851">
        <v>9324773</v>
      </c>
      <c r="B1851" s="16">
        <v>35</v>
      </c>
      <c r="C1851" s="12" t="s">
        <v>122</v>
      </c>
      <c r="D1851" s="12" t="s">
        <v>144</v>
      </c>
      <c r="E1851" s="12" t="s">
        <v>152</v>
      </c>
      <c r="F1851" s="12" t="s">
        <v>144</v>
      </c>
      <c r="G1851" s="14">
        <f t="shared" ca="1" si="28"/>
        <v>53037.174308014197</v>
      </c>
      <c r="H1851" s="12" t="s">
        <v>172</v>
      </c>
      <c r="I1851">
        <v>1977</v>
      </c>
      <c r="J1851">
        <v>80</v>
      </c>
      <c r="K1851" s="12" t="s">
        <v>176</v>
      </c>
      <c r="L1851">
        <v>6261</v>
      </c>
      <c r="M1851">
        <v>1</v>
      </c>
      <c r="O1851" s="39"/>
      <c r="P1851" s="16">
        <v>31952.02</v>
      </c>
      <c r="S1851" s="17"/>
    </row>
    <row r="1852" spans="1:19" x14ac:dyDescent="0.4">
      <c r="A1852">
        <v>9332410</v>
      </c>
      <c r="B1852" s="15">
        <v>42</v>
      </c>
      <c r="C1852" s="12" t="s">
        <v>122</v>
      </c>
      <c r="D1852" s="12" t="s">
        <v>142</v>
      </c>
      <c r="E1852" s="12" t="s">
        <v>152</v>
      </c>
      <c r="F1852" s="12" t="s">
        <v>157</v>
      </c>
      <c r="G1852" s="14">
        <f t="shared" ca="1" si="28"/>
        <v>60221.139984789334</v>
      </c>
      <c r="H1852" s="12" t="s">
        <v>172</v>
      </c>
      <c r="I1852">
        <v>0</v>
      </c>
      <c r="J1852">
        <v>40</v>
      </c>
      <c r="K1852" s="12" t="s">
        <v>176</v>
      </c>
      <c r="L1852">
        <v>0</v>
      </c>
      <c r="M1852">
        <v>0</v>
      </c>
      <c r="O1852" s="39"/>
      <c r="P1852" s="15">
        <v>46002.84</v>
      </c>
      <c r="S1852" s="17"/>
    </row>
    <row r="1853" spans="1:19" x14ac:dyDescent="0.4">
      <c r="A1853">
        <v>9337192</v>
      </c>
      <c r="B1853" s="16">
        <v>42</v>
      </c>
      <c r="C1853" s="12" t="s">
        <v>122</v>
      </c>
      <c r="D1853" s="12" t="s">
        <v>143</v>
      </c>
      <c r="E1853" s="12" t="s">
        <v>152</v>
      </c>
      <c r="F1853" s="12" t="s">
        <v>156</v>
      </c>
      <c r="G1853" s="14">
        <f t="shared" ca="1" si="28"/>
        <v>28929.083633429069</v>
      </c>
      <c r="H1853" s="12" t="s">
        <v>172</v>
      </c>
      <c r="I1853">
        <v>0</v>
      </c>
      <c r="J1853">
        <v>40</v>
      </c>
      <c r="K1853" s="12" t="s">
        <v>194</v>
      </c>
      <c r="L1853">
        <v>0</v>
      </c>
      <c r="M1853">
        <v>0</v>
      </c>
      <c r="O1853" s="39"/>
      <c r="P1853" s="16">
        <v>18918.36</v>
      </c>
      <c r="S1853" s="17"/>
    </row>
    <row r="1854" spans="1:19" x14ac:dyDescent="0.4">
      <c r="A1854">
        <v>9339817</v>
      </c>
      <c r="B1854" s="15">
        <v>58</v>
      </c>
      <c r="C1854" s="12" t="s">
        <v>123</v>
      </c>
      <c r="D1854" s="12" t="s">
        <v>134</v>
      </c>
      <c r="E1854" s="12" t="s">
        <v>152</v>
      </c>
      <c r="F1854" s="12" t="s">
        <v>156</v>
      </c>
      <c r="G1854" s="14">
        <f t="shared" ca="1" si="28"/>
        <v>65368.171790663808</v>
      </c>
      <c r="H1854" s="12" t="s">
        <v>172</v>
      </c>
      <c r="I1854">
        <v>0</v>
      </c>
      <c r="J1854">
        <v>55</v>
      </c>
      <c r="K1854" s="12" t="s">
        <v>176</v>
      </c>
      <c r="L1854">
        <v>7688</v>
      </c>
      <c r="M1854">
        <v>1</v>
      </c>
      <c r="O1854" s="39"/>
      <c r="P1854" s="15">
        <v>59042</v>
      </c>
      <c r="S1854" s="17"/>
    </row>
    <row r="1855" spans="1:19" x14ac:dyDescent="0.4">
      <c r="A1855">
        <v>9342925</v>
      </c>
      <c r="B1855" s="16">
        <v>22</v>
      </c>
      <c r="C1855" s="12" t="s">
        <v>122</v>
      </c>
      <c r="D1855" s="12" t="s">
        <v>135</v>
      </c>
      <c r="E1855" s="12" t="s">
        <v>150</v>
      </c>
      <c r="F1855" s="12" t="s">
        <v>158</v>
      </c>
      <c r="G1855" s="14">
        <f t="shared" ca="1" si="28"/>
        <v>78927.386666722145</v>
      </c>
      <c r="H1855" s="12" t="s">
        <v>171</v>
      </c>
      <c r="I1855">
        <v>0</v>
      </c>
      <c r="J1855">
        <v>25</v>
      </c>
      <c r="K1855" s="12" t="s">
        <v>176</v>
      </c>
      <c r="L1855">
        <v>0</v>
      </c>
      <c r="M1855">
        <v>0</v>
      </c>
      <c r="O1855" s="39"/>
      <c r="P1855" s="16">
        <v>60209.96</v>
      </c>
      <c r="S1855" s="17"/>
    </row>
    <row r="1856" spans="1:19" x14ac:dyDescent="0.4">
      <c r="A1856">
        <v>9345464</v>
      </c>
      <c r="B1856" s="15">
        <v>60</v>
      </c>
      <c r="C1856" s="12" t="s">
        <v>125</v>
      </c>
      <c r="D1856" s="12" t="s">
        <v>137</v>
      </c>
      <c r="E1856" s="12" t="s">
        <v>152</v>
      </c>
      <c r="F1856" s="12" t="s">
        <v>160</v>
      </c>
      <c r="G1856" s="14">
        <f t="shared" ca="1" si="28"/>
        <v>4227.3628336205838</v>
      </c>
      <c r="H1856" s="12" t="s">
        <v>172</v>
      </c>
      <c r="I1856">
        <v>0</v>
      </c>
      <c r="J1856">
        <v>60</v>
      </c>
      <c r="K1856" s="12" t="s">
        <v>176</v>
      </c>
      <c r="L1856">
        <v>2173</v>
      </c>
      <c r="M1856">
        <v>1</v>
      </c>
      <c r="O1856" s="39"/>
      <c r="P1856" s="15">
        <v>3014.74</v>
      </c>
      <c r="S1856" s="17"/>
    </row>
    <row r="1857" spans="1:19" x14ac:dyDescent="0.4">
      <c r="A1857">
        <v>9346314</v>
      </c>
      <c r="B1857" s="16">
        <v>27</v>
      </c>
      <c r="C1857" s="12" t="s">
        <v>122</v>
      </c>
      <c r="D1857" s="12" t="s">
        <v>132</v>
      </c>
      <c r="E1857" s="12" t="s">
        <v>150</v>
      </c>
      <c r="F1857" s="12" t="s">
        <v>156</v>
      </c>
      <c r="G1857" s="14">
        <f t="shared" ca="1" si="28"/>
        <v>240172.87274279931</v>
      </c>
      <c r="H1857" s="12" t="s">
        <v>172</v>
      </c>
      <c r="I1857">
        <v>0</v>
      </c>
      <c r="J1857">
        <v>24</v>
      </c>
      <c r="K1857" s="12" t="s">
        <v>176</v>
      </c>
      <c r="L1857">
        <v>0</v>
      </c>
      <c r="M1857">
        <v>0</v>
      </c>
      <c r="O1857" s="39"/>
      <c r="P1857" s="16">
        <v>121520.87</v>
      </c>
      <c r="S1857" s="17"/>
    </row>
    <row r="1858" spans="1:19" x14ac:dyDescent="0.4">
      <c r="A1858">
        <v>9351595</v>
      </c>
      <c r="B1858" s="15">
        <v>27</v>
      </c>
      <c r="C1858" s="12" t="s">
        <v>122</v>
      </c>
      <c r="D1858" s="12" t="s">
        <v>139</v>
      </c>
      <c r="E1858" s="12" t="s">
        <v>152</v>
      </c>
      <c r="F1858" s="12" t="s">
        <v>164</v>
      </c>
      <c r="G1858" s="14">
        <f t="shared" ca="1" si="28"/>
        <v>76466.021213548564</v>
      </c>
      <c r="H1858" s="12" t="s">
        <v>172</v>
      </c>
      <c r="I1858">
        <v>0</v>
      </c>
      <c r="J1858">
        <v>40</v>
      </c>
      <c r="K1858" s="12" t="s">
        <v>176</v>
      </c>
      <c r="L1858">
        <v>0</v>
      </c>
      <c r="M1858">
        <v>0</v>
      </c>
      <c r="O1858" s="39"/>
      <c r="P1858" s="15">
        <v>51515.54</v>
      </c>
      <c r="S1858" s="17"/>
    </row>
    <row r="1859" spans="1:19" x14ac:dyDescent="0.4">
      <c r="A1859">
        <v>9351856</v>
      </c>
      <c r="B1859" s="16">
        <v>31</v>
      </c>
      <c r="C1859" s="12" t="s">
        <v>122</v>
      </c>
      <c r="D1859" s="12" t="s">
        <v>134</v>
      </c>
      <c r="E1859" s="12" t="s">
        <v>150</v>
      </c>
      <c r="F1859" s="12" t="s">
        <v>156</v>
      </c>
      <c r="G1859" s="14">
        <f t="shared" ca="1" si="28"/>
        <v>171952.2797546637</v>
      </c>
      <c r="H1859" s="12" t="s">
        <v>172</v>
      </c>
      <c r="I1859">
        <v>0</v>
      </c>
      <c r="J1859">
        <v>18</v>
      </c>
      <c r="K1859" s="12" t="s">
        <v>176</v>
      </c>
      <c r="L1859">
        <v>0</v>
      </c>
      <c r="M1859">
        <v>0</v>
      </c>
      <c r="O1859" s="39"/>
      <c r="P1859" s="16">
        <v>103482.55</v>
      </c>
      <c r="S1859" s="17"/>
    </row>
    <row r="1860" spans="1:19" x14ac:dyDescent="0.4">
      <c r="A1860">
        <v>9378534</v>
      </c>
      <c r="B1860" s="15">
        <v>34</v>
      </c>
      <c r="C1860" s="12" t="s">
        <v>122</v>
      </c>
      <c r="D1860" s="12" t="s">
        <v>135</v>
      </c>
      <c r="E1860" s="12" t="s">
        <v>154</v>
      </c>
      <c r="F1860" s="12" t="s">
        <v>144</v>
      </c>
      <c r="G1860" s="14">
        <f t="shared" ca="1" si="28"/>
        <v>183288.8730507794</v>
      </c>
      <c r="H1860" s="12" t="s">
        <v>171</v>
      </c>
      <c r="I1860">
        <v>0</v>
      </c>
      <c r="J1860">
        <v>35</v>
      </c>
      <c r="K1860" s="12" t="s">
        <v>176</v>
      </c>
      <c r="L1860">
        <v>0</v>
      </c>
      <c r="M1860">
        <v>0</v>
      </c>
      <c r="O1860" s="39"/>
      <c r="P1860" s="15">
        <v>104566.67</v>
      </c>
      <c r="S1860" s="17"/>
    </row>
    <row r="1861" spans="1:19" x14ac:dyDescent="0.4">
      <c r="A1861">
        <v>9383615</v>
      </c>
      <c r="B1861" s="16">
        <v>56</v>
      </c>
      <c r="C1861" s="12" t="s">
        <v>122</v>
      </c>
      <c r="D1861" s="12" t="s">
        <v>145</v>
      </c>
      <c r="E1861" s="12" t="s">
        <v>152</v>
      </c>
      <c r="F1861" s="12" t="s">
        <v>161</v>
      </c>
      <c r="G1861" s="14">
        <f t="shared" ca="1" si="28"/>
        <v>25276.730684262042</v>
      </c>
      <c r="H1861" s="12" t="s">
        <v>172</v>
      </c>
      <c r="I1861">
        <v>0</v>
      </c>
      <c r="J1861">
        <v>48</v>
      </c>
      <c r="K1861" s="12" t="s">
        <v>176</v>
      </c>
      <c r="L1861">
        <v>0</v>
      </c>
      <c r="M1861">
        <v>0</v>
      </c>
      <c r="O1861" s="39"/>
      <c r="P1861" s="16">
        <v>13057.35</v>
      </c>
      <c r="S1861" s="17"/>
    </row>
    <row r="1862" spans="1:19" x14ac:dyDescent="0.4">
      <c r="A1862">
        <v>9392735</v>
      </c>
      <c r="B1862" s="15">
        <v>23</v>
      </c>
      <c r="C1862" s="12" t="s">
        <v>122</v>
      </c>
      <c r="D1862" s="12" t="s">
        <v>134</v>
      </c>
      <c r="E1862" s="12" t="s">
        <v>149</v>
      </c>
      <c r="F1862" s="12" t="s">
        <v>161</v>
      </c>
      <c r="G1862" s="14">
        <f t="shared" ca="1" si="28"/>
        <v>303249.3339787451</v>
      </c>
      <c r="H1862" s="12" t="s">
        <v>171</v>
      </c>
      <c r="I1862">
        <v>0</v>
      </c>
      <c r="J1862">
        <v>48</v>
      </c>
      <c r="K1862" s="12" t="s">
        <v>176</v>
      </c>
      <c r="L1862">
        <v>0</v>
      </c>
      <c r="M1862">
        <v>0</v>
      </c>
      <c r="O1862" s="39"/>
      <c r="P1862" s="15">
        <v>155890.97</v>
      </c>
      <c r="S1862" s="17"/>
    </row>
    <row r="1863" spans="1:19" x14ac:dyDescent="0.4">
      <c r="A1863">
        <v>9394271</v>
      </c>
      <c r="B1863" s="16">
        <v>57</v>
      </c>
      <c r="C1863" s="12" t="s">
        <v>124</v>
      </c>
      <c r="D1863" s="12" t="s">
        <v>134</v>
      </c>
      <c r="E1863" s="12" t="s">
        <v>152</v>
      </c>
      <c r="F1863" s="12" t="s">
        <v>160</v>
      </c>
      <c r="G1863" s="14">
        <f t="shared" ca="1" si="28"/>
        <v>37330.759357310504</v>
      </c>
      <c r="H1863" s="12" t="s">
        <v>172</v>
      </c>
      <c r="I1863">
        <v>0</v>
      </c>
      <c r="J1863">
        <v>40</v>
      </c>
      <c r="K1863" s="12" t="s">
        <v>176</v>
      </c>
      <c r="L1863">
        <v>0</v>
      </c>
      <c r="M1863">
        <v>0</v>
      </c>
      <c r="O1863" s="39"/>
      <c r="P1863" s="16">
        <v>31747.82</v>
      </c>
      <c r="S1863" s="17"/>
    </row>
    <row r="1864" spans="1:19" x14ac:dyDescent="0.4">
      <c r="A1864">
        <v>9400516</v>
      </c>
      <c r="B1864" s="15">
        <v>50</v>
      </c>
      <c r="C1864" s="12" t="s">
        <v>122</v>
      </c>
      <c r="D1864" s="12" t="s">
        <v>134</v>
      </c>
      <c r="E1864" s="12" t="s">
        <v>152</v>
      </c>
      <c r="F1864" s="12" t="s">
        <v>156</v>
      </c>
      <c r="G1864" s="14">
        <f t="shared" ca="1" si="28"/>
        <v>58078.54646622228</v>
      </c>
      <c r="H1864" s="12" t="s">
        <v>172</v>
      </c>
      <c r="I1864">
        <v>0</v>
      </c>
      <c r="J1864">
        <v>40</v>
      </c>
      <c r="K1864" s="12" t="s">
        <v>176</v>
      </c>
      <c r="L1864">
        <v>0</v>
      </c>
      <c r="M1864">
        <v>0</v>
      </c>
      <c r="O1864" s="39"/>
      <c r="P1864" s="15">
        <v>33440.910000000003</v>
      </c>
      <c r="S1864" s="17"/>
    </row>
    <row r="1865" spans="1:19" x14ac:dyDescent="0.4">
      <c r="A1865">
        <v>9407135</v>
      </c>
      <c r="B1865" s="16">
        <v>52</v>
      </c>
      <c r="C1865" s="12" t="s">
        <v>122</v>
      </c>
      <c r="D1865" s="12" t="s">
        <v>135</v>
      </c>
      <c r="E1865" s="12" t="s">
        <v>154</v>
      </c>
      <c r="F1865" s="12" t="s">
        <v>156</v>
      </c>
      <c r="G1865" s="14">
        <f t="shared" ca="1" si="28"/>
        <v>29572.014285627178</v>
      </c>
      <c r="H1865" s="12" t="s">
        <v>172</v>
      </c>
      <c r="I1865">
        <v>0</v>
      </c>
      <c r="J1865">
        <v>50</v>
      </c>
      <c r="K1865" s="12" t="s">
        <v>176</v>
      </c>
      <c r="L1865">
        <v>0</v>
      </c>
      <c r="M1865">
        <v>0</v>
      </c>
      <c r="O1865" s="39"/>
      <c r="P1865" s="16">
        <v>23160.66</v>
      </c>
      <c r="S1865" s="17"/>
    </row>
    <row r="1866" spans="1:19" x14ac:dyDescent="0.4">
      <c r="A1866">
        <v>9409923</v>
      </c>
      <c r="B1866" s="15">
        <v>53</v>
      </c>
      <c r="C1866" s="12" t="s">
        <v>122</v>
      </c>
      <c r="D1866" s="12" t="s">
        <v>134</v>
      </c>
      <c r="E1866" s="12" t="s">
        <v>151</v>
      </c>
      <c r="F1866" s="12" t="s">
        <v>158</v>
      </c>
      <c r="G1866" s="14">
        <f t="shared" ca="1" si="28"/>
        <v>60648.064626445601</v>
      </c>
      <c r="H1866" s="12" t="s">
        <v>171</v>
      </c>
      <c r="I1866">
        <v>0</v>
      </c>
      <c r="J1866">
        <v>40</v>
      </c>
      <c r="K1866" s="12" t="s">
        <v>176</v>
      </c>
      <c r="L1866">
        <v>0</v>
      </c>
      <c r="M1866">
        <v>0</v>
      </c>
      <c r="O1866" s="39"/>
      <c r="P1866" s="15">
        <v>48911.48</v>
      </c>
      <c r="S1866" s="17"/>
    </row>
    <row r="1867" spans="1:19" x14ac:dyDescent="0.4">
      <c r="A1867">
        <v>9425169</v>
      </c>
      <c r="B1867" s="16">
        <v>21</v>
      </c>
      <c r="C1867" s="12" t="s">
        <v>122</v>
      </c>
      <c r="D1867" s="12" t="s">
        <v>133</v>
      </c>
      <c r="E1867" s="12" t="s">
        <v>150</v>
      </c>
      <c r="F1867" s="12" t="s">
        <v>162</v>
      </c>
      <c r="G1867" s="14">
        <f t="shared" ref="G1867:G1930" ca="1" si="29">P1867*(1+RAND())</f>
        <v>343417.0031668928</v>
      </c>
      <c r="H1867" s="12" t="s">
        <v>171</v>
      </c>
      <c r="I1867">
        <v>0</v>
      </c>
      <c r="J1867">
        <v>32</v>
      </c>
      <c r="K1867" s="12" t="s">
        <v>176</v>
      </c>
      <c r="L1867">
        <v>0</v>
      </c>
      <c r="M1867">
        <v>0</v>
      </c>
      <c r="O1867" s="39"/>
      <c r="P1867" s="16">
        <v>219075.39</v>
      </c>
      <c r="S1867" s="17"/>
    </row>
    <row r="1868" spans="1:19" x14ac:dyDescent="0.4">
      <c r="A1868">
        <v>9428187</v>
      </c>
      <c r="B1868" s="15">
        <v>57</v>
      </c>
      <c r="C1868" s="12" t="s">
        <v>122</v>
      </c>
      <c r="D1868" s="12" t="s">
        <v>133</v>
      </c>
      <c r="E1868" s="12" t="s">
        <v>153</v>
      </c>
      <c r="F1868" s="12" t="s">
        <v>158</v>
      </c>
      <c r="G1868" s="14">
        <f t="shared" ca="1" si="29"/>
        <v>82848.348277775498</v>
      </c>
      <c r="H1868" s="12" t="s">
        <v>171</v>
      </c>
      <c r="I1868">
        <v>0</v>
      </c>
      <c r="J1868">
        <v>35</v>
      </c>
      <c r="K1868" s="12" t="s">
        <v>176</v>
      </c>
      <c r="L1868">
        <v>0</v>
      </c>
      <c r="M1868">
        <v>0</v>
      </c>
      <c r="O1868" s="39"/>
      <c r="P1868" s="15">
        <v>42470.400000000001</v>
      </c>
      <c r="S1868" s="17"/>
    </row>
    <row r="1869" spans="1:19" x14ac:dyDescent="0.4">
      <c r="A1869">
        <v>9433986</v>
      </c>
      <c r="B1869" s="16">
        <v>49</v>
      </c>
      <c r="C1869" s="12" t="s">
        <v>122</v>
      </c>
      <c r="D1869" s="12" t="s">
        <v>134</v>
      </c>
      <c r="E1869" s="12" t="s">
        <v>152</v>
      </c>
      <c r="F1869" s="12" t="s">
        <v>159</v>
      </c>
      <c r="G1869" s="14">
        <f t="shared" ca="1" si="29"/>
        <v>51964.246493299339</v>
      </c>
      <c r="H1869" s="12" t="s">
        <v>172</v>
      </c>
      <c r="I1869">
        <v>0</v>
      </c>
      <c r="J1869">
        <v>45</v>
      </c>
      <c r="K1869" s="12" t="s">
        <v>176</v>
      </c>
      <c r="L1869">
        <v>0</v>
      </c>
      <c r="M1869">
        <v>1</v>
      </c>
      <c r="O1869" s="39"/>
      <c r="P1869" s="16">
        <v>34724.160000000003</v>
      </c>
      <c r="S1869" s="17"/>
    </row>
    <row r="1870" spans="1:19" x14ac:dyDescent="0.4">
      <c r="A1870">
        <v>9437494</v>
      </c>
      <c r="B1870" s="15">
        <v>32</v>
      </c>
      <c r="C1870" s="12" t="s">
        <v>122</v>
      </c>
      <c r="D1870" s="12" t="s">
        <v>134</v>
      </c>
      <c r="E1870" s="12" t="s">
        <v>152</v>
      </c>
      <c r="F1870" s="12" t="s">
        <v>157</v>
      </c>
      <c r="G1870" s="14">
        <f t="shared" ca="1" si="29"/>
        <v>104095.3815711115</v>
      </c>
      <c r="H1870" s="12" t="s">
        <v>172</v>
      </c>
      <c r="I1870">
        <v>0</v>
      </c>
      <c r="J1870">
        <v>40</v>
      </c>
      <c r="K1870" s="12" t="s">
        <v>176</v>
      </c>
      <c r="L1870">
        <v>0</v>
      </c>
      <c r="M1870">
        <v>0</v>
      </c>
      <c r="O1870" s="39"/>
      <c r="P1870" s="15">
        <v>54605.61</v>
      </c>
      <c r="S1870" s="17"/>
    </row>
    <row r="1871" spans="1:19" x14ac:dyDescent="0.4">
      <c r="A1871">
        <v>9445108</v>
      </c>
      <c r="B1871" s="16">
        <v>49</v>
      </c>
      <c r="C1871" s="12" t="s">
        <v>122</v>
      </c>
      <c r="D1871" s="12" t="s">
        <v>134</v>
      </c>
      <c r="E1871" s="12" t="s">
        <v>152</v>
      </c>
      <c r="F1871" s="12" t="s">
        <v>161</v>
      </c>
      <c r="G1871" s="14">
        <f t="shared" ca="1" si="29"/>
        <v>272885.33693602605</v>
      </c>
      <c r="H1871" s="12" t="s">
        <v>171</v>
      </c>
      <c r="I1871">
        <v>0</v>
      </c>
      <c r="J1871">
        <v>40</v>
      </c>
      <c r="K1871" s="12" t="s">
        <v>176</v>
      </c>
      <c r="L1871">
        <v>0</v>
      </c>
      <c r="M1871">
        <v>0</v>
      </c>
      <c r="O1871" s="39"/>
      <c r="P1871" s="16">
        <v>170159.13</v>
      </c>
      <c r="S1871" s="17"/>
    </row>
    <row r="1872" spans="1:19" x14ac:dyDescent="0.4">
      <c r="A1872">
        <v>9446884</v>
      </c>
      <c r="B1872" s="15">
        <v>38</v>
      </c>
      <c r="C1872" s="12" t="s">
        <v>122</v>
      </c>
      <c r="D1872" s="12" t="s">
        <v>135</v>
      </c>
      <c r="E1872" s="12" t="s">
        <v>152</v>
      </c>
      <c r="F1872" s="12" t="s">
        <v>144</v>
      </c>
      <c r="G1872" s="14">
        <f t="shared" ca="1" si="29"/>
        <v>255904.55792759886</v>
      </c>
      <c r="H1872" s="12" t="s">
        <v>171</v>
      </c>
      <c r="I1872">
        <v>0</v>
      </c>
      <c r="J1872">
        <v>40</v>
      </c>
      <c r="K1872" s="12" t="s">
        <v>176</v>
      </c>
      <c r="L1872">
        <v>7688</v>
      </c>
      <c r="M1872">
        <v>1</v>
      </c>
      <c r="O1872" s="39"/>
      <c r="P1872" s="15">
        <v>162800.09</v>
      </c>
      <c r="S1872" s="17"/>
    </row>
    <row r="1873" spans="1:19" x14ac:dyDescent="0.4">
      <c r="A1873">
        <v>9448268</v>
      </c>
      <c r="B1873" s="16">
        <v>60</v>
      </c>
      <c r="C1873" s="12" t="s">
        <v>122</v>
      </c>
      <c r="D1873" s="12" t="s">
        <v>132</v>
      </c>
      <c r="E1873" s="12" t="s">
        <v>152</v>
      </c>
      <c r="F1873" s="12" t="s">
        <v>166</v>
      </c>
      <c r="G1873" s="14">
        <f t="shared" ca="1" si="29"/>
        <v>28348.19763956729</v>
      </c>
      <c r="H1873" s="12" t="s">
        <v>172</v>
      </c>
      <c r="I1873">
        <v>0</v>
      </c>
      <c r="J1873">
        <v>16</v>
      </c>
      <c r="K1873" s="12" t="s">
        <v>176</v>
      </c>
      <c r="L1873">
        <v>11687</v>
      </c>
      <c r="M1873">
        <v>1</v>
      </c>
      <c r="O1873" s="39"/>
      <c r="P1873" s="16">
        <v>19182.599999999999</v>
      </c>
      <c r="S1873" s="17"/>
    </row>
    <row r="1874" spans="1:19" x14ac:dyDescent="0.4">
      <c r="A1874">
        <v>9449292</v>
      </c>
      <c r="B1874" s="15">
        <v>22</v>
      </c>
      <c r="C1874" s="12" t="s">
        <v>122</v>
      </c>
      <c r="D1874" s="12" t="s">
        <v>132</v>
      </c>
      <c r="E1874" s="12" t="s">
        <v>152</v>
      </c>
      <c r="F1874" s="12" t="s">
        <v>162</v>
      </c>
      <c r="G1874" s="14">
        <f t="shared" ca="1" si="29"/>
        <v>74839.416792475924</v>
      </c>
      <c r="H1874" s="12" t="s">
        <v>172</v>
      </c>
      <c r="I1874">
        <v>0</v>
      </c>
      <c r="J1874">
        <v>55</v>
      </c>
      <c r="K1874" s="12" t="s">
        <v>176</v>
      </c>
      <c r="L1874">
        <v>0</v>
      </c>
      <c r="M1874">
        <v>0</v>
      </c>
      <c r="O1874" s="39"/>
      <c r="P1874" s="15">
        <v>44370.01</v>
      </c>
      <c r="S1874" s="17"/>
    </row>
    <row r="1875" spans="1:19" x14ac:dyDescent="0.4">
      <c r="A1875">
        <v>9454649</v>
      </c>
      <c r="B1875" s="16">
        <v>67</v>
      </c>
      <c r="C1875" s="12" t="s">
        <v>124</v>
      </c>
      <c r="D1875" s="12" t="s">
        <v>132</v>
      </c>
      <c r="E1875" s="12" t="s">
        <v>152</v>
      </c>
      <c r="F1875" s="12" t="s">
        <v>162</v>
      </c>
      <c r="G1875" s="14">
        <f t="shared" ca="1" si="29"/>
        <v>84175.374387960139</v>
      </c>
      <c r="H1875" s="12" t="s">
        <v>172</v>
      </c>
      <c r="I1875">
        <v>0</v>
      </c>
      <c r="J1875">
        <v>40</v>
      </c>
      <c r="K1875" s="12" t="s">
        <v>176</v>
      </c>
      <c r="L1875">
        <v>0</v>
      </c>
      <c r="M1875">
        <v>0</v>
      </c>
      <c r="O1875" s="39"/>
      <c r="P1875" s="16">
        <v>47593.85</v>
      </c>
      <c r="S1875" s="17"/>
    </row>
    <row r="1876" spans="1:19" x14ac:dyDescent="0.4">
      <c r="A1876">
        <v>9461429</v>
      </c>
      <c r="B1876" s="15">
        <v>26</v>
      </c>
      <c r="C1876" s="12" t="s">
        <v>122</v>
      </c>
      <c r="D1876" s="12" t="s">
        <v>132</v>
      </c>
      <c r="E1876" s="12" t="s">
        <v>150</v>
      </c>
      <c r="F1876" s="12" t="s">
        <v>158</v>
      </c>
      <c r="G1876" s="14">
        <f t="shared" ca="1" si="29"/>
        <v>94152.479920006765</v>
      </c>
      <c r="H1876" s="12" t="s">
        <v>172</v>
      </c>
      <c r="I1876">
        <v>0</v>
      </c>
      <c r="J1876">
        <v>20</v>
      </c>
      <c r="K1876" s="12" t="s">
        <v>178</v>
      </c>
      <c r="L1876">
        <v>0</v>
      </c>
      <c r="M1876">
        <v>0</v>
      </c>
      <c r="O1876" s="39"/>
      <c r="P1876" s="15">
        <v>88260.51</v>
      </c>
      <c r="S1876" s="17"/>
    </row>
    <row r="1877" spans="1:19" x14ac:dyDescent="0.4">
      <c r="A1877">
        <v>9466933</v>
      </c>
      <c r="B1877" s="16">
        <v>17</v>
      </c>
      <c r="C1877" s="12" t="s">
        <v>127</v>
      </c>
      <c r="D1877" s="12" t="s">
        <v>139</v>
      </c>
      <c r="E1877" s="12" t="s">
        <v>150</v>
      </c>
      <c r="F1877" s="12" t="s">
        <v>158</v>
      </c>
      <c r="G1877" s="14">
        <f t="shared" ca="1" si="29"/>
        <v>55654.836635961139</v>
      </c>
      <c r="H1877" s="12" t="s">
        <v>171</v>
      </c>
      <c r="I1877">
        <v>1068</v>
      </c>
      <c r="J1877">
        <v>40</v>
      </c>
      <c r="K1877" s="12" t="s">
        <v>176</v>
      </c>
      <c r="L1877">
        <v>0</v>
      </c>
      <c r="M1877">
        <v>0</v>
      </c>
      <c r="O1877" s="39"/>
      <c r="P1877" s="16">
        <v>53034.17</v>
      </c>
      <c r="S1877" s="17"/>
    </row>
    <row r="1878" spans="1:19" x14ac:dyDescent="0.4">
      <c r="A1878">
        <v>9467450</v>
      </c>
      <c r="B1878" s="15">
        <v>67</v>
      </c>
      <c r="C1878" s="12" t="s">
        <v>129</v>
      </c>
      <c r="D1878" s="12" t="s">
        <v>141</v>
      </c>
      <c r="E1878" s="12" t="s">
        <v>152</v>
      </c>
      <c r="F1878" s="12" t="s">
        <v>129</v>
      </c>
      <c r="G1878" s="14">
        <f t="shared" ca="1" si="29"/>
        <v>41414.159966601037</v>
      </c>
      <c r="H1878" s="12" t="s">
        <v>172</v>
      </c>
      <c r="I1878">
        <v>0</v>
      </c>
      <c r="J1878">
        <v>20</v>
      </c>
      <c r="K1878" s="12" t="s">
        <v>208</v>
      </c>
      <c r="L1878">
        <v>16187</v>
      </c>
      <c r="M1878">
        <v>1</v>
      </c>
      <c r="O1878" s="39"/>
      <c r="P1878" s="15">
        <v>35411.769999999997</v>
      </c>
      <c r="S1878" s="17"/>
    </row>
    <row r="1879" spans="1:19" x14ac:dyDescent="0.4">
      <c r="A1879">
        <v>9470914</v>
      </c>
      <c r="B1879" s="16">
        <v>38</v>
      </c>
      <c r="C1879" s="12" t="s">
        <v>122</v>
      </c>
      <c r="D1879" s="12" t="s">
        <v>138</v>
      </c>
      <c r="E1879" s="12" t="s">
        <v>152</v>
      </c>
      <c r="F1879" s="12" t="s">
        <v>160</v>
      </c>
      <c r="G1879" s="14">
        <f t="shared" ca="1" si="29"/>
        <v>15391.40242465793</v>
      </c>
      <c r="H1879" s="12" t="s">
        <v>172</v>
      </c>
      <c r="I1879">
        <v>0</v>
      </c>
      <c r="J1879">
        <v>40</v>
      </c>
      <c r="K1879" s="12" t="s">
        <v>129</v>
      </c>
      <c r="L1879">
        <v>0</v>
      </c>
      <c r="M1879">
        <v>0</v>
      </c>
      <c r="O1879" s="39"/>
      <c r="P1879" s="16">
        <v>12642.83</v>
      </c>
      <c r="S1879" s="17"/>
    </row>
    <row r="1880" spans="1:19" x14ac:dyDescent="0.4">
      <c r="A1880">
        <v>9472845</v>
      </c>
      <c r="B1880" s="15">
        <v>30</v>
      </c>
      <c r="C1880" s="12" t="s">
        <v>122</v>
      </c>
      <c r="D1880" s="12" t="s">
        <v>135</v>
      </c>
      <c r="E1880" s="12" t="s">
        <v>152</v>
      </c>
      <c r="F1880" s="12" t="s">
        <v>144</v>
      </c>
      <c r="G1880" s="14">
        <f t="shared" ca="1" si="29"/>
        <v>36087.628194071716</v>
      </c>
      <c r="H1880" s="12" t="s">
        <v>172</v>
      </c>
      <c r="I1880">
        <v>0</v>
      </c>
      <c r="J1880">
        <v>40</v>
      </c>
      <c r="K1880" s="12" t="s">
        <v>176</v>
      </c>
      <c r="L1880">
        <v>0</v>
      </c>
      <c r="M1880">
        <v>1</v>
      </c>
      <c r="O1880" s="39"/>
      <c r="P1880" s="15">
        <v>28248.62</v>
      </c>
      <c r="S1880" s="17"/>
    </row>
    <row r="1881" spans="1:19" x14ac:dyDescent="0.4">
      <c r="A1881">
        <v>9489785</v>
      </c>
      <c r="B1881" s="16">
        <v>36</v>
      </c>
      <c r="C1881" s="12" t="s">
        <v>125</v>
      </c>
      <c r="D1881" s="12" t="s">
        <v>135</v>
      </c>
      <c r="E1881" s="12" t="s">
        <v>152</v>
      </c>
      <c r="F1881" s="12" t="s">
        <v>144</v>
      </c>
      <c r="G1881" s="14">
        <f t="shared" ca="1" si="29"/>
        <v>75761.141704530441</v>
      </c>
      <c r="H1881" s="12" t="s">
        <v>172</v>
      </c>
      <c r="I1881">
        <v>1114.6666666666699</v>
      </c>
      <c r="J1881">
        <v>50</v>
      </c>
      <c r="K1881" s="12" t="s">
        <v>176</v>
      </c>
      <c r="L1881">
        <v>0</v>
      </c>
      <c r="M1881">
        <v>0</v>
      </c>
      <c r="O1881" s="39"/>
      <c r="P1881" s="16">
        <v>50548.68</v>
      </c>
      <c r="S1881" s="17"/>
    </row>
    <row r="1882" spans="1:19" x14ac:dyDescent="0.4">
      <c r="A1882">
        <v>9490694</v>
      </c>
      <c r="B1882" s="15">
        <v>22</v>
      </c>
      <c r="C1882" s="12" t="s">
        <v>122</v>
      </c>
      <c r="D1882" s="12" t="s">
        <v>134</v>
      </c>
      <c r="E1882" s="12" t="s">
        <v>150</v>
      </c>
      <c r="F1882" s="12" t="s">
        <v>156</v>
      </c>
      <c r="G1882" s="14">
        <f t="shared" ca="1" si="29"/>
        <v>116632.15548272087</v>
      </c>
      <c r="H1882" s="12" t="s">
        <v>172</v>
      </c>
      <c r="I1882">
        <v>0</v>
      </c>
      <c r="J1882">
        <v>80</v>
      </c>
      <c r="K1882" s="12" t="s">
        <v>176</v>
      </c>
      <c r="L1882">
        <v>0</v>
      </c>
      <c r="M1882">
        <v>0</v>
      </c>
      <c r="O1882" s="39"/>
      <c r="P1882" s="15">
        <v>116599.3</v>
      </c>
      <c r="S1882" s="17"/>
    </row>
    <row r="1883" spans="1:19" x14ac:dyDescent="0.4">
      <c r="A1883">
        <v>9492282</v>
      </c>
      <c r="B1883" s="16">
        <v>49</v>
      </c>
      <c r="C1883" s="12" t="s">
        <v>122</v>
      </c>
      <c r="D1883" s="12" t="s">
        <v>134</v>
      </c>
      <c r="E1883" s="12" t="s">
        <v>151</v>
      </c>
      <c r="F1883" s="12" t="s">
        <v>158</v>
      </c>
      <c r="G1883" s="14">
        <f t="shared" ca="1" si="29"/>
        <v>96820.052264187776</v>
      </c>
      <c r="H1883" s="12" t="s">
        <v>172</v>
      </c>
      <c r="I1883">
        <v>0</v>
      </c>
      <c r="J1883">
        <v>40</v>
      </c>
      <c r="K1883" s="12" t="s">
        <v>176</v>
      </c>
      <c r="L1883">
        <v>0</v>
      </c>
      <c r="M1883">
        <v>0</v>
      </c>
      <c r="O1883" s="39"/>
      <c r="P1883" s="16">
        <v>63067.11</v>
      </c>
      <c r="S1883" s="17"/>
    </row>
    <row r="1884" spans="1:19" x14ac:dyDescent="0.4">
      <c r="A1884">
        <v>9494321</v>
      </c>
      <c r="B1884" s="15">
        <v>49</v>
      </c>
      <c r="C1884" s="12" t="s">
        <v>124</v>
      </c>
      <c r="D1884" s="12" t="s">
        <v>141</v>
      </c>
      <c r="E1884" s="12" t="s">
        <v>152</v>
      </c>
      <c r="F1884" s="12" t="s">
        <v>144</v>
      </c>
      <c r="G1884" s="14">
        <f t="shared" ca="1" si="29"/>
        <v>64303.909348458044</v>
      </c>
      <c r="H1884" s="12" t="s">
        <v>172</v>
      </c>
      <c r="I1884">
        <v>0</v>
      </c>
      <c r="J1884">
        <v>60</v>
      </c>
      <c r="K1884" s="12" t="s">
        <v>176</v>
      </c>
      <c r="L1884">
        <v>6799</v>
      </c>
      <c r="M1884">
        <v>1</v>
      </c>
      <c r="O1884" s="39"/>
      <c r="P1884" s="15">
        <v>37530.82</v>
      </c>
      <c r="S1884" s="17"/>
    </row>
    <row r="1885" spans="1:19" x14ac:dyDescent="0.4">
      <c r="A1885">
        <v>9496496</v>
      </c>
      <c r="B1885" s="16">
        <v>23</v>
      </c>
      <c r="C1885" s="12" t="s">
        <v>122</v>
      </c>
      <c r="D1885" s="12" t="s">
        <v>145</v>
      </c>
      <c r="E1885" s="12" t="s">
        <v>150</v>
      </c>
      <c r="F1885" s="12" t="s">
        <v>165</v>
      </c>
      <c r="G1885" s="14">
        <f t="shared" ca="1" si="29"/>
        <v>191096.88917699881</v>
      </c>
      <c r="H1885" s="12" t="s">
        <v>172</v>
      </c>
      <c r="I1885">
        <v>0</v>
      </c>
      <c r="J1885">
        <v>36</v>
      </c>
      <c r="K1885" s="12" t="s">
        <v>179</v>
      </c>
      <c r="L1885">
        <v>0</v>
      </c>
      <c r="M1885">
        <v>0</v>
      </c>
      <c r="O1885" s="39"/>
      <c r="P1885" s="16">
        <v>134026.54</v>
      </c>
      <c r="S1885" s="17"/>
    </row>
    <row r="1886" spans="1:19" x14ac:dyDescent="0.4">
      <c r="A1886">
        <v>9496704</v>
      </c>
      <c r="B1886" s="15">
        <v>28</v>
      </c>
      <c r="C1886" s="12" t="s">
        <v>125</v>
      </c>
      <c r="D1886" s="12" t="s">
        <v>134</v>
      </c>
      <c r="E1886" s="12" t="s">
        <v>152</v>
      </c>
      <c r="F1886" s="12" t="s">
        <v>159</v>
      </c>
      <c r="G1886" s="14">
        <f t="shared" ca="1" si="29"/>
        <v>74238.875075954275</v>
      </c>
      <c r="H1886" s="12" t="s">
        <v>172</v>
      </c>
      <c r="I1886">
        <v>0</v>
      </c>
      <c r="J1886">
        <v>40</v>
      </c>
      <c r="K1886" s="12" t="s">
        <v>176</v>
      </c>
      <c r="L1886">
        <v>0</v>
      </c>
      <c r="M1886">
        <v>0</v>
      </c>
      <c r="O1886" s="39"/>
      <c r="P1886" s="15">
        <v>49018.21</v>
      </c>
      <c r="S1886" s="17"/>
    </row>
    <row r="1887" spans="1:19" x14ac:dyDescent="0.4">
      <c r="A1887">
        <v>9498803</v>
      </c>
      <c r="B1887" s="16">
        <v>59</v>
      </c>
      <c r="C1887" s="12" t="s">
        <v>122</v>
      </c>
      <c r="D1887" s="12" t="s">
        <v>132</v>
      </c>
      <c r="E1887" s="12" t="s">
        <v>152</v>
      </c>
      <c r="F1887" s="12" t="s">
        <v>158</v>
      </c>
      <c r="G1887" s="14">
        <f t="shared" ca="1" si="29"/>
        <v>236479.95251654062</v>
      </c>
      <c r="H1887" s="12" t="s">
        <v>171</v>
      </c>
      <c r="I1887">
        <v>0</v>
      </c>
      <c r="J1887">
        <v>16</v>
      </c>
      <c r="K1887" s="12" t="s">
        <v>176</v>
      </c>
      <c r="L1887">
        <v>15000</v>
      </c>
      <c r="M1887">
        <v>1</v>
      </c>
      <c r="O1887" s="39"/>
      <c r="P1887" s="16">
        <v>119559.14</v>
      </c>
      <c r="S1887" s="17"/>
    </row>
    <row r="1888" spans="1:19" x14ac:dyDescent="0.4">
      <c r="A1888">
        <v>9499787</v>
      </c>
      <c r="B1888" s="15">
        <v>21</v>
      </c>
      <c r="C1888" s="12" t="s">
        <v>122</v>
      </c>
      <c r="D1888" s="12" t="s">
        <v>135</v>
      </c>
      <c r="E1888" s="12" t="s">
        <v>150</v>
      </c>
      <c r="F1888" s="12" t="s">
        <v>158</v>
      </c>
      <c r="G1888" s="14">
        <f t="shared" ca="1" si="29"/>
        <v>35365.200041724231</v>
      </c>
      <c r="H1888" s="12" t="s">
        <v>172</v>
      </c>
      <c r="I1888">
        <v>0</v>
      </c>
      <c r="J1888">
        <v>40</v>
      </c>
      <c r="K1888" s="12" t="s">
        <v>202</v>
      </c>
      <c r="L1888">
        <v>0</v>
      </c>
      <c r="M1888">
        <v>0</v>
      </c>
      <c r="O1888" s="39"/>
      <c r="P1888" s="15">
        <v>22041.96</v>
      </c>
      <c r="S1888" s="17"/>
    </row>
    <row r="1889" spans="1:19" x14ac:dyDescent="0.4">
      <c r="A1889">
        <v>9500110</v>
      </c>
      <c r="B1889" s="16">
        <v>47</v>
      </c>
      <c r="C1889" s="12" t="s">
        <v>122</v>
      </c>
      <c r="D1889" s="12" t="s">
        <v>140</v>
      </c>
      <c r="E1889" s="12" t="s">
        <v>154</v>
      </c>
      <c r="F1889" s="12" t="s">
        <v>157</v>
      </c>
      <c r="G1889" s="14">
        <f t="shared" ca="1" si="29"/>
        <v>101337.63741040284</v>
      </c>
      <c r="H1889" s="12" t="s">
        <v>172</v>
      </c>
      <c r="I1889">
        <v>0</v>
      </c>
      <c r="J1889">
        <v>45</v>
      </c>
      <c r="K1889" s="12" t="s">
        <v>176</v>
      </c>
      <c r="L1889">
        <v>0</v>
      </c>
      <c r="M1889">
        <v>0</v>
      </c>
      <c r="O1889" s="39"/>
      <c r="P1889" s="16">
        <v>55555.13</v>
      </c>
      <c r="S1889" s="17"/>
    </row>
    <row r="1890" spans="1:19" x14ac:dyDescent="0.4">
      <c r="A1890">
        <v>9500271</v>
      </c>
      <c r="B1890" s="15">
        <v>64</v>
      </c>
      <c r="C1890" s="12" t="s">
        <v>124</v>
      </c>
      <c r="D1890" s="12" t="s">
        <v>137</v>
      </c>
      <c r="E1890" s="12" t="s">
        <v>152</v>
      </c>
      <c r="F1890" s="12" t="s">
        <v>159</v>
      </c>
      <c r="G1890" s="14">
        <f t="shared" ca="1" si="29"/>
        <v>83272.240786870956</v>
      </c>
      <c r="H1890" s="12" t="s">
        <v>172</v>
      </c>
      <c r="I1890">
        <v>0</v>
      </c>
      <c r="J1890">
        <v>10</v>
      </c>
      <c r="K1890" s="12" t="s">
        <v>176</v>
      </c>
      <c r="L1890">
        <v>0</v>
      </c>
      <c r="M1890">
        <v>0</v>
      </c>
      <c r="O1890" s="39"/>
      <c r="P1890" s="15">
        <v>47752.34</v>
      </c>
      <c r="S1890" s="17"/>
    </row>
    <row r="1891" spans="1:19" x14ac:dyDescent="0.4">
      <c r="A1891">
        <v>9500292</v>
      </c>
      <c r="B1891" s="16">
        <v>25</v>
      </c>
      <c r="C1891" s="12" t="s">
        <v>122</v>
      </c>
      <c r="D1891" s="12" t="s">
        <v>135</v>
      </c>
      <c r="E1891" s="12" t="s">
        <v>152</v>
      </c>
      <c r="F1891" s="12" t="s">
        <v>158</v>
      </c>
      <c r="G1891" s="14">
        <f t="shared" ca="1" si="29"/>
        <v>452176.52845871547</v>
      </c>
      <c r="H1891" s="12" t="s">
        <v>171</v>
      </c>
      <c r="I1891">
        <v>0</v>
      </c>
      <c r="J1891">
        <v>40</v>
      </c>
      <c r="K1891" s="12" t="s">
        <v>176</v>
      </c>
      <c r="L1891">
        <v>0</v>
      </c>
      <c r="M1891">
        <v>0</v>
      </c>
      <c r="O1891" s="39"/>
      <c r="P1891" s="16">
        <v>273503.75</v>
      </c>
      <c r="S1891" s="17"/>
    </row>
    <row r="1892" spans="1:19" x14ac:dyDescent="0.4">
      <c r="A1892">
        <v>9517875</v>
      </c>
      <c r="B1892" s="15">
        <v>28</v>
      </c>
      <c r="C1892" s="12" t="s">
        <v>122</v>
      </c>
      <c r="D1892" s="12" t="s">
        <v>135</v>
      </c>
      <c r="E1892" s="12" t="s">
        <v>152</v>
      </c>
      <c r="F1892" s="12" t="s">
        <v>162</v>
      </c>
      <c r="G1892" s="14">
        <f t="shared" ca="1" si="29"/>
        <v>40346.337961221667</v>
      </c>
      <c r="H1892" s="12" t="s">
        <v>172</v>
      </c>
      <c r="I1892">
        <v>0</v>
      </c>
      <c r="J1892">
        <v>45</v>
      </c>
      <c r="K1892" s="12" t="s">
        <v>176</v>
      </c>
      <c r="L1892">
        <v>7567</v>
      </c>
      <c r="M1892">
        <v>1</v>
      </c>
      <c r="O1892" s="39"/>
      <c r="P1892" s="15">
        <v>26988.92</v>
      </c>
      <c r="S1892" s="17"/>
    </row>
    <row r="1893" spans="1:19" x14ac:dyDescent="0.4">
      <c r="A1893">
        <v>9522097</v>
      </c>
      <c r="B1893" s="16">
        <v>57</v>
      </c>
      <c r="C1893" s="12" t="s">
        <v>123</v>
      </c>
      <c r="D1893" s="12" t="s">
        <v>132</v>
      </c>
      <c r="E1893" s="12" t="s">
        <v>152</v>
      </c>
      <c r="F1893" s="12" t="s">
        <v>162</v>
      </c>
      <c r="G1893" s="14">
        <f t="shared" ca="1" si="29"/>
        <v>71249.941426314166</v>
      </c>
      <c r="H1893" s="12" t="s">
        <v>172</v>
      </c>
      <c r="I1893">
        <v>0</v>
      </c>
      <c r="J1893">
        <v>45</v>
      </c>
      <c r="K1893" s="12" t="s">
        <v>176</v>
      </c>
      <c r="L1893">
        <v>99999</v>
      </c>
      <c r="M1893">
        <v>1</v>
      </c>
      <c r="O1893" s="39"/>
      <c r="P1893" s="16">
        <v>40963.379999999997</v>
      </c>
      <c r="S1893" s="17"/>
    </row>
    <row r="1894" spans="1:19" x14ac:dyDescent="0.4">
      <c r="A1894">
        <v>9526379</v>
      </c>
      <c r="B1894" s="15">
        <v>57</v>
      </c>
      <c r="C1894" s="12" t="s">
        <v>122</v>
      </c>
      <c r="D1894" s="12" t="s">
        <v>134</v>
      </c>
      <c r="E1894" s="12" t="s">
        <v>150</v>
      </c>
      <c r="F1894" s="12" t="s">
        <v>158</v>
      </c>
      <c r="G1894" s="14">
        <f t="shared" ca="1" si="29"/>
        <v>146026.1858257954</v>
      </c>
      <c r="H1894" s="12" t="s">
        <v>171</v>
      </c>
      <c r="I1894">
        <v>0</v>
      </c>
      <c r="J1894">
        <v>40</v>
      </c>
      <c r="K1894" s="12" t="s">
        <v>176</v>
      </c>
      <c r="L1894">
        <v>0</v>
      </c>
      <c r="M1894">
        <v>0</v>
      </c>
      <c r="O1894" s="39"/>
      <c r="P1894" s="15">
        <v>81300.039999999994</v>
      </c>
      <c r="S1894" s="17"/>
    </row>
    <row r="1895" spans="1:19" x14ac:dyDescent="0.4">
      <c r="A1895">
        <v>9527859</v>
      </c>
      <c r="B1895" s="16">
        <v>26</v>
      </c>
      <c r="C1895" s="12" t="s">
        <v>122</v>
      </c>
      <c r="D1895" s="12" t="s">
        <v>137</v>
      </c>
      <c r="E1895" s="12" t="s">
        <v>150</v>
      </c>
      <c r="F1895" s="12" t="s">
        <v>158</v>
      </c>
      <c r="G1895" s="14">
        <f t="shared" ca="1" si="29"/>
        <v>93344.32428244139</v>
      </c>
      <c r="H1895" s="12" t="s">
        <v>171</v>
      </c>
      <c r="I1895">
        <v>0</v>
      </c>
      <c r="J1895">
        <v>45</v>
      </c>
      <c r="K1895" s="12" t="s">
        <v>176</v>
      </c>
      <c r="L1895">
        <v>0</v>
      </c>
      <c r="M1895">
        <v>0</v>
      </c>
      <c r="O1895" s="39"/>
      <c r="P1895" s="16">
        <v>93156.39</v>
      </c>
      <c r="S1895" s="17"/>
    </row>
    <row r="1896" spans="1:19" x14ac:dyDescent="0.4">
      <c r="A1896">
        <v>9532383</v>
      </c>
      <c r="B1896" s="15">
        <v>57</v>
      </c>
      <c r="C1896" s="12" t="s">
        <v>122</v>
      </c>
      <c r="D1896" s="12" t="s">
        <v>145</v>
      </c>
      <c r="E1896" s="12" t="s">
        <v>152</v>
      </c>
      <c r="F1896" s="12" t="s">
        <v>159</v>
      </c>
      <c r="G1896" s="14">
        <f t="shared" ca="1" si="29"/>
        <v>37958.494380264019</v>
      </c>
      <c r="H1896" s="12" t="s">
        <v>172</v>
      </c>
      <c r="I1896">
        <v>0</v>
      </c>
      <c r="J1896">
        <v>40</v>
      </c>
      <c r="K1896" s="12" t="s">
        <v>176</v>
      </c>
      <c r="L1896">
        <v>0</v>
      </c>
      <c r="M1896">
        <v>0</v>
      </c>
      <c r="O1896" s="39"/>
      <c r="P1896" s="15">
        <v>26617.09</v>
      </c>
      <c r="S1896" s="17"/>
    </row>
    <row r="1897" spans="1:19" x14ac:dyDescent="0.4">
      <c r="A1897">
        <v>9534462</v>
      </c>
      <c r="B1897" s="16">
        <v>55</v>
      </c>
      <c r="C1897" s="12" t="s">
        <v>122</v>
      </c>
      <c r="D1897" s="12" t="s">
        <v>138</v>
      </c>
      <c r="E1897" s="12" t="s">
        <v>152</v>
      </c>
      <c r="F1897" s="12" t="s">
        <v>144</v>
      </c>
      <c r="G1897" s="14">
        <f t="shared" ca="1" si="29"/>
        <v>21613.080701258401</v>
      </c>
      <c r="H1897" s="12" t="s">
        <v>172</v>
      </c>
      <c r="I1897">
        <v>0</v>
      </c>
      <c r="J1897">
        <v>50</v>
      </c>
      <c r="K1897" s="12" t="s">
        <v>129</v>
      </c>
      <c r="L1897">
        <v>15024</v>
      </c>
      <c r="M1897">
        <v>1</v>
      </c>
      <c r="O1897" s="39"/>
      <c r="P1897" s="16">
        <v>11144.16</v>
      </c>
      <c r="S1897" s="17"/>
    </row>
    <row r="1898" spans="1:19" x14ac:dyDescent="0.4">
      <c r="A1898">
        <v>9538363</v>
      </c>
      <c r="B1898" s="15">
        <v>37</v>
      </c>
      <c r="C1898" s="12" t="s">
        <v>122</v>
      </c>
      <c r="D1898" s="12" t="s">
        <v>147</v>
      </c>
      <c r="E1898" s="12" t="s">
        <v>152</v>
      </c>
      <c r="F1898" s="12" t="s">
        <v>156</v>
      </c>
      <c r="G1898" s="14">
        <f t="shared" ca="1" si="29"/>
        <v>18569.99810839205</v>
      </c>
      <c r="H1898" s="12" t="s">
        <v>172</v>
      </c>
      <c r="I1898">
        <v>0</v>
      </c>
      <c r="J1898">
        <v>53</v>
      </c>
      <c r="K1898" s="12" t="s">
        <v>179</v>
      </c>
      <c r="L1898">
        <v>0</v>
      </c>
      <c r="M1898">
        <v>0</v>
      </c>
      <c r="O1898" s="39"/>
      <c r="P1898" s="15">
        <v>11180.76</v>
      </c>
      <c r="S1898" s="17"/>
    </row>
    <row r="1899" spans="1:19" x14ac:dyDescent="0.4">
      <c r="A1899">
        <v>9539174</v>
      </c>
      <c r="B1899" s="16">
        <v>44</v>
      </c>
      <c r="C1899" s="12" t="s">
        <v>127</v>
      </c>
      <c r="D1899" s="12" t="s">
        <v>132</v>
      </c>
      <c r="E1899" s="12" t="s">
        <v>152</v>
      </c>
      <c r="F1899" s="12" t="s">
        <v>159</v>
      </c>
      <c r="G1899" s="14">
        <f t="shared" ca="1" si="29"/>
        <v>22639.786983585516</v>
      </c>
      <c r="H1899" s="12" t="s">
        <v>172</v>
      </c>
      <c r="I1899">
        <v>0</v>
      </c>
      <c r="J1899">
        <v>40</v>
      </c>
      <c r="K1899" s="12" t="s">
        <v>176</v>
      </c>
      <c r="L1899">
        <v>0</v>
      </c>
      <c r="M1899">
        <v>0</v>
      </c>
      <c r="O1899" s="39"/>
      <c r="P1899" s="16">
        <v>16851.349999999999</v>
      </c>
      <c r="S1899" s="17"/>
    </row>
    <row r="1900" spans="1:19" x14ac:dyDescent="0.4">
      <c r="A1900">
        <v>9540165</v>
      </c>
      <c r="B1900" s="15">
        <v>20</v>
      </c>
      <c r="C1900" s="12" t="s">
        <v>122</v>
      </c>
      <c r="D1900" s="12" t="s">
        <v>134</v>
      </c>
      <c r="E1900" s="12" t="s">
        <v>150</v>
      </c>
      <c r="F1900" s="12" t="s">
        <v>156</v>
      </c>
      <c r="G1900" s="14">
        <f t="shared" ca="1" si="29"/>
        <v>279889.09120894066</v>
      </c>
      <c r="H1900" s="12" t="s">
        <v>172</v>
      </c>
      <c r="I1900">
        <v>0</v>
      </c>
      <c r="J1900">
        <v>50</v>
      </c>
      <c r="K1900" s="12" t="s">
        <v>176</v>
      </c>
      <c r="L1900">
        <v>0</v>
      </c>
      <c r="M1900">
        <v>0</v>
      </c>
      <c r="O1900" s="39"/>
      <c r="P1900" s="15">
        <v>156308</v>
      </c>
      <c r="S1900" s="17"/>
    </row>
    <row r="1901" spans="1:19" x14ac:dyDescent="0.4">
      <c r="A1901">
        <v>9547082</v>
      </c>
      <c r="B1901" s="16">
        <v>23</v>
      </c>
      <c r="C1901" s="12" t="s">
        <v>122</v>
      </c>
      <c r="D1901" s="12" t="s">
        <v>132</v>
      </c>
      <c r="E1901" s="12" t="s">
        <v>152</v>
      </c>
      <c r="F1901" s="12" t="s">
        <v>160</v>
      </c>
      <c r="G1901" s="14">
        <f t="shared" ca="1" si="29"/>
        <v>190174.88499505632</v>
      </c>
      <c r="H1901" s="12" t="s">
        <v>171</v>
      </c>
      <c r="I1901">
        <v>0</v>
      </c>
      <c r="J1901">
        <v>25</v>
      </c>
      <c r="K1901" s="12" t="s">
        <v>176</v>
      </c>
      <c r="L1901">
        <v>0</v>
      </c>
      <c r="M1901">
        <v>0</v>
      </c>
      <c r="O1901" s="39"/>
      <c r="P1901" s="16">
        <v>173514.26</v>
      </c>
      <c r="S1901" s="17"/>
    </row>
    <row r="1902" spans="1:19" x14ac:dyDescent="0.4">
      <c r="A1902">
        <v>9547523</v>
      </c>
      <c r="B1902" s="15">
        <v>33</v>
      </c>
      <c r="C1902" s="12" t="s">
        <v>122</v>
      </c>
      <c r="D1902" s="12" t="s">
        <v>135</v>
      </c>
      <c r="E1902" s="12" t="s">
        <v>152</v>
      </c>
      <c r="F1902" s="12" t="s">
        <v>160</v>
      </c>
      <c r="G1902" s="14">
        <f t="shared" ca="1" si="29"/>
        <v>35069.570503149662</v>
      </c>
      <c r="H1902" s="12" t="s">
        <v>172</v>
      </c>
      <c r="I1902">
        <v>0</v>
      </c>
      <c r="J1902">
        <v>65</v>
      </c>
      <c r="K1902" s="12" t="s">
        <v>176</v>
      </c>
      <c r="L1902">
        <v>5672</v>
      </c>
      <c r="M1902">
        <v>1</v>
      </c>
      <c r="O1902" s="39"/>
      <c r="P1902" s="15">
        <v>26138.85</v>
      </c>
      <c r="S1902" s="17"/>
    </row>
    <row r="1903" spans="1:19" x14ac:dyDescent="0.4">
      <c r="A1903">
        <v>9558590</v>
      </c>
      <c r="B1903" s="16">
        <v>22</v>
      </c>
      <c r="C1903" s="12" t="s">
        <v>122</v>
      </c>
      <c r="D1903" s="12" t="s">
        <v>132</v>
      </c>
      <c r="E1903" s="12" t="s">
        <v>150</v>
      </c>
      <c r="F1903" s="12" t="s">
        <v>162</v>
      </c>
      <c r="G1903" s="14">
        <f t="shared" ca="1" si="29"/>
        <v>186354.28905556712</v>
      </c>
      <c r="H1903" s="12" t="s">
        <v>172</v>
      </c>
      <c r="I1903">
        <v>0</v>
      </c>
      <c r="J1903">
        <v>34</v>
      </c>
      <c r="K1903" s="12" t="s">
        <v>176</v>
      </c>
      <c r="L1903">
        <v>0</v>
      </c>
      <c r="M1903">
        <v>0</v>
      </c>
      <c r="O1903" s="39"/>
      <c r="P1903" s="16">
        <v>183027.36</v>
      </c>
      <c r="S1903" s="17"/>
    </row>
    <row r="1904" spans="1:19" x14ac:dyDescent="0.4">
      <c r="A1904">
        <v>9564927</v>
      </c>
      <c r="B1904" s="15">
        <v>26</v>
      </c>
      <c r="C1904" s="12" t="s">
        <v>122</v>
      </c>
      <c r="D1904" s="12" t="s">
        <v>138</v>
      </c>
      <c r="E1904" s="12" t="s">
        <v>150</v>
      </c>
      <c r="F1904" s="12" t="s">
        <v>160</v>
      </c>
      <c r="G1904" s="14">
        <f t="shared" ca="1" si="29"/>
        <v>63241.153428831349</v>
      </c>
      <c r="H1904" s="12" t="s">
        <v>171</v>
      </c>
      <c r="I1904">
        <v>0</v>
      </c>
      <c r="J1904">
        <v>30</v>
      </c>
      <c r="K1904" s="12" t="s">
        <v>176</v>
      </c>
      <c r="L1904">
        <v>0</v>
      </c>
      <c r="M1904">
        <v>0</v>
      </c>
      <c r="O1904" s="39"/>
      <c r="P1904" s="15">
        <v>33742.92</v>
      </c>
      <c r="S1904" s="17"/>
    </row>
    <row r="1905" spans="1:19" x14ac:dyDescent="0.4">
      <c r="A1905">
        <v>9571397</v>
      </c>
      <c r="B1905" s="16">
        <v>27</v>
      </c>
      <c r="C1905" s="12" t="s">
        <v>122</v>
      </c>
      <c r="D1905" s="12" t="s">
        <v>134</v>
      </c>
      <c r="E1905" s="12" t="s">
        <v>151</v>
      </c>
      <c r="F1905" s="12" t="s">
        <v>158</v>
      </c>
      <c r="G1905" s="14">
        <f t="shared" ca="1" si="29"/>
        <v>211244.20330903749</v>
      </c>
      <c r="H1905" s="12" t="s">
        <v>172</v>
      </c>
      <c r="I1905">
        <v>0</v>
      </c>
      <c r="J1905">
        <v>38</v>
      </c>
      <c r="K1905" s="12" t="s">
        <v>176</v>
      </c>
      <c r="L1905">
        <v>0</v>
      </c>
      <c r="M1905">
        <v>0</v>
      </c>
      <c r="O1905" s="39"/>
      <c r="P1905" s="16">
        <v>107597.36</v>
      </c>
      <c r="S1905" s="17"/>
    </row>
    <row r="1906" spans="1:19" x14ac:dyDescent="0.4">
      <c r="A1906">
        <v>9573625</v>
      </c>
      <c r="B1906" s="15">
        <v>67</v>
      </c>
      <c r="C1906" s="12" t="s">
        <v>129</v>
      </c>
      <c r="D1906" s="12" t="s">
        <v>140</v>
      </c>
      <c r="E1906" s="12" t="s">
        <v>150</v>
      </c>
      <c r="F1906" s="12" t="s">
        <v>129</v>
      </c>
      <c r="G1906" s="14">
        <f t="shared" ca="1" si="29"/>
        <v>88159.016243926031</v>
      </c>
      <c r="H1906" s="12" t="s">
        <v>171</v>
      </c>
      <c r="I1906">
        <v>0</v>
      </c>
      <c r="J1906">
        <v>35</v>
      </c>
      <c r="K1906" s="12" t="s">
        <v>176</v>
      </c>
      <c r="L1906">
        <v>0</v>
      </c>
      <c r="M1906">
        <v>0</v>
      </c>
      <c r="O1906" s="39"/>
      <c r="P1906" s="15">
        <v>44937.22</v>
      </c>
      <c r="S1906" s="17"/>
    </row>
    <row r="1907" spans="1:19" x14ac:dyDescent="0.4">
      <c r="A1907">
        <v>9577493</v>
      </c>
      <c r="B1907" s="16">
        <v>57</v>
      </c>
      <c r="C1907" s="12" t="s">
        <v>122</v>
      </c>
      <c r="D1907" s="12" t="s">
        <v>134</v>
      </c>
      <c r="E1907" s="12" t="s">
        <v>152</v>
      </c>
      <c r="F1907" s="12" t="s">
        <v>160</v>
      </c>
      <c r="G1907" s="14">
        <f t="shared" ca="1" si="29"/>
        <v>66822.256300021458</v>
      </c>
      <c r="H1907" s="12" t="s">
        <v>172</v>
      </c>
      <c r="I1907">
        <v>0</v>
      </c>
      <c r="J1907">
        <v>60</v>
      </c>
      <c r="K1907" s="12" t="s">
        <v>176</v>
      </c>
      <c r="L1907">
        <v>0</v>
      </c>
      <c r="M1907">
        <v>0</v>
      </c>
      <c r="O1907" s="39"/>
      <c r="P1907" s="16">
        <v>41397.339999999997</v>
      </c>
      <c r="S1907" s="17"/>
    </row>
    <row r="1908" spans="1:19" x14ac:dyDescent="0.4">
      <c r="A1908">
        <v>9582473</v>
      </c>
      <c r="B1908" s="15">
        <v>27</v>
      </c>
      <c r="C1908" s="12" t="s">
        <v>125</v>
      </c>
      <c r="D1908" s="12" t="s">
        <v>135</v>
      </c>
      <c r="E1908" s="12" t="s">
        <v>152</v>
      </c>
      <c r="F1908" s="12" t="s">
        <v>166</v>
      </c>
      <c r="G1908" s="14">
        <f t="shared" ca="1" si="29"/>
        <v>95508.506419775076</v>
      </c>
      <c r="H1908" s="12" t="s">
        <v>172</v>
      </c>
      <c r="I1908">
        <v>0</v>
      </c>
      <c r="J1908">
        <v>68</v>
      </c>
      <c r="K1908" s="12" t="s">
        <v>176</v>
      </c>
      <c r="L1908">
        <v>0</v>
      </c>
      <c r="M1908">
        <v>0</v>
      </c>
      <c r="O1908" s="39"/>
      <c r="P1908" s="15">
        <v>57082.91</v>
      </c>
      <c r="S1908" s="17"/>
    </row>
    <row r="1909" spans="1:19" x14ac:dyDescent="0.4">
      <c r="A1909">
        <v>9583272</v>
      </c>
      <c r="B1909" s="16">
        <v>56</v>
      </c>
      <c r="C1909" s="12" t="s">
        <v>122</v>
      </c>
      <c r="D1909" s="12" t="s">
        <v>134</v>
      </c>
      <c r="E1909" s="12" t="s">
        <v>152</v>
      </c>
      <c r="F1909" s="12" t="s">
        <v>164</v>
      </c>
      <c r="G1909" s="14">
        <f t="shared" ca="1" si="29"/>
        <v>48251.671376712526</v>
      </c>
      <c r="H1909" s="12" t="s">
        <v>172</v>
      </c>
      <c r="I1909">
        <v>0</v>
      </c>
      <c r="J1909">
        <v>40</v>
      </c>
      <c r="K1909" s="12" t="s">
        <v>176</v>
      </c>
      <c r="L1909">
        <v>0</v>
      </c>
      <c r="M1909">
        <v>0</v>
      </c>
      <c r="O1909" s="39"/>
      <c r="P1909" s="16">
        <v>31904.07</v>
      </c>
      <c r="S1909" s="17"/>
    </row>
    <row r="1910" spans="1:19" x14ac:dyDescent="0.4">
      <c r="A1910">
        <v>9588924</v>
      </c>
      <c r="B1910" s="15">
        <v>33</v>
      </c>
      <c r="C1910" s="12" t="s">
        <v>122</v>
      </c>
      <c r="D1910" s="12" t="s">
        <v>132</v>
      </c>
      <c r="E1910" s="12" t="s">
        <v>152</v>
      </c>
      <c r="F1910" s="12" t="s">
        <v>160</v>
      </c>
      <c r="G1910" s="14">
        <f t="shared" ca="1" si="29"/>
        <v>77375.205036953412</v>
      </c>
      <c r="H1910" s="12" t="s">
        <v>172</v>
      </c>
      <c r="I1910">
        <v>0</v>
      </c>
      <c r="J1910">
        <v>50</v>
      </c>
      <c r="K1910" s="12" t="s">
        <v>176</v>
      </c>
      <c r="L1910">
        <v>0</v>
      </c>
      <c r="M1910">
        <v>0</v>
      </c>
      <c r="O1910" s="39"/>
      <c r="P1910" s="15">
        <v>40009.78</v>
      </c>
      <c r="S1910" s="17"/>
    </row>
    <row r="1911" spans="1:19" x14ac:dyDescent="0.4">
      <c r="A1911">
        <v>9589254</v>
      </c>
      <c r="B1911" s="16">
        <v>42</v>
      </c>
      <c r="C1911" s="12" t="s">
        <v>122</v>
      </c>
      <c r="D1911" s="12" t="s">
        <v>135</v>
      </c>
      <c r="E1911" s="12" t="s">
        <v>152</v>
      </c>
      <c r="F1911" s="12" t="s">
        <v>160</v>
      </c>
      <c r="G1911" s="14">
        <f t="shared" ca="1" si="29"/>
        <v>40838.448394365063</v>
      </c>
      <c r="H1911" s="12" t="s">
        <v>172</v>
      </c>
      <c r="I1911">
        <v>0</v>
      </c>
      <c r="J1911">
        <v>45</v>
      </c>
      <c r="K1911" s="12" t="s">
        <v>176</v>
      </c>
      <c r="L1911">
        <v>7298</v>
      </c>
      <c r="M1911">
        <v>1</v>
      </c>
      <c r="O1911" s="39"/>
      <c r="P1911" s="16">
        <v>25532.39</v>
      </c>
      <c r="S1911" s="17"/>
    </row>
    <row r="1912" spans="1:19" x14ac:dyDescent="0.4">
      <c r="A1912">
        <v>9590451</v>
      </c>
      <c r="B1912" s="15">
        <v>21</v>
      </c>
      <c r="C1912" s="12" t="s">
        <v>122</v>
      </c>
      <c r="D1912" s="12" t="s">
        <v>134</v>
      </c>
      <c r="E1912" s="12" t="s">
        <v>150</v>
      </c>
      <c r="F1912" s="12" t="s">
        <v>164</v>
      </c>
      <c r="G1912" s="14">
        <f t="shared" ca="1" si="29"/>
        <v>100355.85786517686</v>
      </c>
      <c r="H1912" s="12" t="s">
        <v>171</v>
      </c>
      <c r="I1912">
        <v>0</v>
      </c>
      <c r="J1912">
        <v>40</v>
      </c>
      <c r="K1912" s="12" t="s">
        <v>176</v>
      </c>
      <c r="L1912">
        <v>0</v>
      </c>
      <c r="M1912">
        <v>0</v>
      </c>
      <c r="O1912" s="39"/>
      <c r="P1912" s="15">
        <v>92413.46</v>
      </c>
      <c r="S1912" s="17"/>
    </row>
    <row r="1913" spans="1:19" x14ac:dyDescent="0.4">
      <c r="A1913">
        <v>9591727</v>
      </c>
      <c r="B1913" s="16">
        <v>31</v>
      </c>
      <c r="C1913" s="12" t="s">
        <v>123</v>
      </c>
      <c r="D1913" s="12" t="s">
        <v>132</v>
      </c>
      <c r="E1913" s="12" t="s">
        <v>152</v>
      </c>
      <c r="F1913" s="12" t="s">
        <v>159</v>
      </c>
      <c r="G1913" s="14">
        <f t="shared" ca="1" si="29"/>
        <v>62596.215075665452</v>
      </c>
      <c r="H1913" s="12" t="s">
        <v>172</v>
      </c>
      <c r="I1913">
        <v>0</v>
      </c>
      <c r="J1913">
        <v>40</v>
      </c>
      <c r="K1913" s="12" t="s">
        <v>176</v>
      </c>
      <c r="L1913">
        <v>0</v>
      </c>
      <c r="M1913">
        <v>0</v>
      </c>
      <c r="O1913" s="39"/>
      <c r="P1913" s="16">
        <v>58473.08</v>
      </c>
      <c r="S1913" s="17"/>
    </row>
    <row r="1914" spans="1:19" x14ac:dyDescent="0.4">
      <c r="A1914">
        <v>9598356</v>
      </c>
      <c r="B1914" s="15">
        <v>58</v>
      </c>
      <c r="C1914" s="12" t="s">
        <v>122</v>
      </c>
      <c r="D1914" s="12" t="s">
        <v>135</v>
      </c>
      <c r="E1914" s="12" t="s">
        <v>151</v>
      </c>
      <c r="F1914" s="12" t="s">
        <v>162</v>
      </c>
      <c r="G1914" s="14">
        <f t="shared" ca="1" si="29"/>
        <v>161835.7012919627</v>
      </c>
      <c r="H1914" s="12" t="s">
        <v>172</v>
      </c>
      <c r="I1914">
        <v>0</v>
      </c>
      <c r="J1914">
        <v>50</v>
      </c>
      <c r="K1914" s="12" t="s">
        <v>176</v>
      </c>
      <c r="L1914">
        <v>0</v>
      </c>
      <c r="M1914">
        <v>0</v>
      </c>
      <c r="O1914" s="39"/>
      <c r="P1914" s="15">
        <v>95109.38</v>
      </c>
      <c r="S1914" s="17"/>
    </row>
    <row r="1915" spans="1:19" x14ac:dyDescent="0.4">
      <c r="A1915">
        <v>9600120</v>
      </c>
      <c r="B1915" s="16">
        <v>21</v>
      </c>
      <c r="C1915" s="12" t="s">
        <v>122</v>
      </c>
      <c r="D1915" s="12" t="s">
        <v>134</v>
      </c>
      <c r="E1915" s="12" t="s">
        <v>150</v>
      </c>
      <c r="F1915" s="12" t="s">
        <v>159</v>
      </c>
      <c r="G1915" s="14">
        <f t="shared" ca="1" si="29"/>
        <v>102830.34104471577</v>
      </c>
      <c r="H1915" s="12" t="s">
        <v>171</v>
      </c>
      <c r="I1915">
        <v>0</v>
      </c>
      <c r="J1915">
        <v>30</v>
      </c>
      <c r="K1915" s="12" t="s">
        <v>176</v>
      </c>
      <c r="L1915">
        <v>0</v>
      </c>
      <c r="M1915">
        <v>0</v>
      </c>
      <c r="O1915" s="39"/>
      <c r="P1915" s="16">
        <v>51781.5</v>
      </c>
      <c r="S1915" s="17"/>
    </row>
    <row r="1916" spans="1:19" x14ac:dyDescent="0.4">
      <c r="A1916">
        <v>9604976</v>
      </c>
      <c r="B1916" s="15">
        <v>41</v>
      </c>
      <c r="C1916" s="12" t="s">
        <v>122</v>
      </c>
      <c r="D1916" s="12" t="s">
        <v>132</v>
      </c>
      <c r="E1916" s="12" t="s">
        <v>152</v>
      </c>
      <c r="F1916" s="12" t="s">
        <v>144</v>
      </c>
      <c r="G1916" s="14">
        <f t="shared" ca="1" si="29"/>
        <v>47170.496659883232</v>
      </c>
      <c r="H1916" s="12" t="s">
        <v>172</v>
      </c>
      <c r="I1916">
        <v>0</v>
      </c>
      <c r="J1916">
        <v>52</v>
      </c>
      <c r="K1916" s="12" t="s">
        <v>176</v>
      </c>
      <c r="L1916">
        <v>0</v>
      </c>
      <c r="M1916">
        <v>0</v>
      </c>
      <c r="O1916" s="39"/>
      <c r="P1916" s="15">
        <v>29182.560000000001</v>
      </c>
      <c r="S1916" s="17"/>
    </row>
    <row r="1917" spans="1:19" x14ac:dyDescent="0.4">
      <c r="A1917">
        <v>9606028</v>
      </c>
      <c r="B1917" s="16">
        <v>28</v>
      </c>
      <c r="C1917" s="12" t="s">
        <v>123</v>
      </c>
      <c r="D1917" s="12" t="s">
        <v>135</v>
      </c>
      <c r="E1917" s="12" t="s">
        <v>150</v>
      </c>
      <c r="F1917" s="12" t="s">
        <v>144</v>
      </c>
      <c r="G1917" s="14">
        <f t="shared" ca="1" si="29"/>
        <v>146267.13816023507</v>
      </c>
      <c r="H1917" s="12" t="s">
        <v>172</v>
      </c>
      <c r="I1917">
        <v>0</v>
      </c>
      <c r="J1917">
        <v>60</v>
      </c>
      <c r="K1917" s="12" t="s">
        <v>176</v>
      </c>
      <c r="L1917">
        <v>0</v>
      </c>
      <c r="M1917">
        <v>0</v>
      </c>
      <c r="O1917" s="39"/>
      <c r="P1917" s="16">
        <v>101707.48</v>
      </c>
      <c r="S1917" s="17"/>
    </row>
    <row r="1918" spans="1:19" x14ac:dyDescent="0.4">
      <c r="A1918">
        <v>9624294</v>
      </c>
      <c r="B1918" s="15">
        <v>29</v>
      </c>
      <c r="C1918" s="12" t="s">
        <v>122</v>
      </c>
      <c r="D1918" s="12" t="s">
        <v>134</v>
      </c>
      <c r="E1918" s="12" t="s">
        <v>150</v>
      </c>
      <c r="F1918" s="12" t="s">
        <v>161</v>
      </c>
      <c r="G1918" s="14">
        <f t="shared" ca="1" si="29"/>
        <v>197949.21519611872</v>
      </c>
      <c r="H1918" s="12" t="s">
        <v>172</v>
      </c>
      <c r="I1918">
        <v>0</v>
      </c>
      <c r="J1918">
        <v>40</v>
      </c>
      <c r="K1918" s="12" t="s">
        <v>206</v>
      </c>
      <c r="L1918">
        <v>0</v>
      </c>
      <c r="M1918">
        <v>0</v>
      </c>
      <c r="O1918" s="39"/>
      <c r="P1918" s="15">
        <v>154442.07</v>
      </c>
      <c r="S1918" s="17"/>
    </row>
    <row r="1919" spans="1:19" x14ac:dyDescent="0.4">
      <c r="A1919">
        <v>9625954</v>
      </c>
      <c r="B1919" s="16">
        <v>21</v>
      </c>
      <c r="C1919" s="12" t="s">
        <v>122</v>
      </c>
      <c r="D1919" s="12" t="s">
        <v>132</v>
      </c>
      <c r="E1919" s="12" t="s">
        <v>150</v>
      </c>
      <c r="F1919" s="12" t="s">
        <v>156</v>
      </c>
      <c r="G1919" s="14">
        <f t="shared" ca="1" si="29"/>
        <v>207779.63279438851</v>
      </c>
      <c r="H1919" s="12" t="s">
        <v>171</v>
      </c>
      <c r="I1919">
        <v>0</v>
      </c>
      <c r="J1919">
        <v>60</v>
      </c>
      <c r="K1919" s="12" t="s">
        <v>176</v>
      </c>
      <c r="L1919">
        <v>0</v>
      </c>
      <c r="M1919">
        <v>0</v>
      </c>
      <c r="O1919" s="39"/>
      <c r="P1919" s="16">
        <v>171878.03</v>
      </c>
      <c r="S1919" s="17"/>
    </row>
    <row r="1920" spans="1:19" x14ac:dyDescent="0.4">
      <c r="A1920">
        <v>9631633</v>
      </c>
      <c r="B1920" s="15">
        <v>41</v>
      </c>
      <c r="C1920" s="12" t="s">
        <v>122</v>
      </c>
      <c r="D1920" s="12" t="s">
        <v>135</v>
      </c>
      <c r="E1920" s="12" t="s">
        <v>149</v>
      </c>
      <c r="F1920" s="12" t="s">
        <v>162</v>
      </c>
      <c r="G1920" s="14">
        <f t="shared" ca="1" si="29"/>
        <v>318165.77126682037</v>
      </c>
      <c r="H1920" s="12" t="s">
        <v>171</v>
      </c>
      <c r="I1920">
        <v>0</v>
      </c>
      <c r="J1920">
        <v>30</v>
      </c>
      <c r="K1920" s="12" t="s">
        <v>176</v>
      </c>
      <c r="L1920">
        <v>0</v>
      </c>
      <c r="M1920">
        <v>0</v>
      </c>
      <c r="O1920" s="39"/>
      <c r="P1920" s="15">
        <v>199258.2</v>
      </c>
      <c r="S1920" s="17"/>
    </row>
    <row r="1921" spans="1:19" x14ac:dyDescent="0.4">
      <c r="A1921">
        <v>9632153</v>
      </c>
      <c r="B1921" s="16">
        <v>26</v>
      </c>
      <c r="C1921" s="12" t="s">
        <v>122</v>
      </c>
      <c r="D1921" s="12" t="s">
        <v>134</v>
      </c>
      <c r="E1921" s="12" t="s">
        <v>150</v>
      </c>
      <c r="F1921" s="12" t="s">
        <v>158</v>
      </c>
      <c r="G1921" s="14">
        <f t="shared" ca="1" si="29"/>
        <v>160895.95187885498</v>
      </c>
      <c r="H1921" s="12" t="s">
        <v>172</v>
      </c>
      <c r="I1921">
        <v>0</v>
      </c>
      <c r="J1921">
        <v>80</v>
      </c>
      <c r="K1921" s="12" t="s">
        <v>129</v>
      </c>
      <c r="L1921">
        <v>11397</v>
      </c>
      <c r="M1921">
        <v>1</v>
      </c>
      <c r="O1921" s="39"/>
      <c r="P1921" s="16">
        <v>105372.12</v>
      </c>
      <c r="S1921" s="17"/>
    </row>
    <row r="1922" spans="1:19" x14ac:dyDescent="0.4">
      <c r="A1922">
        <v>9634399</v>
      </c>
      <c r="B1922" s="15">
        <v>18</v>
      </c>
      <c r="C1922" s="12" t="s">
        <v>129</v>
      </c>
      <c r="D1922" s="12" t="s">
        <v>132</v>
      </c>
      <c r="E1922" s="12" t="s">
        <v>150</v>
      </c>
      <c r="F1922" s="12" t="s">
        <v>129</v>
      </c>
      <c r="G1922" s="14">
        <f t="shared" ca="1" si="29"/>
        <v>282230.17767255625</v>
      </c>
      <c r="H1922" s="12" t="s">
        <v>172</v>
      </c>
      <c r="I1922">
        <v>0</v>
      </c>
      <c r="J1922">
        <v>10</v>
      </c>
      <c r="K1922" s="12" t="s">
        <v>176</v>
      </c>
      <c r="L1922">
        <v>0</v>
      </c>
      <c r="M1922">
        <v>0</v>
      </c>
      <c r="O1922" s="39"/>
      <c r="P1922" s="15">
        <v>180335.08</v>
      </c>
      <c r="S1922" s="17"/>
    </row>
    <row r="1923" spans="1:19" x14ac:dyDescent="0.4">
      <c r="A1923">
        <v>9640016</v>
      </c>
      <c r="B1923" s="16">
        <v>54</v>
      </c>
      <c r="C1923" s="12" t="s">
        <v>122</v>
      </c>
      <c r="D1923" s="12" t="s">
        <v>135</v>
      </c>
      <c r="E1923" s="12" t="s">
        <v>151</v>
      </c>
      <c r="F1923" s="12" t="s">
        <v>162</v>
      </c>
      <c r="G1923" s="14">
        <f t="shared" ca="1" si="29"/>
        <v>167105.93635755501</v>
      </c>
      <c r="H1923" s="12" t="s">
        <v>171</v>
      </c>
      <c r="I1923">
        <v>938.66666666666697</v>
      </c>
      <c r="J1923">
        <v>38</v>
      </c>
      <c r="K1923" s="12" t="s">
        <v>176</v>
      </c>
      <c r="L1923">
        <v>0</v>
      </c>
      <c r="M1923">
        <v>0</v>
      </c>
      <c r="O1923" s="39"/>
      <c r="P1923" s="16">
        <v>94127.31</v>
      </c>
      <c r="S1923" s="17"/>
    </row>
    <row r="1924" spans="1:19" x14ac:dyDescent="0.4">
      <c r="A1924">
        <v>9650442</v>
      </c>
      <c r="B1924" s="15">
        <v>31</v>
      </c>
      <c r="C1924" s="12" t="s">
        <v>122</v>
      </c>
      <c r="D1924" s="12" t="s">
        <v>134</v>
      </c>
      <c r="E1924" s="12" t="s">
        <v>151</v>
      </c>
      <c r="F1924" s="12" t="s">
        <v>159</v>
      </c>
      <c r="G1924" s="14">
        <f t="shared" ca="1" si="29"/>
        <v>173638.69688696149</v>
      </c>
      <c r="H1924" s="12" t="s">
        <v>172</v>
      </c>
      <c r="I1924">
        <v>1112.6666666666699</v>
      </c>
      <c r="J1924">
        <v>50</v>
      </c>
      <c r="K1924" s="12" t="s">
        <v>176</v>
      </c>
      <c r="L1924">
        <v>0</v>
      </c>
      <c r="M1924">
        <v>0</v>
      </c>
      <c r="O1924" s="39"/>
      <c r="P1924" s="15">
        <v>108894.89</v>
      </c>
      <c r="S1924" s="17"/>
    </row>
    <row r="1925" spans="1:19" x14ac:dyDescent="0.4">
      <c r="A1925">
        <v>9653024</v>
      </c>
      <c r="B1925" s="16">
        <v>60</v>
      </c>
      <c r="C1925" s="12" t="s">
        <v>123</v>
      </c>
      <c r="D1925" s="12" t="s">
        <v>134</v>
      </c>
      <c r="E1925" s="12" t="s">
        <v>152</v>
      </c>
      <c r="F1925" s="12" t="s">
        <v>162</v>
      </c>
      <c r="G1925" s="14">
        <f t="shared" ca="1" si="29"/>
        <v>357121.39529690932</v>
      </c>
      <c r="H1925" s="12" t="s">
        <v>171</v>
      </c>
      <c r="I1925">
        <v>0</v>
      </c>
      <c r="J1925">
        <v>25</v>
      </c>
      <c r="K1925" s="12" t="s">
        <v>176</v>
      </c>
      <c r="L1925">
        <v>0</v>
      </c>
      <c r="M1925">
        <v>0</v>
      </c>
      <c r="O1925" s="39"/>
      <c r="P1925" s="16">
        <v>230440.99</v>
      </c>
      <c r="S1925" s="17"/>
    </row>
    <row r="1926" spans="1:19" x14ac:dyDescent="0.4">
      <c r="A1926">
        <v>9653292</v>
      </c>
      <c r="B1926" s="15">
        <v>28</v>
      </c>
      <c r="C1926" s="12" t="s">
        <v>122</v>
      </c>
      <c r="D1926" s="12" t="s">
        <v>135</v>
      </c>
      <c r="E1926" s="12" t="s">
        <v>149</v>
      </c>
      <c r="F1926" s="12" t="s">
        <v>160</v>
      </c>
      <c r="G1926" s="14">
        <f t="shared" ca="1" si="29"/>
        <v>87206.298287454527</v>
      </c>
      <c r="H1926" s="12" t="s">
        <v>171</v>
      </c>
      <c r="I1926">
        <v>0</v>
      </c>
      <c r="J1926">
        <v>50</v>
      </c>
      <c r="K1926" s="12" t="s">
        <v>176</v>
      </c>
      <c r="L1926">
        <v>0</v>
      </c>
      <c r="M1926">
        <v>1</v>
      </c>
      <c r="O1926" s="39"/>
      <c r="P1926" s="15">
        <v>61076.04</v>
      </c>
      <c r="S1926" s="17"/>
    </row>
    <row r="1927" spans="1:19" x14ac:dyDescent="0.4">
      <c r="A1927">
        <v>9660484</v>
      </c>
      <c r="B1927" s="16">
        <v>61</v>
      </c>
      <c r="C1927" s="12" t="s">
        <v>123</v>
      </c>
      <c r="D1927" s="12" t="s">
        <v>147</v>
      </c>
      <c r="E1927" s="12" t="s">
        <v>152</v>
      </c>
      <c r="F1927" s="12" t="s">
        <v>159</v>
      </c>
      <c r="G1927" s="14">
        <f t="shared" ca="1" si="29"/>
        <v>50210.357680923596</v>
      </c>
      <c r="H1927" s="12" t="s">
        <v>172</v>
      </c>
      <c r="I1927">
        <v>0</v>
      </c>
      <c r="J1927">
        <v>20</v>
      </c>
      <c r="K1927" s="12" t="s">
        <v>176</v>
      </c>
      <c r="L1927">
        <v>0</v>
      </c>
      <c r="M1927">
        <v>0</v>
      </c>
      <c r="O1927" s="39"/>
      <c r="P1927" s="16">
        <v>40922.79</v>
      </c>
      <c r="S1927" s="17"/>
    </row>
    <row r="1928" spans="1:19" x14ac:dyDescent="0.4">
      <c r="A1928">
        <v>9660642</v>
      </c>
      <c r="B1928" s="15">
        <v>36</v>
      </c>
      <c r="C1928" s="12" t="s">
        <v>122</v>
      </c>
      <c r="D1928" s="12" t="s">
        <v>132</v>
      </c>
      <c r="E1928" s="12" t="s">
        <v>152</v>
      </c>
      <c r="F1928" s="12" t="s">
        <v>161</v>
      </c>
      <c r="G1928" s="14">
        <f t="shared" ca="1" si="29"/>
        <v>55825.577700085763</v>
      </c>
      <c r="H1928" s="12" t="s">
        <v>172</v>
      </c>
      <c r="I1928">
        <v>0</v>
      </c>
      <c r="J1928">
        <v>50</v>
      </c>
      <c r="K1928" s="12" t="s">
        <v>176</v>
      </c>
      <c r="L1928">
        <v>12467</v>
      </c>
      <c r="M1928">
        <v>1</v>
      </c>
      <c r="O1928" s="39"/>
      <c r="P1928" s="15">
        <v>49119.89</v>
      </c>
      <c r="S1928" s="17"/>
    </row>
    <row r="1929" spans="1:19" x14ac:dyDescent="0.4">
      <c r="A1929">
        <v>9661022</v>
      </c>
      <c r="B1929" s="16">
        <v>43</v>
      </c>
      <c r="C1929" s="12" t="s">
        <v>122</v>
      </c>
      <c r="D1929" s="12" t="s">
        <v>134</v>
      </c>
      <c r="E1929" s="12" t="s">
        <v>152</v>
      </c>
      <c r="F1929" s="12" t="s">
        <v>160</v>
      </c>
      <c r="G1929" s="14">
        <f t="shared" ca="1" si="29"/>
        <v>46623.066438324327</v>
      </c>
      <c r="H1929" s="12" t="s">
        <v>172</v>
      </c>
      <c r="I1929">
        <v>0</v>
      </c>
      <c r="J1929">
        <v>40</v>
      </c>
      <c r="K1929" s="12" t="s">
        <v>176</v>
      </c>
      <c r="L1929">
        <v>0</v>
      </c>
      <c r="M1929">
        <v>0</v>
      </c>
      <c r="O1929" s="39"/>
      <c r="P1929" s="16">
        <v>25844.57</v>
      </c>
      <c r="S1929" s="17"/>
    </row>
    <row r="1930" spans="1:19" x14ac:dyDescent="0.4">
      <c r="A1930">
        <v>9661220</v>
      </c>
      <c r="B1930" s="15">
        <v>51</v>
      </c>
      <c r="C1930" s="12" t="s">
        <v>123</v>
      </c>
      <c r="D1930" s="12" t="s">
        <v>134</v>
      </c>
      <c r="E1930" s="12" t="s">
        <v>151</v>
      </c>
      <c r="F1930" s="12" t="s">
        <v>162</v>
      </c>
      <c r="G1930" s="14">
        <f t="shared" ca="1" si="29"/>
        <v>147451.7803336572</v>
      </c>
      <c r="H1930" s="12" t="s">
        <v>172</v>
      </c>
      <c r="I1930">
        <v>0</v>
      </c>
      <c r="J1930">
        <v>40</v>
      </c>
      <c r="K1930" s="12" t="s">
        <v>176</v>
      </c>
      <c r="L1930">
        <v>0</v>
      </c>
      <c r="M1930">
        <v>0</v>
      </c>
      <c r="O1930" s="39"/>
      <c r="P1930" s="15">
        <v>111275.28</v>
      </c>
      <c r="S1930" s="17"/>
    </row>
    <row r="1931" spans="1:19" x14ac:dyDescent="0.4">
      <c r="A1931">
        <v>9670418</v>
      </c>
      <c r="B1931" s="16">
        <v>33</v>
      </c>
      <c r="C1931" s="12" t="s">
        <v>122</v>
      </c>
      <c r="D1931" s="12" t="s">
        <v>138</v>
      </c>
      <c r="E1931" s="12" t="s">
        <v>150</v>
      </c>
      <c r="F1931" s="12" t="s">
        <v>160</v>
      </c>
      <c r="G1931" s="14">
        <f t="shared" ref="G1931:G1994" ca="1" si="30">P1931*(1+RAND())</f>
        <v>86220.857868479696</v>
      </c>
      <c r="H1931" s="12" t="s">
        <v>172</v>
      </c>
      <c r="I1931">
        <v>0</v>
      </c>
      <c r="J1931">
        <v>40</v>
      </c>
      <c r="K1931" s="12" t="s">
        <v>176</v>
      </c>
      <c r="L1931">
        <v>10050</v>
      </c>
      <c r="M1931">
        <v>1</v>
      </c>
      <c r="O1931" s="39"/>
      <c r="P1931" s="16">
        <v>63012.31</v>
      </c>
      <c r="S1931" s="17"/>
    </row>
    <row r="1932" spans="1:19" x14ac:dyDescent="0.4">
      <c r="A1932">
        <v>9673398</v>
      </c>
      <c r="B1932" s="15">
        <v>45</v>
      </c>
      <c r="C1932" s="12" t="s">
        <v>122</v>
      </c>
      <c r="D1932" s="12" t="s">
        <v>135</v>
      </c>
      <c r="E1932" s="12" t="s">
        <v>152</v>
      </c>
      <c r="F1932" s="12" t="s">
        <v>160</v>
      </c>
      <c r="G1932" s="14">
        <f t="shared" ca="1" si="30"/>
        <v>60460.105874682471</v>
      </c>
      <c r="H1932" s="12" t="s">
        <v>172</v>
      </c>
      <c r="I1932">
        <v>0</v>
      </c>
      <c r="J1932">
        <v>50</v>
      </c>
      <c r="K1932" s="12" t="s">
        <v>176</v>
      </c>
      <c r="L1932">
        <v>992</v>
      </c>
      <c r="M1932">
        <v>1</v>
      </c>
      <c r="O1932" s="39"/>
      <c r="P1932" s="15">
        <v>33055.279999999999</v>
      </c>
      <c r="S1932" s="17"/>
    </row>
    <row r="1933" spans="1:19" x14ac:dyDescent="0.4">
      <c r="A1933">
        <v>9680231</v>
      </c>
      <c r="B1933" s="16">
        <v>28</v>
      </c>
      <c r="C1933" s="12" t="s">
        <v>122</v>
      </c>
      <c r="D1933" s="12" t="s">
        <v>137</v>
      </c>
      <c r="E1933" s="12" t="s">
        <v>150</v>
      </c>
      <c r="F1933" s="12" t="s">
        <v>164</v>
      </c>
      <c r="G1933" s="14">
        <f t="shared" ca="1" si="30"/>
        <v>94337.735403713436</v>
      </c>
      <c r="H1933" s="12" t="s">
        <v>171</v>
      </c>
      <c r="I1933">
        <v>0</v>
      </c>
      <c r="J1933">
        <v>40</v>
      </c>
      <c r="K1933" s="12" t="s">
        <v>176</v>
      </c>
      <c r="L1933">
        <v>0</v>
      </c>
      <c r="M1933">
        <v>0</v>
      </c>
      <c r="O1933" s="39"/>
      <c r="P1933" s="16">
        <v>91545.36</v>
      </c>
      <c r="S1933" s="17"/>
    </row>
    <row r="1934" spans="1:19" x14ac:dyDescent="0.4">
      <c r="A1934">
        <v>9680364</v>
      </c>
      <c r="B1934" s="15">
        <v>55</v>
      </c>
      <c r="C1934" s="12" t="s">
        <v>122</v>
      </c>
      <c r="D1934" s="12" t="s">
        <v>143</v>
      </c>
      <c r="E1934" s="12" t="s">
        <v>152</v>
      </c>
      <c r="F1934" s="12" t="s">
        <v>159</v>
      </c>
      <c r="G1934" s="14">
        <f t="shared" ca="1" si="30"/>
        <v>66303.605052937055</v>
      </c>
      <c r="H1934" s="12" t="s">
        <v>172</v>
      </c>
      <c r="I1934">
        <v>0</v>
      </c>
      <c r="J1934">
        <v>50</v>
      </c>
      <c r="K1934" s="12" t="s">
        <v>176</v>
      </c>
      <c r="L1934">
        <v>0</v>
      </c>
      <c r="M1934">
        <v>0</v>
      </c>
      <c r="O1934" s="39"/>
      <c r="P1934" s="15">
        <v>33493.58</v>
      </c>
      <c r="S1934" s="17"/>
    </row>
    <row r="1935" spans="1:19" x14ac:dyDescent="0.4">
      <c r="A1935">
        <v>9681070</v>
      </c>
      <c r="B1935" s="16">
        <v>31</v>
      </c>
      <c r="C1935" s="12" t="s">
        <v>122</v>
      </c>
      <c r="D1935" s="12" t="s">
        <v>132</v>
      </c>
      <c r="E1935" s="12" t="s">
        <v>152</v>
      </c>
      <c r="F1935" s="12" t="s">
        <v>159</v>
      </c>
      <c r="G1935" s="14">
        <f t="shared" ca="1" si="30"/>
        <v>41037.296273478736</v>
      </c>
      <c r="H1935" s="12" t="s">
        <v>172</v>
      </c>
      <c r="I1935">
        <v>0</v>
      </c>
      <c r="J1935">
        <v>40</v>
      </c>
      <c r="K1935" s="12" t="s">
        <v>176</v>
      </c>
      <c r="L1935">
        <v>0</v>
      </c>
      <c r="M1935">
        <v>0</v>
      </c>
      <c r="O1935" s="39"/>
      <c r="P1935" s="16">
        <v>22651.21</v>
      </c>
      <c r="S1935" s="17"/>
    </row>
    <row r="1936" spans="1:19" x14ac:dyDescent="0.4">
      <c r="A1936">
        <v>9688736</v>
      </c>
      <c r="B1936" s="15">
        <v>30</v>
      </c>
      <c r="C1936" s="12" t="s">
        <v>122</v>
      </c>
      <c r="D1936" s="12" t="s">
        <v>135</v>
      </c>
      <c r="E1936" s="12" t="s">
        <v>150</v>
      </c>
      <c r="F1936" s="12" t="s">
        <v>144</v>
      </c>
      <c r="G1936" s="14">
        <f t="shared" ca="1" si="30"/>
        <v>136948.17794950437</v>
      </c>
      <c r="H1936" s="12" t="s">
        <v>172</v>
      </c>
      <c r="I1936">
        <v>0</v>
      </c>
      <c r="J1936">
        <v>45</v>
      </c>
      <c r="K1936" s="12" t="s">
        <v>176</v>
      </c>
      <c r="L1936">
        <v>0</v>
      </c>
      <c r="M1936">
        <v>0</v>
      </c>
      <c r="O1936" s="39"/>
      <c r="P1936" s="15">
        <v>92236.39</v>
      </c>
      <c r="S1936" s="17"/>
    </row>
    <row r="1937" spans="1:19" x14ac:dyDescent="0.4">
      <c r="A1937">
        <v>9700769</v>
      </c>
      <c r="B1937" s="16">
        <v>32</v>
      </c>
      <c r="C1937" s="12" t="s">
        <v>122</v>
      </c>
      <c r="D1937" s="12" t="s">
        <v>134</v>
      </c>
      <c r="E1937" s="12" t="s">
        <v>150</v>
      </c>
      <c r="F1937" s="12" t="s">
        <v>156</v>
      </c>
      <c r="G1937" s="14">
        <f t="shared" ca="1" si="30"/>
        <v>158970.05803670941</v>
      </c>
      <c r="H1937" s="12" t="s">
        <v>171</v>
      </c>
      <c r="I1937">
        <v>0</v>
      </c>
      <c r="J1937">
        <v>40</v>
      </c>
      <c r="K1937" s="12" t="s">
        <v>176</v>
      </c>
      <c r="L1937">
        <v>0</v>
      </c>
      <c r="M1937">
        <v>0</v>
      </c>
      <c r="O1937" s="39"/>
      <c r="P1937" s="16">
        <v>126572.84</v>
      </c>
      <c r="S1937" s="17"/>
    </row>
    <row r="1938" spans="1:19" x14ac:dyDescent="0.4">
      <c r="A1938">
        <v>9702416</v>
      </c>
      <c r="B1938" s="15">
        <v>43</v>
      </c>
      <c r="C1938" s="12" t="s">
        <v>122</v>
      </c>
      <c r="D1938" s="12" t="s">
        <v>133</v>
      </c>
      <c r="E1938" s="12" t="s">
        <v>152</v>
      </c>
      <c r="F1938" s="12" t="s">
        <v>162</v>
      </c>
      <c r="G1938" s="14">
        <f t="shared" ca="1" si="30"/>
        <v>95822.50095548082</v>
      </c>
      <c r="H1938" s="12" t="s">
        <v>172</v>
      </c>
      <c r="I1938">
        <v>0</v>
      </c>
      <c r="J1938">
        <v>40</v>
      </c>
      <c r="K1938" s="12" t="s">
        <v>176</v>
      </c>
      <c r="L1938">
        <v>0</v>
      </c>
      <c r="M1938">
        <v>0</v>
      </c>
      <c r="O1938" s="39"/>
      <c r="P1938" s="15">
        <v>59350.35</v>
      </c>
      <c r="S1938" s="17"/>
    </row>
    <row r="1939" spans="1:19" x14ac:dyDescent="0.4">
      <c r="A1939">
        <v>9708861</v>
      </c>
      <c r="B1939" s="16">
        <v>37</v>
      </c>
      <c r="C1939" s="12" t="s">
        <v>122</v>
      </c>
      <c r="D1939" s="12" t="s">
        <v>135</v>
      </c>
      <c r="E1939" s="12" t="s">
        <v>152</v>
      </c>
      <c r="F1939" s="12" t="s">
        <v>160</v>
      </c>
      <c r="G1939" s="14">
        <f t="shared" ca="1" si="30"/>
        <v>79571.222225841935</v>
      </c>
      <c r="H1939" s="12" t="s">
        <v>172</v>
      </c>
      <c r="I1939">
        <v>0</v>
      </c>
      <c r="J1939">
        <v>40</v>
      </c>
      <c r="K1939" s="12" t="s">
        <v>176</v>
      </c>
      <c r="L1939">
        <v>15024</v>
      </c>
      <c r="M1939">
        <v>1</v>
      </c>
      <c r="O1939" s="39"/>
      <c r="P1939" s="16">
        <v>59792.76</v>
      </c>
      <c r="S1939" s="17"/>
    </row>
    <row r="1940" spans="1:19" x14ac:dyDescent="0.4">
      <c r="A1940">
        <v>9708939</v>
      </c>
      <c r="B1940" s="15">
        <v>17</v>
      </c>
      <c r="C1940" s="12" t="s">
        <v>129</v>
      </c>
      <c r="D1940" s="12" t="s">
        <v>140</v>
      </c>
      <c r="E1940" s="12" t="s">
        <v>150</v>
      </c>
      <c r="F1940" s="12" t="s">
        <v>129</v>
      </c>
      <c r="G1940" s="14">
        <f t="shared" ca="1" si="30"/>
        <v>249809.72589863389</v>
      </c>
      <c r="H1940" s="12" t="s">
        <v>172</v>
      </c>
      <c r="I1940">
        <v>0</v>
      </c>
      <c r="J1940">
        <v>40</v>
      </c>
      <c r="K1940" s="12" t="s">
        <v>176</v>
      </c>
      <c r="L1940">
        <v>0</v>
      </c>
      <c r="M1940">
        <v>0</v>
      </c>
      <c r="O1940" s="39"/>
      <c r="P1940" s="15">
        <v>195065.14</v>
      </c>
      <c r="S1940" s="17"/>
    </row>
    <row r="1941" spans="1:19" x14ac:dyDescent="0.4">
      <c r="A1941">
        <v>9712693</v>
      </c>
      <c r="B1941" s="16">
        <v>60</v>
      </c>
      <c r="C1941" s="12" t="s">
        <v>122</v>
      </c>
      <c r="D1941" s="12" t="s">
        <v>134</v>
      </c>
      <c r="E1941" s="12" t="s">
        <v>152</v>
      </c>
      <c r="F1941" s="12" t="s">
        <v>166</v>
      </c>
      <c r="G1941" s="14">
        <f t="shared" ca="1" si="30"/>
        <v>18437.681939583759</v>
      </c>
      <c r="H1941" s="12" t="s">
        <v>172</v>
      </c>
      <c r="I1941">
        <v>0</v>
      </c>
      <c r="J1941">
        <v>40</v>
      </c>
      <c r="K1941" s="12" t="s">
        <v>176</v>
      </c>
      <c r="L1941">
        <v>0</v>
      </c>
      <c r="M1941">
        <v>0</v>
      </c>
      <c r="O1941" s="39"/>
      <c r="P1941" s="16">
        <v>12224.01</v>
      </c>
      <c r="S1941" s="17"/>
    </row>
    <row r="1942" spans="1:19" x14ac:dyDescent="0.4">
      <c r="A1942">
        <v>9713366</v>
      </c>
      <c r="B1942" s="15">
        <v>40</v>
      </c>
      <c r="C1942" s="12" t="s">
        <v>122</v>
      </c>
      <c r="D1942" s="12" t="s">
        <v>132</v>
      </c>
      <c r="E1942" s="12" t="s">
        <v>152</v>
      </c>
      <c r="F1942" s="12" t="s">
        <v>158</v>
      </c>
      <c r="G1942" s="14">
        <f t="shared" ca="1" si="30"/>
        <v>107335.8180992533</v>
      </c>
      <c r="H1942" s="12" t="s">
        <v>172</v>
      </c>
      <c r="I1942">
        <v>0</v>
      </c>
      <c r="J1942">
        <v>55</v>
      </c>
      <c r="K1942" s="12" t="s">
        <v>176</v>
      </c>
      <c r="L1942">
        <v>4713</v>
      </c>
      <c r="M1942">
        <v>1</v>
      </c>
      <c r="O1942" s="39"/>
      <c r="P1942" s="15">
        <v>58086.76</v>
      </c>
      <c r="S1942" s="17"/>
    </row>
    <row r="1943" spans="1:19" x14ac:dyDescent="0.4">
      <c r="A1943">
        <v>9717671</v>
      </c>
      <c r="B1943" s="16">
        <v>53</v>
      </c>
      <c r="C1943" s="12" t="s">
        <v>123</v>
      </c>
      <c r="D1943" s="12" t="s">
        <v>134</v>
      </c>
      <c r="E1943" s="12" t="s">
        <v>152</v>
      </c>
      <c r="F1943" s="12" t="s">
        <v>160</v>
      </c>
      <c r="G1943" s="14">
        <f t="shared" ca="1" si="30"/>
        <v>42209.232481622086</v>
      </c>
      <c r="H1943" s="12" t="s">
        <v>172</v>
      </c>
      <c r="I1943">
        <v>0</v>
      </c>
      <c r="J1943">
        <v>45</v>
      </c>
      <c r="K1943" s="12" t="s">
        <v>176</v>
      </c>
      <c r="L1943">
        <v>0</v>
      </c>
      <c r="M1943">
        <v>1</v>
      </c>
      <c r="O1943" s="39"/>
      <c r="P1943" s="16">
        <v>37678.120000000003</v>
      </c>
      <c r="S1943" s="17"/>
    </row>
    <row r="1944" spans="1:19" x14ac:dyDescent="0.4">
      <c r="A1944">
        <v>9721504</v>
      </c>
      <c r="B1944" s="15">
        <v>28</v>
      </c>
      <c r="C1944" s="12" t="s">
        <v>122</v>
      </c>
      <c r="D1944" s="12" t="s">
        <v>135</v>
      </c>
      <c r="E1944" s="12" t="s">
        <v>152</v>
      </c>
      <c r="F1944" s="12" t="s">
        <v>159</v>
      </c>
      <c r="G1944" s="14">
        <f t="shared" ca="1" si="30"/>
        <v>52389.17587117575</v>
      </c>
      <c r="H1944" s="12" t="s">
        <v>172</v>
      </c>
      <c r="I1944">
        <v>0</v>
      </c>
      <c r="J1944">
        <v>40</v>
      </c>
      <c r="K1944" s="12" t="s">
        <v>176</v>
      </c>
      <c r="L1944">
        <v>0</v>
      </c>
      <c r="M1944">
        <v>0</v>
      </c>
      <c r="O1944" s="39"/>
      <c r="P1944" s="15">
        <v>37757.550000000003</v>
      </c>
      <c r="S1944" s="17"/>
    </row>
    <row r="1945" spans="1:19" x14ac:dyDescent="0.4">
      <c r="A1945">
        <v>9726352</v>
      </c>
      <c r="B1945" s="16">
        <v>41</v>
      </c>
      <c r="C1945" s="12" t="s">
        <v>122</v>
      </c>
      <c r="D1945" s="12" t="s">
        <v>145</v>
      </c>
      <c r="E1945" s="12" t="s">
        <v>151</v>
      </c>
      <c r="F1945" s="12" t="s">
        <v>159</v>
      </c>
      <c r="G1945" s="14">
        <f t="shared" ca="1" si="30"/>
        <v>147349.6140917069</v>
      </c>
      <c r="H1945" s="12" t="s">
        <v>172</v>
      </c>
      <c r="I1945">
        <v>1060</v>
      </c>
      <c r="J1945">
        <v>40</v>
      </c>
      <c r="K1945" s="12" t="s">
        <v>176</v>
      </c>
      <c r="L1945">
        <v>0</v>
      </c>
      <c r="M1945">
        <v>0</v>
      </c>
      <c r="O1945" s="39"/>
      <c r="P1945" s="16">
        <v>77797.98</v>
      </c>
      <c r="S1945" s="17"/>
    </row>
    <row r="1946" spans="1:19" x14ac:dyDescent="0.4">
      <c r="A1946">
        <v>9727749</v>
      </c>
      <c r="B1946" s="15">
        <v>26</v>
      </c>
      <c r="C1946" s="12" t="s">
        <v>122</v>
      </c>
      <c r="D1946" s="12" t="s">
        <v>134</v>
      </c>
      <c r="E1946" s="12" t="s">
        <v>150</v>
      </c>
      <c r="F1946" s="12" t="s">
        <v>162</v>
      </c>
      <c r="G1946" s="14">
        <f t="shared" ca="1" si="30"/>
        <v>128686.71681735752</v>
      </c>
      <c r="H1946" s="12" t="s">
        <v>172</v>
      </c>
      <c r="I1946">
        <v>0</v>
      </c>
      <c r="J1946">
        <v>40</v>
      </c>
      <c r="K1946" s="12" t="s">
        <v>176</v>
      </c>
      <c r="L1946">
        <v>0</v>
      </c>
      <c r="M1946">
        <v>0</v>
      </c>
      <c r="O1946" s="39"/>
      <c r="P1946" s="15">
        <v>81562.92</v>
      </c>
      <c r="S1946" s="17"/>
    </row>
    <row r="1947" spans="1:19" x14ac:dyDescent="0.4">
      <c r="A1947">
        <v>9732546</v>
      </c>
      <c r="B1947" s="16">
        <v>32</v>
      </c>
      <c r="C1947" s="12" t="s">
        <v>122</v>
      </c>
      <c r="D1947" s="12" t="s">
        <v>134</v>
      </c>
      <c r="E1947" s="12" t="s">
        <v>151</v>
      </c>
      <c r="F1947" s="12" t="s">
        <v>156</v>
      </c>
      <c r="G1947" s="14">
        <f t="shared" ca="1" si="30"/>
        <v>285055.21054755111</v>
      </c>
      <c r="H1947" s="12" t="s">
        <v>171</v>
      </c>
      <c r="I1947">
        <v>0</v>
      </c>
      <c r="J1947">
        <v>35</v>
      </c>
      <c r="K1947" s="12" t="s">
        <v>176</v>
      </c>
      <c r="L1947">
        <v>0</v>
      </c>
      <c r="M1947">
        <v>0</v>
      </c>
      <c r="O1947" s="39"/>
      <c r="P1947" s="16">
        <v>202147.56</v>
      </c>
      <c r="S1947" s="17"/>
    </row>
    <row r="1948" spans="1:19" x14ac:dyDescent="0.4">
      <c r="A1948">
        <v>9733745</v>
      </c>
      <c r="B1948" s="15">
        <v>55</v>
      </c>
      <c r="C1948" s="12" t="s">
        <v>122</v>
      </c>
      <c r="D1948" s="12" t="s">
        <v>139</v>
      </c>
      <c r="E1948" s="12" t="s">
        <v>153</v>
      </c>
      <c r="F1948" s="12" t="s">
        <v>164</v>
      </c>
      <c r="G1948" s="14">
        <f t="shared" ca="1" si="30"/>
        <v>273219.87215486303</v>
      </c>
      <c r="H1948" s="12" t="s">
        <v>171</v>
      </c>
      <c r="I1948">
        <v>0</v>
      </c>
      <c r="J1948">
        <v>40</v>
      </c>
      <c r="K1948" s="12" t="s">
        <v>176</v>
      </c>
      <c r="L1948">
        <v>0</v>
      </c>
      <c r="M1948">
        <v>0</v>
      </c>
      <c r="O1948" s="39"/>
      <c r="P1948" s="15">
        <v>148760.26</v>
      </c>
      <c r="S1948" s="17"/>
    </row>
    <row r="1949" spans="1:19" x14ac:dyDescent="0.4">
      <c r="A1949">
        <v>9734297</v>
      </c>
      <c r="B1949" s="16">
        <v>50</v>
      </c>
      <c r="C1949" s="12" t="s">
        <v>122</v>
      </c>
      <c r="D1949" s="12" t="s">
        <v>134</v>
      </c>
      <c r="E1949" s="12" t="s">
        <v>151</v>
      </c>
      <c r="F1949" s="12" t="s">
        <v>158</v>
      </c>
      <c r="G1949" s="14">
        <f t="shared" ca="1" si="30"/>
        <v>118765.87742944369</v>
      </c>
      <c r="H1949" s="12" t="s">
        <v>171</v>
      </c>
      <c r="I1949">
        <v>0</v>
      </c>
      <c r="J1949">
        <v>35</v>
      </c>
      <c r="K1949" s="12" t="s">
        <v>176</v>
      </c>
      <c r="L1949">
        <v>0</v>
      </c>
      <c r="M1949">
        <v>0</v>
      </c>
      <c r="O1949" s="39"/>
      <c r="P1949" s="16">
        <v>106739.42</v>
      </c>
      <c r="S1949" s="17"/>
    </row>
    <row r="1950" spans="1:19" x14ac:dyDescent="0.4">
      <c r="A1950">
        <v>9742037</v>
      </c>
      <c r="B1950" s="15">
        <v>39</v>
      </c>
      <c r="C1950" s="12" t="s">
        <v>122</v>
      </c>
      <c r="D1950" s="12" t="s">
        <v>134</v>
      </c>
      <c r="E1950" s="12" t="s">
        <v>150</v>
      </c>
      <c r="F1950" s="12" t="s">
        <v>158</v>
      </c>
      <c r="G1950" s="14">
        <f t="shared" ca="1" si="30"/>
        <v>200368.67643860201</v>
      </c>
      <c r="H1950" s="12" t="s">
        <v>171</v>
      </c>
      <c r="I1950">
        <v>0</v>
      </c>
      <c r="J1950">
        <v>40</v>
      </c>
      <c r="K1950" s="12" t="s">
        <v>176</v>
      </c>
      <c r="L1950">
        <v>0</v>
      </c>
      <c r="M1950">
        <v>1</v>
      </c>
      <c r="O1950" s="39"/>
      <c r="P1950" s="15">
        <v>194625.75</v>
      </c>
      <c r="S1950" s="17"/>
    </row>
    <row r="1951" spans="1:19" x14ac:dyDescent="0.4">
      <c r="A1951">
        <v>9747618</v>
      </c>
      <c r="B1951" s="16">
        <v>46</v>
      </c>
      <c r="C1951" s="12" t="s">
        <v>122</v>
      </c>
      <c r="D1951" s="12" t="s">
        <v>140</v>
      </c>
      <c r="E1951" s="12" t="s">
        <v>154</v>
      </c>
      <c r="F1951" s="12" t="s">
        <v>156</v>
      </c>
      <c r="G1951" s="14">
        <f t="shared" ca="1" si="30"/>
        <v>130182.04646029914</v>
      </c>
      <c r="H1951" s="12" t="s">
        <v>172</v>
      </c>
      <c r="I1951">
        <v>0</v>
      </c>
      <c r="J1951">
        <v>37</v>
      </c>
      <c r="K1951" s="12" t="s">
        <v>191</v>
      </c>
      <c r="L1951">
        <v>0</v>
      </c>
      <c r="M1951">
        <v>0</v>
      </c>
      <c r="O1951" s="39"/>
      <c r="P1951" s="16">
        <v>82756.91</v>
      </c>
      <c r="S1951" s="17"/>
    </row>
    <row r="1952" spans="1:19" x14ac:dyDescent="0.4">
      <c r="A1952">
        <v>9748834</v>
      </c>
      <c r="B1952" s="15">
        <v>40</v>
      </c>
      <c r="C1952" s="12" t="s">
        <v>122</v>
      </c>
      <c r="D1952" s="12" t="s">
        <v>132</v>
      </c>
      <c r="E1952" s="12" t="s">
        <v>152</v>
      </c>
      <c r="F1952" s="12" t="s">
        <v>161</v>
      </c>
      <c r="G1952" s="14">
        <f t="shared" ca="1" si="30"/>
        <v>33078.909761807889</v>
      </c>
      <c r="H1952" s="12" t="s">
        <v>172</v>
      </c>
      <c r="I1952">
        <v>0</v>
      </c>
      <c r="J1952">
        <v>45</v>
      </c>
      <c r="K1952" s="12" t="s">
        <v>176</v>
      </c>
      <c r="L1952">
        <v>0</v>
      </c>
      <c r="M1952">
        <v>0</v>
      </c>
      <c r="O1952" s="39"/>
      <c r="P1952" s="15">
        <v>19608.66</v>
      </c>
      <c r="S1952" s="17"/>
    </row>
    <row r="1953" spans="1:19" x14ac:dyDescent="0.4">
      <c r="A1953">
        <v>9750086</v>
      </c>
      <c r="B1953" s="16">
        <v>39</v>
      </c>
      <c r="C1953" s="12" t="s">
        <v>122</v>
      </c>
      <c r="D1953" s="12" t="s">
        <v>134</v>
      </c>
      <c r="E1953" s="12" t="s">
        <v>150</v>
      </c>
      <c r="F1953" s="12" t="s">
        <v>159</v>
      </c>
      <c r="G1953" s="14">
        <f t="shared" ca="1" si="30"/>
        <v>66829.084756270604</v>
      </c>
      <c r="H1953" s="12" t="s">
        <v>172</v>
      </c>
      <c r="I1953">
        <v>2258</v>
      </c>
      <c r="J1953">
        <v>42</v>
      </c>
      <c r="K1953" s="12" t="s">
        <v>176</v>
      </c>
      <c r="L1953">
        <v>3570</v>
      </c>
      <c r="M1953">
        <v>1</v>
      </c>
      <c r="O1953" s="39"/>
      <c r="P1953" s="16">
        <v>46967.93</v>
      </c>
      <c r="S1953" s="17"/>
    </row>
    <row r="1954" spans="1:19" x14ac:dyDescent="0.4">
      <c r="A1954">
        <v>9761787</v>
      </c>
      <c r="B1954" s="15">
        <v>57</v>
      </c>
      <c r="C1954" s="12" t="s">
        <v>122</v>
      </c>
      <c r="D1954" s="12" t="s">
        <v>135</v>
      </c>
      <c r="E1954" s="12" t="s">
        <v>152</v>
      </c>
      <c r="F1954" s="12" t="s">
        <v>160</v>
      </c>
      <c r="G1954" s="14">
        <f t="shared" ca="1" si="30"/>
        <v>46848.078007061333</v>
      </c>
      <c r="H1954" s="12" t="s">
        <v>172</v>
      </c>
      <c r="I1954">
        <v>0</v>
      </c>
      <c r="J1954">
        <v>40</v>
      </c>
      <c r="K1954" s="12" t="s">
        <v>129</v>
      </c>
      <c r="L1954">
        <v>308</v>
      </c>
      <c r="M1954">
        <v>1</v>
      </c>
      <c r="O1954" s="39"/>
      <c r="P1954" s="15">
        <v>37190</v>
      </c>
      <c r="S1954" s="17"/>
    </row>
    <row r="1955" spans="1:19" x14ac:dyDescent="0.4">
      <c r="A1955">
        <v>9768182</v>
      </c>
      <c r="B1955" s="16">
        <v>39</v>
      </c>
      <c r="C1955" s="12" t="s">
        <v>122</v>
      </c>
      <c r="D1955" s="12" t="s">
        <v>137</v>
      </c>
      <c r="E1955" s="12" t="s">
        <v>151</v>
      </c>
      <c r="F1955" s="12" t="s">
        <v>160</v>
      </c>
      <c r="G1955" s="14">
        <f t="shared" ca="1" si="30"/>
        <v>246482.55923595742</v>
      </c>
      <c r="H1955" s="12" t="s">
        <v>171</v>
      </c>
      <c r="I1955">
        <v>0</v>
      </c>
      <c r="J1955">
        <v>40</v>
      </c>
      <c r="K1955" s="12" t="s">
        <v>176</v>
      </c>
      <c r="L1955">
        <v>0</v>
      </c>
      <c r="M1955">
        <v>0</v>
      </c>
      <c r="O1955" s="39"/>
      <c r="P1955" s="16">
        <v>154519.19</v>
      </c>
      <c r="S1955" s="17"/>
    </row>
    <row r="1956" spans="1:19" x14ac:dyDescent="0.4">
      <c r="A1956">
        <v>9768466</v>
      </c>
      <c r="B1956" s="15">
        <v>53</v>
      </c>
      <c r="C1956" s="12" t="s">
        <v>124</v>
      </c>
      <c r="D1956" s="12" t="s">
        <v>135</v>
      </c>
      <c r="E1956" s="12" t="s">
        <v>152</v>
      </c>
      <c r="F1956" s="12" t="s">
        <v>158</v>
      </c>
      <c r="G1956" s="14">
        <f t="shared" ca="1" si="30"/>
        <v>388714.37450672465</v>
      </c>
      <c r="H1956" s="12" t="s">
        <v>171</v>
      </c>
      <c r="I1956">
        <v>0</v>
      </c>
      <c r="J1956">
        <v>50</v>
      </c>
      <c r="K1956" s="12" t="s">
        <v>183</v>
      </c>
      <c r="L1956">
        <v>0</v>
      </c>
      <c r="M1956">
        <v>0</v>
      </c>
      <c r="O1956" s="39"/>
      <c r="P1956" s="15">
        <v>253732.98</v>
      </c>
      <c r="S1956" s="17"/>
    </row>
    <row r="1957" spans="1:19" x14ac:dyDescent="0.4">
      <c r="A1957">
        <v>9773292</v>
      </c>
      <c r="B1957" s="16">
        <v>26</v>
      </c>
      <c r="C1957" s="12" t="s">
        <v>125</v>
      </c>
      <c r="D1957" s="12" t="s">
        <v>132</v>
      </c>
      <c r="E1957" s="12" t="s">
        <v>152</v>
      </c>
      <c r="F1957" s="12" t="s">
        <v>144</v>
      </c>
      <c r="G1957" s="14">
        <f t="shared" ca="1" si="30"/>
        <v>95130.8735651717</v>
      </c>
      <c r="H1957" s="12" t="s">
        <v>172</v>
      </c>
      <c r="I1957">
        <v>0</v>
      </c>
      <c r="J1957">
        <v>40</v>
      </c>
      <c r="K1957" s="12" t="s">
        <v>176</v>
      </c>
      <c r="L1957">
        <v>0</v>
      </c>
      <c r="M1957">
        <v>0</v>
      </c>
      <c r="O1957" s="39"/>
      <c r="P1957" s="16">
        <v>62591.86</v>
      </c>
      <c r="S1957" s="17"/>
    </row>
    <row r="1958" spans="1:19" x14ac:dyDescent="0.4">
      <c r="A1958">
        <v>9776005</v>
      </c>
      <c r="B1958" s="15">
        <v>45</v>
      </c>
      <c r="C1958" s="12" t="s">
        <v>122</v>
      </c>
      <c r="D1958" s="12" t="s">
        <v>132</v>
      </c>
      <c r="E1958" s="12" t="s">
        <v>152</v>
      </c>
      <c r="F1958" s="12" t="s">
        <v>157</v>
      </c>
      <c r="G1958" s="14">
        <f t="shared" ca="1" si="30"/>
        <v>59794.177581617339</v>
      </c>
      <c r="H1958" s="12" t="s">
        <v>172</v>
      </c>
      <c r="I1958">
        <v>0</v>
      </c>
      <c r="J1958">
        <v>55</v>
      </c>
      <c r="K1958" s="12" t="s">
        <v>176</v>
      </c>
      <c r="L1958">
        <v>0</v>
      </c>
      <c r="M1958">
        <v>0</v>
      </c>
      <c r="O1958" s="39"/>
      <c r="P1958" s="15">
        <v>33317.040000000001</v>
      </c>
      <c r="S1958" s="17"/>
    </row>
    <row r="1959" spans="1:19" x14ac:dyDescent="0.4">
      <c r="A1959">
        <v>9780096</v>
      </c>
      <c r="B1959" s="16">
        <v>41</v>
      </c>
      <c r="C1959" s="12" t="s">
        <v>122</v>
      </c>
      <c r="D1959" s="12" t="s">
        <v>135</v>
      </c>
      <c r="E1959" s="12" t="s">
        <v>151</v>
      </c>
      <c r="F1959" s="12" t="s">
        <v>160</v>
      </c>
      <c r="G1959" s="14">
        <f t="shared" ca="1" si="30"/>
        <v>29426.484929198516</v>
      </c>
      <c r="H1959" s="12" t="s">
        <v>172</v>
      </c>
      <c r="I1959">
        <v>0</v>
      </c>
      <c r="J1959">
        <v>50</v>
      </c>
      <c r="K1959" s="12" t="s">
        <v>176</v>
      </c>
      <c r="L1959">
        <v>904</v>
      </c>
      <c r="M1959">
        <v>1</v>
      </c>
      <c r="O1959" s="39"/>
      <c r="P1959" s="16">
        <v>25002.3</v>
      </c>
      <c r="S1959" s="17"/>
    </row>
    <row r="1960" spans="1:19" x14ac:dyDescent="0.4">
      <c r="A1960">
        <v>9795905</v>
      </c>
      <c r="B1960" s="15">
        <v>42</v>
      </c>
      <c r="C1960" s="12" t="s">
        <v>122</v>
      </c>
      <c r="D1960" s="12" t="s">
        <v>134</v>
      </c>
      <c r="E1960" s="12" t="s">
        <v>150</v>
      </c>
      <c r="F1960" s="12" t="s">
        <v>159</v>
      </c>
      <c r="G1960" s="14">
        <f t="shared" ca="1" si="30"/>
        <v>147036.69248190444</v>
      </c>
      <c r="H1960" s="12" t="s">
        <v>172</v>
      </c>
      <c r="I1960">
        <v>0</v>
      </c>
      <c r="J1960">
        <v>40</v>
      </c>
      <c r="K1960" s="12" t="s">
        <v>176</v>
      </c>
      <c r="L1960">
        <v>0</v>
      </c>
      <c r="M1960">
        <v>0</v>
      </c>
      <c r="O1960" s="39"/>
      <c r="P1960" s="15">
        <v>81695.14</v>
      </c>
      <c r="S1960" s="17"/>
    </row>
    <row r="1961" spans="1:19" x14ac:dyDescent="0.4">
      <c r="A1961">
        <v>9805191</v>
      </c>
      <c r="B1961" s="16">
        <v>23</v>
      </c>
      <c r="C1961" s="12" t="s">
        <v>122</v>
      </c>
      <c r="D1961" s="12" t="s">
        <v>132</v>
      </c>
      <c r="E1961" s="12" t="s">
        <v>150</v>
      </c>
      <c r="F1961" s="12" t="s">
        <v>162</v>
      </c>
      <c r="G1961" s="14">
        <f t="shared" ca="1" si="30"/>
        <v>141305.6288937224</v>
      </c>
      <c r="H1961" s="12" t="s">
        <v>172</v>
      </c>
      <c r="I1961">
        <v>0</v>
      </c>
      <c r="J1961">
        <v>40</v>
      </c>
      <c r="K1961" s="12" t="s">
        <v>176</v>
      </c>
      <c r="L1961">
        <v>0</v>
      </c>
      <c r="M1961">
        <v>0</v>
      </c>
      <c r="O1961" s="39"/>
      <c r="P1961" s="16">
        <v>88467.13</v>
      </c>
      <c r="S1961" s="17"/>
    </row>
    <row r="1962" spans="1:19" x14ac:dyDescent="0.4">
      <c r="A1962">
        <v>9813952</v>
      </c>
      <c r="B1962" s="15">
        <v>32</v>
      </c>
      <c r="C1962" s="12" t="s">
        <v>122</v>
      </c>
      <c r="D1962" s="12" t="s">
        <v>135</v>
      </c>
      <c r="E1962" s="12" t="s">
        <v>152</v>
      </c>
      <c r="F1962" s="12" t="s">
        <v>162</v>
      </c>
      <c r="G1962" s="14">
        <f t="shared" ca="1" si="30"/>
        <v>32184.822302578908</v>
      </c>
      <c r="H1962" s="12" t="s">
        <v>172</v>
      </c>
      <c r="I1962">
        <v>0</v>
      </c>
      <c r="J1962">
        <v>42</v>
      </c>
      <c r="K1962" s="12" t="s">
        <v>176</v>
      </c>
      <c r="L1962">
        <v>0</v>
      </c>
      <c r="M1962">
        <v>1</v>
      </c>
      <c r="O1962" s="39"/>
      <c r="P1962" s="15">
        <v>30967.52</v>
      </c>
      <c r="S1962" s="17"/>
    </row>
    <row r="1963" spans="1:19" x14ac:dyDescent="0.4">
      <c r="A1963">
        <v>9814872</v>
      </c>
      <c r="B1963" s="16">
        <v>62</v>
      </c>
      <c r="C1963" s="12" t="s">
        <v>129</v>
      </c>
      <c r="D1963" s="12" t="s">
        <v>139</v>
      </c>
      <c r="E1963" s="12" t="s">
        <v>151</v>
      </c>
      <c r="F1963" s="12" t="s">
        <v>129</v>
      </c>
      <c r="G1963" s="14">
        <f t="shared" ca="1" si="30"/>
        <v>130729.12983682053</v>
      </c>
      <c r="H1963" s="12" t="s">
        <v>171</v>
      </c>
      <c r="I1963">
        <v>0</v>
      </c>
      <c r="J1963">
        <v>40</v>
      </c>
      <c r="K1963" s="12" t="s">
        <v>176</v>
      </c>
      <c r="L1963">
        <v>0</v>
      </c>
      <c r="M1963">
        <v>0</v>
      </c>
      <c r="O1963" s="39"/>
      <c r="P1963" s="16">
        <v>65917.570000000007</v>
      </c>
      <c r="S1963" s="17"/>
    </row>
    <row r="1964" spans="1:19" x14ac:dyDescent="0.4">
      <c r="A1964">
        <v>9815798</v>
      </c>
      <c r="B1964" s="15">
        <v>27</v>
      </c>
      <c r="C1964" s="12" t="s">
        <v>122</v>
      </c>
      <c r="D1964" s="12" t="s">
        <v>132</v>
      </c>
      <c r="E1964" s="12" t="s">
        <v>150</v>
      </c>
      <c r="F1964" s="12" t="s">
        <v>160</v>
      </c>
      <c r="G1964" s="14">
        <f t="shared" ca="1" si="30"/>
        <v>72464.59995283524</v>
      </c>
      <c r="H1964" s="12" t="s">
        <v>172</v>
      </c>
      <c r="I1964">
        <v>0</v>
      </c>
      <c r="J1964">
        <v>45</v>
      </c>
      <c r="K1964" s="12" t="s">
        <v>176</v>
      </c>
      <c r="L1964">
        <v>0</v>
      </c>
      <c r="M1964">
        <v>0</v>
      </c>
      <c r="O1964" s="39"/>
      <c r="P1964" s="15">
        <v>62471.07</v>
      </c>
      <c r="S1964" s="17"/>
    </row>
    <row r="1965" spans="1:19" x14ac:dyDescent="0.4">
      <c r="A1965">
        <v>9818003</v>
      </c>
      <c r="B1965" s="16">
        <v>90</v>
      </c>
      <c r="C1965" s="12" t="s">
        <v>129</v>
      </c>
      <c r="D1965" s="12" t="s">
        <v>134</v>
      </c>
      <c r="E1965" s="12" t="s">
        <v>153</v>
      </c>
      <c r="F1965" s="12" t="s">
        <v>129</v>
      </c>
      <c r="G1965" s="14">
        <f t="shared" ca="1" si="30"/>
        <v>167352.36167445104</v>
      </c>
      <c r="H1965" s="12" t="s">
        <v>172</v>
      </c>
      <c r="I1965">
        <v>0</v>
      </c>
      <c r="J1965">
        <v>4</v>
      </c>
      <c r="K1965" s="12" t="s">
        <v>176</v>
      </c>
      <c r="L1965">
        <v>0</v>
      </c>
      <c r="M1965">
        <v>0</v>
      </c>
      <c r="O1965" s="39"/>
      <c r="P1965" s="16">
        <v>116992.86</v>
      </c>
      <c r="S1965" s="17"/>
    </row>
    <row r="1966" spans="1:19" x14ac:dyDescent="0.4">
      <c r="A1966">
        <v>9824671</v>
      </c>
      <c r="B1966" s="15">
        <v>47</v>
      </c>
      <c r="C1966" s="12" t="s">
        <v>122</v>
      </c>
      <c r="D1966" s="12" t="s">
        <v>137</v>
      </c>
      <c r="E1966" s="12" t="s">
        <v>152</v>
      </c>
      <c r="F1966" s="12" t="s">
        <v>144</v>
      </c>
      <c r="G1966" s="14">
        <f t="shared" ca="1" si="30"/>
        <v>66049.378466948969</v>
      </c>
      <c r="H1966" s="12" t="s">
        <v>172</v>
      </c>
      <c r="I1966">
        <v>0</v>
      </c>
      <c r="J1966">
        <v>40</v>
      </c>
      <c r="K1966" s="12" t="s">
        <v>176</v>
      </c>
      <c r="L1966">
        <v>0</v>
      </c>
      <c r="M1966">
        <v>1</v>
      </c>
      <c r="O1966" s="39"/>
      <c r="P1966" s="15">
        <v>53662.76</v>
      </c>
      <c r="S1966" s="17"/>
    </row>
    <row r="1967" spans="1:19" x14ac:dyDescent="0.4">
      <c r="A1967">
        <v>9825375</v>
      </c>
      <c r="B1967" s="16">
        <v>31</v>
      </c>
      <c r="C1967" s="12" t="s">
        <v>122</v>
      </c>
      <c r="D1967" s="12" t="s">
        <v>140</v>
      </c>
      <c r="E1967" s="12" t="s">
        <v>151</v>
      </c>
      <c r="F1967" s="12" t="s">
        <v>164</v>
      </c>
      <c r="G1967" s="14">
        <f t="shared" ca="1" si="30"/>
        <v>73643.439647852603</v>
      </c>
      <c r="H1967" s="12" t="s">
        <v>172</v>
      </c>
      <c r="I1967">
        <v>0</v>
      </c>
      <c r="J1967">
        <v>40</v>
      </c>
      <c r="K1967" s="12" t="s">
        <v>176</v>
      </c>
      <c r="L1967">
        <v>0</v>
      </c>
      <c r="M1967">
        <v>0</v>
      </c>
      <c r="O1967" s="39"/>
      <c r="P1967" s="16">
        <v>48292.84</v>
      </c>
      <c r="S1967" s="17"/>
    </row>
    <row r="1968" spans="1:19" x14ac:dyDescent="0.4">
      <c r="A1968">
        <v>9827618</v>
      </c>
      <c r="B1968" s="15">
        <v>54</v>
      </c>
      <c r="C1968" s="12" t="s">
        <v>122</v>
      </c>
      <c r="D1968" s="12" t="s">
        <v>138</v>
      </c>
      <c r="E1968" s="12" t="s">
        <v>152</v>
      </c>
      <c r="F1968" s="12" t="s">
        <v>157</v>
      </c>
      <c r="G1968" s="14">
        <f t="shared" ca="1" si="30"/>
        <v>74565.171274106426</v>
      </c>
      <c r="H1968" s="12" t="s">
        <v>172</v>
      </c>
      <c r="I1968">
        <v>0</v>
      </c>
      <c r="J1968">
        <v>60</v>
      </c>
      <c r="K1968" s="12" t="s">
        <v>176</v>
      </c>
      <c r="L1968">
        <v>7688</v>
      </c>
      <c r="M1968">
        <v>1</v>
      </c>
      <c r="O1968" s="39"/>
      <c r="P1968" s="15">
        <v>42793.14</v>
      </c>
      <c r="S1968" s="17"/>
    </row>
    <row r="1969" spans="1:19" x14ac:dyDescent="0.4">
      <c r="A1969">
        <v>9829771</v>
      </c>
      <c r="B1969" s="16">
        <v>18</v>
      </c>
      <c r="C1969" s="12" t="s">
        <v>122</v>
      </c>
      <c r="D1969" s="12" t="s">
        <v>136</v>
      </c>
      <c r="E1969" s="12" t="s">
        <v>150</v>
      </c>
      <c r="F1969" s="12" t="s">
        <v>164</v>
      </c>
      <c r="G1969" s="14">
        <f t="shared" ca="1" si="30"/>
        <v>69400.344293175032</v>
      </c>
      <c r="H1969" s="12" t="s">
        <v>172</v>
      </c>
      <c r="I1969">
        <v>0</v>
      </c>
      <c r="J1969">
        <v>20</v>
      </c>
      <c r="K1969" s="12" t="s">
        <v>176</v>
      </c>
      <c r="L1969">
        <v>0</v>
      </c>
      <c r="M1969">
        <v>0</v>
      </c>
      <c r="O1969" s="39"/>
      <c r="P1969" s="16">
        <v>65730.210000000006</v>
      </c>
      <c r="S1969" s="17"/>
    </row>
    <row r="1970" spans="1:19" x14ac:dyDescent="0.4">
      <c r="A1970">
        <v>9836455</v>
      </c>
      <c r="B1970" s="15">
        <v>47</v>
      </c>
      <c r="C1970" s="12" t="s">
        <v>124</v>
      </c>
      <c r="D1970" s="12" t="s">
        <v>134</v>
      </c>
      <c r="E1970" s="12" t="s">
        <v>152</v>
      </c>
      <c r="F1970" s="12" t="s">
        <v>160</v>
      </c>
      <c r="G1970" s="14">
        <f t="shared" ca="1" si="30"/>
        <v>33846.612259521426</v>
      </c>
      <c r="H1970" s="12" t="s">
        <v>172</v>
      </c>
      <c r="I1970">
        <v>0</v>
      </c>
      <c r="J1970">
        <v>40</v>
      </c>
      <c r="K1970" s="12" t="s">
        <v>176</v>
      </c>
      <c r="L1970">
        <v>8516</v>
      </c>
      <c r="M1970">
        <v>1</v>
      </c>
      <c r="O1970" s="39"/>
      <c r="P1970" s="15">
        <v>30278.57</v>
      </c>
      <c r="S1970" s="17"/>
    </row>
    <row r="1971" spans="1:19" x14ac:dyDescent="0.4">
      <c r="A1971">
        <v>9839237</v>
      </c>
      <c r="B1971" s="16">
        <v>41</v>
      </c>
      <c r="C1971" s="12" t="s">
        <v>122</v>
      </c>
      <c r="D1971" s="12" t="s">
        <v>134</v>
      </c>
      <c r="E1971" s="12" t="s">
        <v>152</v>
      </c>
      <c r="F1971" s="12" t="s">
        <v>159</v>
      </c>
      <c r="G1971" s="14">
        <f t="shared" ca="1" si="30"/>
        <v>65831.660628599158</v>
      </c>
      <c r="H1971" s="12" t="s">
        <v>172</v>
      </c>
      <c r="I1971">
        <v>0</v>
      </c>
      <c r="J1971">
        <v>40</v>
      </c>
      <c r="K1971" s="12" t="s">
        <v>176</v>
      </c>
      <c r="L1971">
        <v>0</v>
      </c>
      <c r="M1971">
        <v>0</v>
      </c>
      <c r="O1971" s="39"/>
      <c r="P1971" s="16">
        <v>60650.09</v>
      </c>
      <c r="S1971" s="17"/>
    </row>
    <row r="1972" spans="1:19" x14ac:dyDescent="0.4">
      <c r="A1972">
        <v>9844152</v>
      </c>
      <c r="B1972" s="15">
        <v>17</v>
      </c>
      <c r="C1972" s="12" t="s">
        <v>122</v>
      </c>
      <c r="D1972" s="12" t="s">
        <v>140</v>
      </c>
      <c r="E1972" s="12" t="s">
        <v>150</v>
      </c>
      <c r="F1972" s="12" t="s">
        <v>162</v>
      </c>
      <c r="G1972" s="14">
        <f t="shared" ca="1" si="30"/>
        <v>116470.05978193889</v>
      </c>
      <c r="H1972" s="12" t="s">
        <v>172</v>
      </c>
      <c r="I1972">
        <v>0</v>
      </c>
      <c r="J1972">
        <v>20</v>
      </c>
      <c r="K1972" s="12" t="s">
        <v>176</v>
      </c>
      <c r="L1972">
        <v>0</v>
      </c>
      <c r="M1972">
        <v>0</v>
      </c>
      <c r="O1972" s="39"/>
      <c r="P1972" s="15">
        <v>80838.039999999994</v>
      </c>
      <c r="S1972" s="17"/>
    </row>
    <row r="1973" spans="1:19" x14ac:dyDescent="0.4">
      <c r="A1973">
        <v>9844729</v>
      </c>
      <c r="B1973" s="16">
        <v>21</v>
      </c>
      <c r="C1973" s="12" t="s">
        <v>122</v>
      </c>
      <c r="D1973" s="12" t="s">
        <v>132</v>
      </c>
      <c r="E1973" s="12" t="s">
        <v>150</v>
      </c>
      <c r="F1973" s="12" t="s">
        <v>144</v>
      </c>
      <c r="G1973" s="14">
        <f t="shared" ca="1" si="30"/>
        <v>3339.7385473105296</v>
      </c>
      <c r="H1973" s="12" t="s">
        <v>171</v>
      </c>
      <c r="I1973">
        <v>0</v>
      </c>
      <c r="J1973">
        <v>40</v>
      </c>
      <c r="K1973" s="12" t="s">
        <v>176</v>
      </c>
      <c r="L1973">
        <v>0</v>
      </c>
      <c r="M1973">
        <v>0</v>
      </c>
      <c r="O1973" s="39"/>
      <c r="P1973" s="16">
        <v>2164.59</v>
      </c>
      <c r="S1973" s="17"/>
    </row>
    <row r="1974" spans="1:19" x14ac:dyDescent="0.4">
      <c r="A1974">
        <v>9845835</v>
      </c>
      <c r="B1974" s="15">
        <v>31</v>
      </c>
      <c r="C1974" s="12" t="s">
        <v>122</v>
      </c>
      <c r="D1974" s="12" t="s">
        <v>132</v>
      </c>
      <c r="E1974" s="12" t="s">
        <v>150</v>
      </c>
      <c r="F1974" s="12" t="s">
        <v>165</v>
      </c>
      <c r="G1974" s="14">
        <f t="shared" ca="1" si="30"/>
        <v>96046.058632548156</v>
      </c>
      <c r="H1974" s="12" t="s">
        <v>171</v>
      </c>
      <c r="I1974">
        <v>0</v>
      </c>
      <c r="J1974">
        <v>45</v>
      </c>
      <c r="K1974" s="12" t="s">
        <v>176</v>
      </c>
      <c r="L1974">
        <v>0</v>
      </c>
      <c r="M1974">
        <v>0</v>
      </c>
      <c r="O1974" s="39"/>
      <c r="P1974" s="15">
        <v>77164.89</v>
      </c>
      <c r="S1974" s="17"/>
    </row>
    <row r="1975" spans="1:19" x14ac:dyDescent="0.4">
      <c r="A1975">
        <v>9846403</v>
      </c>
      <c r="B1975" s="16">
        <v>27</v>
      </c>
      <c r="C1975" s="12" t="s">
        <v>122</v>
      </c>
      <c r="D1975" s="12" t="s">
        <v>135</v>
      </c>
      <c r="E1975" s="12" t="s">
        <v>151</v>
      </c>
      <c r="F1975" s="12" t="s">
        <v>160</v>
      </c>
      <c r="G1975" s="14">
        <f t="shared" ca="1" si="30"/>
        <v>54668.636539694431</v>
      </c>
      <c r="H1975" s="12" t="s">
        <v>172</v>
      </c>
      <c r="I1975">
        <v>0</v>
      </c>
      <c r="J1975">
        <v>52</v>
      </c>
      <c r="K1975" s="12" t="s">
        <v>176</v>
      </c>
      <c r="L1975">
        <v>0</v>
      </c>
      <c r="M1975">
        <v>0</v>
      </c>
      <c r="O1975" s="39"/>
      <c r="P1975" s="16">
        <v>33513.96</v>
      </c>
      <c r="S1975" s="17"/>
    </row>
    <row r="1976" spans="1:19" x14ac:dyDescent="0.4">
      <c r="A1976">
        <v>9849781</v>
      </c>
      <c r="B1976" s="15">
        <v>41</v>
      </c>
      <c r="C1976" s="12" t="s">
        <v>122</v>
      </c>
      <c r="D1976" s="12" t="s">
        <v>147</v>
      </c>
      <c r="E1976" s="12" t="s">
        <v>152</v>
      </c>
      <c r="F1976" s="12" t="s">
        <v>162</v>
      </c>
      <c r="G1976" s="14">
        <f t="shared" ca="1" si="30"/>
        <v>73498.71481136384</v>
      </c>
      <c r="H1976" s="12" t="s">
        <v>172</v>
      </c>
      <c r="I1976">
        <v>0</v>
      </c>
      <c r="J1976">
        <v>50</v>
      </c>
      <c r="K1976" s="12" t="s">
        <v>179</v>
      </c>
      <c r="L1976">
        <v>0</v>
      </c>
      <c r="M1976">
        <v>0</v>
      </c>
      <c r="O1976" s="39"/>
      <c r="P1976" s="15">
        <v>43687.09</v>
      </c>
      <c r="S1976" s="17"/>
    </row>
    <row r="1977" spans="1:19" x14ac:dyDescent="0.4">
      <c r="A1977">
        <v>9850835</v>
      </c>
      <c r="B1977" s="16">
        <v>35</v>
      </c>
      <c r="C1977" s="12" t="s">
        <v>122</v>
      </c>
      <c r="D1977" s="12" t="s">
        <v>132</v>
      </c>
      <c r="E1977" s="12" t="s">
        <v>150</v>
      </c>
      <c r="F1977" s="12" t="s">
        <v>162</v>
      </c>
      <c r="G1977" s="14">
        <f t="shared" ca="1" si="30"/>
        <v>372569.73707306106</v>
      </c>
      <c r="H1977" s="12" t="s">
        <v>172</v>
      </c>
      <c r="I1977">
        <v>0</v>
      </c>
      <c r="J1977">
        <v>48</v>
      </c>
      <c r="K1977" s="12" t="s">
        <v>176</v>
      </c>
      <c r="L1977">
        <v>0</v>
      </c>
      <c r="M1977">
        <v>0</v>
      </c>
      <c r="O1977" s="39"/>
      <c r="P1977" s="16">
        <v>201566.09</v>
      </c>
      <c r="S1977" s="17"/>
    </row>
    <row r="1978" spans="1:19" x14ac:dyDescent="0.4">
      <c r="A1978">
        <v>9856096</v>
      </c>
      <c r="B1978" s="15">
        <v>33</v>
      </c>
      <c r="C1978" s="12" t="s">
        <v>122</v>
      </c>
      <c r="D1978" s="12" t="s">
        <v>134</v>
      </c>
      <c r="E1978" s="12" t="s">
        <v>152</v>
      </c>
      <c r="F1978" s="12" t="s">
        <v>161</v>
      </c>
      <c r="G1978" s="14">
        <f t="shared" ca="1" si="30"/>
        <v>22894.584680929831</v>
      </c>
      <c r="H1978" s="12" t="s">
        <v>172</v>
      </c>
      <c r="I1978">
        <v>0</v>
      </c>
      <c r="J1978">
        <v>40</v>
      </c>
      <c r="K1978" s="12" t="s">
        <v>176</v>
      </c>
      <c r="L1978">
        <v>0</v>
      </c>
      <c r="M1978">
        <v>0</v>
      </c>
      <c r="O1978" s="39"/>
      <c r="P1978" s="15">
        <v>17660.36</v>
      </c>
      <c r="S1978" s="17"/>
    </row>
    <row r="1979" spans="1:19" x14ac:dyDescent="0.4">
      <c r="A1979">
        <v>9856234</v>
      </c>
      <c r="B1979" s="16">
        <v>31</v>
      </c>
      <c r="C1979" s="12" t="s">
        <v>122</v>
      </c>
      <c r="D1979" s="12" t="s">
        <v>135</v>
      </c>
      <c r="E1979" s="12" t="s">
        <v>152</v>
      </c>
      <c r="F1979" s="12" t="s">
        <v>162</v>
      </c>
      <c r="G1979" s="14">
        <f t="shared" ca="1" si="30"/>
        <v>43640.898511014064</v>
      </c>
      <c r="H1979" s="12" t="s">
        <v>172</v>
      </c>
      <c r="I1979">
        <v>0</v>
      </c>
      <c r="J1979">
        <v>40</v>
      </c>
      <c r="K1979" s="12" t="s">
        <v>176</v>
      </c>
      <c r="L1979">
        <v>0</v>
      </c>
      <c r="M1979">
        <v>0</v>
      </c>
      <c r="O1979" s="39"/>
      <c r="P1979" s="16">
        <v>27154.65</v>
      </c>
      <c r="S1979" s="17"/>
    </row>
    <row r="1980" spans="1:19" x14ac:dyDescent="0.4">
      <c r="A1980">
        <v>9860725</v>
      </c>
      <c r="B1980" s="15">
        <v>21</v>
      </c>
      <c r="C1980" s="12" t="s">
        <v>129</v>
      </c>
      <c r="D1980" s="12" t="s">
        <v>139</v>
      </c>
      <c r="E1980" s="12" t="s">
        <v>152</v>
      </c>
      <c r="F1980" s="12" t="s">
        <v>129</v>
      </c>
      <c r="G1980" s="14">
        <f t="shared" ca="1" si="30"/>
        <v>433290.72982166964</v>
      </c>
      <c r="H1980" s="12" t="s">
        <v>171</v>
      </c>
      <c r="I1980">
        <v>0</v>
      </c>
      <c r="J1980">
        <v>56</v>
      </c>
      <c r="K1980" s="12" t="s">
        <v>176</v>
      </c>
      <c r="L1980">
        <v>0</v>
      </c>
      <c r="M1980">
        <v>0</v>
      </c>
      <c r="O1980" s="39"/>
      <c r="P1980" s="15">
        <v>279593.02</v>
      </c>
      <c r="S1980" s="17"/>
    </row>
    <row r="1981" spans="1:19" x14ac:dyDescent="0.4">
      <c r="A1981">
        <v>9862423</v>
      </c>
      <c r="B1981" s="16">
        <v>57</v>
      </c>
      <c r="C1981" s="12" t="s">
        <v>122</v>
      </c>
      <c r="D1981" s="12" t="s">
        <v>134</v>
      </c>
      <c r="E1981" s="12" t="s">
        <v>152</v>
      </c>
      <c r="F1981" s="12" t="s">
        <v>164</v>
      </c>
      <c r="G1981" s="14">
        <f t="shared" ca="1" si="30"/>
        <v>59427.596231831274</v>
      </c>
      <c r="H1981" s="12" t="s">
        <v>172</v>
      </c>
      <c r="I1981">
        <v>0</v>
      </c>
      <c r="J1981">
        <v>40</v>
      </c>
      <c r="K1981" s="12" t="s">
        <v>176</v>
      </c>
      <c r="L1981">
        <v>0</v>
      </c>
      <c r="M1981">
        <v>0</v>
      </c>
      <c r="O1981" s="39"/>
      <c r="P1981" s="16">
        <v>35863.69</v>
      </c>
      <c r="S1981" s="17"/>
    </row>
    <row r="1982" spans="1:19" x14ac:dyDescent="0.4">
      <c r="A1982">
        <v>9863050</v>
      </c>
      <c r="B1982" s="15">
        <v>45</v>
      </c>
      <c r="C1982" s="12" t="s">
        <v>122</v>
      </c>
      <c r="D1982" s="12" t="s">
        <v>141</v>
      </c>
      <c r="E1982" s="12" t="s">
        <v>153</v>
      </c>
      <c r="F1982" s="12" t="s">
        <v>144</v>
      </c>
      <c r="G1982" s="14">
        <f t="shared" ca="1" si="30"/>
        <v>374397.99500774971</v>
      </c>
      <c r="H1982" s="12" t="s">
        <v>172</v>
      </c>
      <c r="I1982">
        <v>0</v>
      </c>
      <c r="J1982">
        <v>40</v>
      </c>
      <c r="K1982" s="12" t="s">
        <v>187</v>
      </c>
      <c r="L1982">
        <v>15020</v>
      </c>
      <c r="M1982">
        <v>1</v>
      </c>
      <c r="O1982" s="39"/>
      <c r="P1982" s="15">
        <v>187277.08</v>
      </c>
      <c r="S1982" s="17"/>
    </row>
    <row r="1983" spans="1:19" x14ac:dyDescent="0.4">
      <c r="A1983">
        <v>9864740</v>
      </c>
      <c r="B1983" s="16">
        <v>42</v>
      </c>
      <c r="C1983" s="12" t="s">
        <v>122</v>
      </c>
      <c r="D1983" s="12" t="s">
        <v>135</v>
      </c>
      <c r="E1983" s="12" t="s">
        <v>152</v>
      </c>
      <c r="F1983" s="12" t="s">
        <v>144</v>
      </c>
      <c r="G1983" s="14">
        <f t="shared" ca="1" si="30"/>
        <v>351723.88278549677</v>
      </c>
      <c r="H1983" s="12" t="s">
        <v>171</v>
      </c>
      <c r="I1983">
        <v>0</v>
      </c>
      <c r="J1983">
        <v>27</v>
      </c>
      <c r="K1983" s="12" t="s">
        <v>199</v>
      </c>
      <c r="L1983">
        <v>10693</v>
      </c>
      <c r="M1983">
        <v>1</v>
      </c>
      <c r="O1983" s="39"/>
      <c r="P1983" s="16">
        <v>246388.78</v>
      </c>
      <c r="S1983" s="17"/>
    </row>
    <row r="1984" spans="1:19" x14ac:dyDescent="0.4">
      <c r="A1984">
        <v>9868341</v>
      </c>
      <c r="B1984" s="15">
        <v>41</v>
      </c>
      <c r="C1984" s="12" t="s">
        <v>122</v>
      </c>
      <c r="D1984" s="12" t="s">
        <v>135</v>
      </c>
      <c r="E1984" s="12" t="s">
        <v>152</v>
      </c>
      <c r="F1984" s="12" t="s">
        <v>161</v>
      </c>
      <c r="G1984" s="14">
        <f t="shared" ca="1" si="30"/>
        <v>76135.907031656636</v>
      </c>
      <c r="H1984" s="12" t="s">
        <v>172</v>
      </c>
      <c r="I1984">
        <v>0</v>
      </c>
      <c r="J1984">
        <v>40</v>
      </c>
      <c r="K1984" s="12" t="s">
        <v>129</v>
      </c>
      <c r="L1984">
        <v>0</v>
      </c>
      <c r="M1984">
        <v>0</v>
      </c>
      <c r="O1984" s="39"/>
      <c r="P1984" s="15">
        <v>44503.75</v>
      </c>
      <c r="S1984" s="17"/>
    </row>
    <row r="1985" spans="1:19" x14ac:dyDescent="0.4">
      <c r="A1985">
        <v>9873853</v>
      </c>
      <c r="B1985" s="16">
        <v>48</v>
      </c>
      <c r="C1985" s="12" t="s">
        <v>122</v>
      </c>
      <c r="D1985" s="12" t="s">
        <v>139</v>
      </c>
      <c r="E1985" s="12" t="s">
        <v>150</v>
      </c>
      <c r="F1985" s="12" t="s">
        <v>156</v>
      </c>
      <c r="G1985" s="14">
        <f t="shared" ca="1" si="30"/>
        <v>81314.124852392109</v>
      </c>
      <c r="H1985" s="12" t="s">
        <v>171</v>
      </c>
      <c r="I1985">
        <v>0</v>
      </c>
      <c r="J1985">
        <v>30</v>
      </c>
      <c r="K1985" s="12" t="s">
        <v>176</v>
      </c>
      <c r="L1985">
        <v>0</v>
      </c>
      <c r="M1985">
        <v>0</v>
      </c>
      <c r="O1985" s="39"/>
      <c r="P1985" s="16">
        <v>54786.75</v>
      </c>
      <c r="S1985" s="17"/>
    </row>
    <row r="1986" spans="1:19" x14ac:dyDescent="0.4">
      <c r="A1986">
        <v>9881739</v>
      </c>
      <c r="B1986" s="15">
        <v>39</v>
      </c>
      <c r="C1986" s="12" t="s">
        <v>129</v>
      </c>
      <c r="D1986" s="12" t="s">
        <v>132</v>
      </c>
      <c r="E1986" s="12" t="s">
        <v>151</v>
      </c>
      <c r="F1986" s="12" t="s">
        <v>129</v>
      </c>
      <c r="G1986" s="14">
        <f t="shared" ca="1" si="30"/>
        <v>82181.277917114625</v>
      </c>
      <c r="H1986" s="12" t="s">
        <v>171</v>
      </c>
      <c r="I1986">
        <v>0</v>
      </c>
      <c r="J1986">
        <v>20</v>
      </c>
      <c r="K1986" s="12" t="s">
        <v>176</v>
      </c>
      <c r="L1986">
        <v>0</v>
      </c>
      <c r="M1986">
        <v>0</v>
      </c>
      <c r="O1986" s="39"/>
      <c r="P1986" s="15">
        <v>65311.199999999997</v>
      </c>
      <c r="S1986" s="17"/>
    </row>
    <row r="1987" spans="1:19" x14ac:dyDescent="0.4">
      <c r="A1987">
        <v>9886834</v>
      </c>
      <c r="B1987" s="16">
        <v>33</v>
      </c>
      <c r="C1987" s="12" t="s">
        <v>122</v>
      </c>
      <c r="D1987" s="12" t="s">
        <v>132</v>
      </c>
      <c r="E1987" s="12" t="s">
        <v>150</v>
      </c>
      <c r="F1987" s="12" t="s">
        <v>158</v>
      </c>
      <c r="G1987" s="14">
        <f t="shared" ca="1" si="30"/>
        <v>132588.00751020628</v>
      </c>
      <c r="H1987" s="12" t="s">
        <v>172</v>
      </c>
      <c r="I1987">
        <v>0</v>
      </c>
      <c r="J1987">
        <v>36</v>
      </c>
      <c r="K1987" s="12" t="s">
        <v>176</v>
      </c>
      <c r="L1987">
        <v>0</v>
      </c>
      <c r="M1987">
        <v>0</v>
      </c>
      <c r="O1987" s="39"/>
      <c r="P1987" s="16">
        <v>96552.26</v>
      </c>
      <c r="S1987" s="17"/>
    </row>
    <row r="1988" spans="1:19" x14ac:dyDescent="0.4">
      <c r="A1988">
        <v>9887683</v>
      </c>
      <c r="B1988" s="15">
        <v>56</v>
      </c>
      <c r="C1988" s="12" t="s">
        <v>122</v>
      </c>
      <c r="D1988" s="12" t="s">
        <v>134</v>
      </c>
      <c r="E1988" s="12" t="s">
        <v>152</v>
      </c>
      <c r="F1988" s="12" t="s">
        <v>160</v>
      </c>
      <c r="G1988" s="14">
        <f t="shared" ca="1" si="30"/>
        <v>61292.172478744906</v>
      </c>
      <c r="H1988" s="12" t="s">
        <v>172</v>
      </c>
      <c r="I1988">
        <v>0</v>
      </c>
      <c r="J1988">
        <v>55</v>
      </c>
      <c r="K1988" s="12" t="s">
        <v>176</v>
      </c>
      <c r="L1988">
        <v>2789</v>
      </c>
      <c r="M1988">
        <v>1</v>
      </c>
      <c r="O1988" s="39"/>
      <c r="P1988" s="15">
        <v>33984.18</v>
      </c>
      <c r="S1988" s="17"/>
    </row>
    <row r="1989" spans="1:19" x14ac:dyDescent="0.4">
      <c r="A1989">
        <v>9892739</v>
      </c>
      <c r="B1989" s="16">
        <v>40</v>
      </c>
      <c r="C1989" s="12" t="s">
        <v>122</v>
      </c>
      <c r="D1989" s="12" t="s">
        <v>137</v>
      </c>
      <c r="E1989" s="12" t="s">
        <v>152</v>
      </c>
      <c r="F1989" s="12" t="s">
        <v>159</v>
      </c>
      <c r="G1989" s="14">
        <f t="shared" ca="1" si="30"/>
        <v>62116.604641808473</v>
      </c>
      <c r="H1989" s="12" t="s">
        <v>172</v>
      </c>
      <c r="I1989">
        <v>0</v>
      </c>
      <c r="J1989">
        <v>40</v>
      </c>
      <c r="K1989" s="12" t="s">
        <v>176</v>
      </c>
      <c r="L1989">
        <v>0</v>
      </c>
      <c r="M1989">
        <v>0</v>
      </c>
      <c r="O1989" s="39"/>
      <c r="P1989" s="16">
        <v>33064.019999999997</v>
      </c>
      <c r="S1989" s="17"/>
    </row>
    <row r="1990" spans="1:19" x14ac:dyDescent="0.4">
      <c r="A1990">
        <v>9894979</v>
      </c>
      <c r="B1990" s="15">
        <v>17</v>
      </c>
      <c r="C1990" s="12" t="s">
        <v>122</v>
      </c>
      <c r="D1990" s="12" t="s">
        <v>139</v>
      </c>
      <c r="E1990" s="12" t="s">
        <v>150</v>
      </c>
      <c r="F1990" s="12" t="s">
        <v>156</v>
      </c>
      <c r="G1990" s="14">
        <f t="shared" ca="1" si="30"/>
        <v>331265.1119190529</v>
      </c>
      <c r="H1990" s="12" t="s">
        <v>171</v>
      </c>
      <c r="I1990">
        <v>0</v>
      </c>
      <c r="J1990">
        <v>25</v>
      </c>
      <c r="K1990" s="12" t="s">
        <v>176</v>
      </c>
      <c r="L1990">
        <v>0</v>
      </c>
      <c r="M1990">
        <v>0</v>
      </c>
      <c r="O1990" s="39"/>
      <c r="P1990" s="15">
        <v>194739.29</v>
      </c>
      <c r="S1990" s="17"/>
    </row>
    <row r="1991" spans="1:19" x14ac:dyDescent="0.4">
      <c r="A1991">
        <v>9904402</v>
      </c>
      <c r="B1991" s="16">
        <v>35</v>
      </c>
      <c r="C1991" s="12" t="s">
        <v>122</v>
      </c>
      <c r="D1991" s="12" t="s">
        <v>135</v>
      </c>
      <c r="E1991" s="12" t="s">
        <v>150</v>
      </c>
      <c r="F1991" s="12" t="s">
        <v>163</v>
      </c>
      <c r="G1991" s="14">
        <f t="shared" ca="1" si="30"/>
        <v>55828.110196186688</v>
      </c>
      <c r="H1991" s="12" t="s">
        <v>171</v>
      </c>
      <c r="I1991">
        <v>0</v>
      </c>
      <c r="J1991">
        <v>40</v>
      </c>
      <c r="K1991" s="12" t="s">
        <v>176</v>
      </c>
      <c r="L1991">
        <v>0</v>
      </c>
      <c r="M1991">
        <v>0</v>
      </c>
      <c r="O1991" s="39"/>
      <c r="P1991" s="16">
        <v>44416.37</v>
      </c>
      <c r="S1991" s="17"/>
    </row>
    <row r="1992" spans="1:19" x14ac:dyDescent="0.4">
      <c r="A1992">
        <v>9907631</v>
      </c>
      <c r="B1992" s="15">
        <v>44</v>
      </c>
      <c r="C1992" s="12" t="s">
        <v>122</v>
      </c>
      <c r="D1992" s="12" t="s">
        <v>134</v>
      </c>
      <c r="E1992" s="12" t="s">
        <v>152</v>
      </c>
      <c r="F1992" s="12" t="s">
        <v>159</v>
      </c>
      <c r="G1992" s="14">
        <f t="shared" ca="1" si="30"/>
        <v>26019.343789562809</v>
      </c>
      <c r="H1992" s="12" t="s">
        <v>172</v>
      </c>
      <c r="I1992">
        <v>0</v>
      </c>
      <c r="J1992">
        <v>40</v>
      </c>
      <c r="K1992" s="12" t="s">
        <v>176</v>
      </c>
      <c r="L1992">
        <v>0</v>
      </c>
      <c r="M1992">
        <v>0</v>
      </c>
      <c r="O1992" s="39"/>
      <c r="P1992" s="15">
        <v>25314.83</v>
      </c>
      <c r="S1992" s="17"/>
    </row>
    <row r="1993" spans="1:19" x14ac:dyDescent="0.4">
      <c r="A1993">
        <v>9907787</v>
      </c>
      <c r="B1993" s="16">
        <v>56</v>
      </c>
      <c r="C1993" s="12" t="s">
        <v>122</v>
      </c>
      <c r="D1993" s="12" t="s">
        <v>145</v>
      </c>
      <c r="E1993" s="12" t="s">
        <v>152</v>
      </c>
      <c r="F1993" s="12" t="s">
        <v>161</v>
      </c>
      <c r="G1993" s="14">
        <f t="shared" ca="1" si="30"/>
        <v>531626.45451594482</v>
      </c>
      <c r="H1993" s="12" t="s">
        <v>171</v>
      </c>
      <c r="I1993">
        <v>0</v>
      </c>
      <c r="J1993">
        <v>45</v>
      </c>
      <c r="K1993" s="12" t="s">
        <v>176</v>
      </c>
      <c r="L1993">
        <v>0</v>
      </c>
      <c r="M1993">
        <v>0</v>
      </c>
      <c r="O1993" s="39"/>
      <c r="P1993" s="16">
        <v>304680.96000000002</v>
      </c>
      <c r="S1993" s="17"/>
    </row>
    <row r="1994" spans="1:19" x14ac:dyDescent="0.4">
      <c r="A1994">
        <v>9909491</v>
      </c>
      <c r="B1994" s="15">
        <v>46</v>
      </c>
      <c r="C1994" s="12" t="s">
        <v>122</v>
      </c>
      <c r="D1994" s="12" t="s">
        <v>135</v>
      </c>
      <c r="E1994" s="12" t="s">
        <v>152</v>
      </c>
      <c r="F1994" s="12" t="s">
        <v>160</v>
      </c>
      <c r="G1994" s="14">
        <f t="shared" ca="1" si="30"/>
        <v>23965.857329779872</v>
      </c>
      <c r="H1994" s="12" t="s">
        <v>172</v>
      </c>
      <c r="I1994">
        <v>0</v>
      </c>
      <c r="J1994">
        <v>55</v>
      </c>
      <c r="K1994" s="12" t="s">
        <v>176</v>
      </c>
      <c r="L1994">
        <v>15024</v>
      </c>
      <c r="M1994">
        <v>1</v>
      </c>
      <c r="O1994" s="39"/>
      <c r="P1994" s="15">
        <v>22808.31</v>
      </c>
      <c r="S1994" s="17"/>
    </row>
    <row r="1995" spans="1:19" x14ac:dyDescent="0.4">
      <c r="A1995">
        <v>9910993</v>
      </c>
      <c r="B1995" s="16">
        <v>48</v>
      </c>
      <c r="C1995" s="12" t="s">
        <v>122</v>
      </c>
      <c r="D1995" s="12" t="s">
        <v>143</v>
      </c>
      <c r="E1995" s="12" t="s">
        <v>150</v>
      </c>
      <c r="F1995" s="12" t="s">
        <v>167</v>
      </c>
      <c r="G1995" s="14">
        <f t="shared" ref="G1995:G2010" ca="1" si="31">P1995*(1+RAND())</f>
        <v>199634.18077949309</v>
      </c>
      <c r="H1995" s="12" t="s">
        <v>171</v>
      </c>
      <c r="I1995">
        <v>0</v>
      </c>
      <c r="J1995">
        <v>35</v>
      </c>
      <c r="K1995" s="12" t="s">
        <v>193</v>
      </c>
      <c r="L1995">
        <v>0</v>
      </c>
      <c r="M1995">
        <v>0</v>
      </c>
      <c r="O1995" s="39"/>
      <c r="P1995" s="16">
        <v>190482.6</v>
      </c>
      <c r="S1995" s="17"/>
    </row>
    <row r="1996" spans="1:19" x14ac:dyDescent="0.4">
      <c r="A1996">
        <v>9913609</v>
      </c>
      <c r="B1996" s="15">
        <v>51</v>
      </c>
      <c r="C1996" s="12" t="s">
        <v>122</v>
      </c>
      <c r="D1996" s="12" t="s">
        <v>133</v>
      </c>
      <c r="E1996" s="12" t="s">
        <v>150</v>
      </c>
      <c r="F1996" s="12" t="s">
        <v>158</v>
      </c>
      <c r="G1996" s="14">
        <f t="shared" ca="1" si="31"/>
        <v>101788.00036783925</v>
      </c>
      <c r="H1996" s="12" t="s">
        <v>171</v>
      </c>
      <c r="I1996">
        <v>0</v>
      </c>
      <c r="J1996">
        <v>40</v>
      </c>
      <c r="K1996" s="12" t="s">
        <v>176</v>
      </c>
      <c r="L1996">
        <v>0</v>
      </c>
      <c r="M1996">
        <v>0</v>
      </c>
      <c r="O1996" s="39"/>
      <c r="P1996" s="15">
        <v>52618.68</v>
      </c>
      <c r="S1996" s="17"/>
    </row>
    <row r="1997" spans="1:19" x14ac:dyDescent="0.4">
      <c r="A1997">
        <v>9915883</v>
      </c>
      <c r="B1997" s="16">
        <v>35</v>
      </c>
      <c r="C1997" s="12" t="s">
        <v>122</v>
      </c>
      <c r="D1997" s="12" t="s">
        <v>134</v>
      </c>
      <c r="E1997" s="12" t="s">
        <v>151</v>
      </c>
      <c r="F1997" s="12" t="s">
        <v>156</v>
      </c>
      <c r="G1997" s="14">
        <f t="shared" ca="1" si="31"/>
        <v>132485.40913697288</v>
      </c>
      <c r="H1997" s="12" t="s">
        <v>171</v>
      </c>
      <c r="I1997">
        <v>0</v>
      </c>
      <c r="J1997">
        <v>35</v>
      </c>
      <c r="K1997" s="12" t="s">
        <v>176</v>
      </c>
      <c r="L1997">
        <v>0</v>
      </c>
      <c r="M1997">
        <v>0</v>
      </c>
      <c r="O1997" s="39"/>
      <c r="P1997" s="16">
        <v>74662.5</v>
      </c>
      <c r="S1997" s="17"/>
    </row>
    <row r="1998" spans="1:19" x14ac:dyDescent="0.4">
      <c r="A1998">
        <v>9915943</v>
      </c>
      <c r="B1998" s="15">
        <v>66</v>
      </c>
      <c r="C1998" s="12" t="s">
        <v>129</v>
      </c>
      <c r="D1998" s="12" t="s">
        <v>135</v>
      </c>
      <c r="E1998" s="12" t="s">
        <v>152</v>
      </c>
      <c r="F1998" s="12" t="s">
        <v>129</v>
      </c>
      <c r="G1998" s="14">
        <f t="shared" ca="1" si="31"/>
        <v>87945.729037869067</v>
      </c>
      <c r="H1998" s="12" t="s">
        <v>172</v>
      </c>
      <c r="I1998">
        <v>0</v>
      </c>
      <c r="J1998">
        <v>6</v>
      </c>
      <c r="K1998" s="12" t="s">
        <v>176</v>
      </c>
      <c r="L1998">
        <v>0</v>
      </c>
      <c r="M1998">
        <v>0</v>
      </c>
      <c r="O1998" s="39"/>
      <c r="P1998" s="15">
        <v>54820.12</v>
      </c>
      <c r="S1998" s="17"/>
    </row>
    <row r="1999" spans="1:19" x14ac:dyDescent="0.4">
      <c r="A1999">
        <v>9918723</v>
      </c>
      <c r="B1999" s="16">
        <v>63</v>
      </c>
      <c r="C1999" s="12" t="s">
        <v>123</v>
      </c>
      <c r="D1999" s="12" t="s">
        <v>134</v>
      </c>
      <c r="E1999" s="12" t="s">
        <v>152</v>
      </c>
      <c r="F1999" s="12" t="s">
        <v>159</v>
      </c>
      <c r="G1999" s="14">
        <f t="shared" ca="1" si="31"/>
        <v>45626.796289067701</v>
      </c>
      <c r="H1999" s="12" t="s">
        <v>172</v>
      </c>
      <c r="I1999">
        <v>0</v>
      </c>
      <c r="J1999">
        <v>32</v>
      </c>
      <c r="K1999" s="12" t="s">
        <v>176</v>
      </c>
      <c r="L1999">
        <v>0</v>
      </c>
      <c r="M1999">
        <v>0</v>
      </c>
      <c r="O1999" s="39"/>
      <c r="P1999" s="16">
        <v>33182.769999999997</v>
      </c>
      <c r="S1999" s="17"/>
    </row>
    <row r="2000" spans="1:19" x14ac:dyDescent="0.4">
      <c r="A2000">
        <v>9921727</v>
      </c>
      <c r="B2000" s="15">
        <v>22</v>
      </c>
      <c r="C2000" s="12" t="s">
        <v>122</v>
      </c>
      <c r="D2000" s="12" t="s">
        <v>132</v>
      </c>
      <c r="E2000" s="12" t="s">
        <v>150</v>
      </c>
      <c r="F2000" s="12" t="s">
        <v>161</v>
      </c>
      <c r="G2000" s="14">
        <f t="shared" ca="1" si="31"/>
        <v>125856.81465071511</v>
      </c>
      <c r="H2000" s="12" t="s">
        <v>171</v>
      </c>
      <c r="I2000">
        <v>0</v>
      </c>
      <c r="J2000">
        <v>35</v>
      </c>
      <c r="K2000" s="12" t="s">
        <v>176</v>
      </c>
      <c r="L2000">
        <v>0</v>
      </c>
      <c r="M2000">
        <v>0</v>
      </c>
      <c r="O2000" s="39"/>
      <c r="P2000" s="15">
        <v>91059.97</v>
      </c>
      <c r="S2000" s="17"/>
    </row>
    <row r="2001" spans="1:19" x14ac:dyDescent="0.4">
      <c r="A2001">
        <v>9940396</v>
      </c>
      <c r="B2001" s="16">
        <v>24</v>
      </c>
      <c r="C2001" s="12" t="s">
        <v>122</v>
      </c>
      <c r="D2001" s="12" t="s">
        <v>135</v>
      </c>
      <c r="E2001" s="12" t="s">
        <v>150</v>
      </c>
      <c r="F2001" s="12" t="s">
        <v>162</v>
      </c>
      <c r="G2001" s="14">
        <f t="shared" ca="1" si="31"/>
        <v>201261.00642199448</v>
      </c>
      <c r="H2001" s="12" t="s">
        <v>171</v>
      </c>
      <c r="I2001">
        <v>0</v>
      </c>
      <c r="J2001">
        <v>40</v>
      </c>
      <c r="K2001" s="12" t="s">
        <v>176</v>
      </c>
      <c r="L2001">
        <v>0</v>
      </c>
      <c r="M2001">
        <v>0</v>
      </c>
      <c r="O2001" s="39"/>
      <c r="P2001" s="16">
        <v>122563.95</v>
      </c>
      <c r="S2001" s="17"/>
    </row>
    <row r="2002" spans="1:19" x14ac:dyDescent="0.4">
      <c r="A2002">
        <v>9941463</v>
      </c>
      <c r="B2002" s="15">
        <v>41</v>
      </c>
      <c r="C2002" s="12" t="s">
        <v>122</v>
      </c>
      <c r="D2002" s="12" t="s">
        <v>134</v>
      </c>
      <c r="E2002" s="12" t="s">
        <v>149</v>
      </c>
      <c r="F2002" s="12" t="s">
        <v>158</v>
      </c>
      <c r="G2002" s="14">
        <f t="shared" ca="1" si="31"/>
        <v>92015.467057750022</v>
      </c>
      <c r="H2002" s="12" t="s">
        <v>172</v>
      </c>
      <c r="I2002">
        <v>0</v>
      </c>
      <c r="J2002">
        <v>40</v>
      </c>
      <c r="K2002" s="12" t="s">
        <v>176</v>
      </c>
      <c r="L2002">
        <v>0</v>
      </c>
      <c r="M2002">
        <v>0</v>
      </c>
      <c r="O2002" s="39"/>
      <c r="P2002" s="15">
        <v>68259.98</v>
      </c>
      <c r="S2002" s="17"/>
    </row>
    <row r="2003" spans="1:19" x14ac:dyDescent="0.4">
      <c r="A2003">
        <v>9942558</v>
      </c>
      <c r="B2003" s="16">
        <v>59</v>
      </c>
      <c r="C2003" s="12" t="s">
        <v>124</v>
      </c>
      <c r="D2003" s="12" t="s">
        <v>132</v>
      </c>
      <c r="E2003" s="12" t="s">
        <v>152</v>
      </c>
      <c r="F2003" s="12" t="s">
        <v>160</v>
      </c>
      <c r="G2003" s="14">
        <f t="shared" ca="1" si="31"/>
        <v>32098.22168942646</v>
      </c>
      <c r="H2003" s="12" t="s">
        <v>172</v>
      </c>
      <c r="I2003">
        <v>1977</v>
      </c>
      <c r="J2003">
        <v>48</v>
      </c>
      <c r="K2003" s="12" t="s">
        <v>176</v>
      </c>
      <c r="L2003">
        <v>2594</v>
      </c>
      <c r="M2003">
        <v>1</v>
      </c>
      <c r="O2003" s="39"/>
      <c r="P2003" s="16">
        <v>26932.42</v>
      </c>
      <c r="S2003" s="17"/>
    </row>
    <row r="2004" spans="1:19" x14ac:dyDescent="0.4">
      <c r="A2004">
        <v>9943624</v>
      </c>
      <c r="B2004" s="15">
        <v>17</v>
      </c>
      <c r="C2004" s="12" t="s">
        <v>122</v>
      </c>
      <c r="D2004" s="12" t="s">
        <v>140</v>
      </c>
      <c r="E2004" s="12" t="s">
        <v>150</v>
      </c>
      <c r="F2004" s="12" t="s">
        <v>156</v>
      </c>
      <c r="G2004" s="14">
        <f t="shared" ca="1" si="31"/>
        <v>158624.70013179624</v>
      </c>
      <c r="H2004" s="12" t="s">
        <v>172</v>
      </c>
      <c r="I2004">
        <v>0</v>
      </c>
      <c r="J2004">
        <v>10</v>
      </c>
      <c r="K2004" s="12" t="s">
        <v>176</v>
      </c>
      <c r="L2004">
        <v>0</v>
      </c>
      <c r="M2004">
        <v>0</v>
      </c>
      <c r="O2004" s="39"/>
      <c r="P2004" s="15">
        <v>125552.47</v>
      </c>
      <c r="S2004" s="17"/>
    </row>
    <row r="2005" spans="1:19" x14ac:dyDescent="0.4">
      <c r="A2005">
        <v>9951308</v>
      </c>
      <c r="B2005" s="16">
        <v>42</v>
      </c>
      <c r="C2005" s="12" t="s">
        <v>122</v>
      </c>
      <c r="D2005" s="12" t="s">
        <v>134</v>
      </c>
      <c r="E2005" s="12" t="s">
        <v>152</v>
      </c>
      <c r="F2005" s="12" t="s">
        <v>159</v>
      </c>
      <c r="G2005" s="14">
        <f t="shared" ca="1" si="31"/>
        <v>45057.910631158375</v>
      </c>
      <c r="H2005" s="12" t="s">
        <v>172</v>
      </c>
      <c r="I2005">
        <v>0</v>
      </c>
      <c r="J2005">
        <v>40</v>
      </c>
      <c r="K2005" s="12" t="s">
        <v>176</v>
      </c>
      <c r="L2005">
        <v>0</v>
      </c>
      <c r="M2005">
        <v>0</v>
      </c>
      <c r="O2005" s="39"/>
      <c r="P2005" s="16">
        <v>42519.73</v>
      </c>
      <c r="S2005" s="17"/>
    </row>
    <row r="2006" spans="1:19" x14ac:dyDescent="0.4">
      <c r="A2006">
        <v>9957280</v>
      </c>
      <c r="B2006" s="15">
        <v>62</v>
      </c>
      <c r="C2006" s="12" t="s">
        <v>122</v>
      </c>
      <c r="D2006" s="12" t="s">
        <v>134</v>
      </c>
      <c r="E2006" s="12" t="s">
        <v>152</v>
      </c>
      <c r="F2006" s="12" t="s">
        <v>159</v>
      </c>
      <c r="G2006" s="14">
        <f t="shared" ca="1" si="31"/>
        <v>29768.936135368043</v>
      </c>
      <c r="H2006" s="12" t="s">
        <v>172</v>
      </c>
      <c r="I2006">
        <v>0</v>
      </c>
      <c r="J2006">
        <v>40</v>
      </c>
      <c r="K2006" s="12" t="s">
        <v>176</v>
      </c>
      <c r="L2006">
        <v>0</v>
      </c>
      <c r="M2006">
        <v>0</v>
      </c>
      <c r="O2006" s="39"/>
      <c r="P2006" s="15">
        <v>24080.59</v>
      </c>
      <c r="S2006" s="17"/>
    </row>
    <row r="2007" spans="1:19" x14ac:dyDescent="0.4">
      <c r="A2007">
        <v>9964393</v>
      </c>
      <c r="B2007" s="16">
        <v>35</v>
      </c>
      <c r="C2007" s="12" t="s">
        <v>123</v>
      </c>
      <c r="D2007" s="12" t="s">
        <v>133</v>
      </c>
      <c r="E2007" s="12" t="s">
        <v>152</v>
      </c>
      <c r="F2007" s="12" t="s">
        <v>159</v>
      </c>
      <c r="G2007" s="14">
        <f t="shared" ca="1" si="31"/>
        <v>59271.714659413781</v>
      </c>
      <c r="H2007" s="12" t="s">
        <v>172</v>
      </c>
      <c r="I2007">
        <v>0</v>
      </c>
      <c r="J2007">
        <v>40</v>
      </c>
      <c r="K2007" s="12" t="s">
        <v>176</v>
      </c>
      <c r="L2007">
        <v>0</v>
      </c>
      <c r="M2007">
        <v>0</v>
      </c>
      <c r="O2007" s="39"/>
      <c r="P2007" s="16">
        <v>57497.3</v>
      </c>
      <c r="S2007" s="17"/>
    </row>
    <row r="2008" spans="1:19" x14ac:dyDescent="0.4">
      <c r="A2008">
        <v>9972967</v>
      </c>
      <c r="B2008" s="15">
        <v>32</v>
      </c>
      <c r="C2008" s="12" t="s">
        <v>122</v>
      </c>
      <c r="D2008" s="12" t="s">
        <v>135</v>
      </c>
      <c r="E2008" s="12" t="s">
        <v>152</v>
      </c>
      <c r="F2008" s="12" t="s">
        <v>162</v>
      </c>
      <c r="G2008" s="14">
        <f t="shared" ca="1" si="31"/>
        <v>52424.51933439709</v>
      </c>
      <c r="H2008" s="12" t="s">
        <v>172</v>
      </c>
      <c r="I2008">
        <v>0</v>
      </c>
      <c r="J2008">
        <v>44</v>
      </c>
      <c r="K2008" s="12" t="s">
        <v>176</v>
      </c>
      <c r="L2008">
        <v>0</v>
      </c>
      <c r="M2008">
        <v>0</v>
      </c>
      <c r="O2008" s="39"/>
      <c r="P2008" s="15">
        <v>30538.18</v>
      </c>
      <c r="S2008" s="17"/>
    </row>
    <row r="2009" spans="1:19" x14ac:dyDescent="0.4">
      <c r="A2009">
        <v>9991103</v>
      </c>
      <c r="B2009" s="16">
        <v>34</v>
      </c>
      <c r="C2009" s="12" t="s">
        <v>122</v>
      </c>
      <c r="D2009" s="12" t="s">
        <v>132</v>
      </c>
      <c r="E2009" s="12" t="s">
        <v>149</v>
      </c>
      <c r="F2009" s="12" t="s">
        <v>162</v>
      </c>
      <c r="G2009" s="14">
        <f t="shared" ca="1" si="31"/>
        <v>210066.09904883269</v>
      </c>
      <c r="H2009" s="12" t="s">
        <v>172</v>
      </c>
      <c r="I2009">
        <v>0</v>
      </c>
      <c r="J2009">
        <v>45</v>
      </c>
      <c r="K2009" s="12" t="s">
        <v>176</v>
      </c>
      <c r="L2009">
        <v>0</v>
      </c>
      <c r="M2009">
        <v>0</v>
      </c>
      <c r="O2009" s="39"/>
      <c r="P2009" s="16">
        <v>113425.67</v>
      </c>
      <c r="S2009" s="17"/>
    </row>
    <row r="2010" spans="1:19" x14ac:dyDescent="0.4">
      <c r="A2010">
        <v>9996101</v>
      </c>
      <c r="B2010" s="15">
        <v>26</v>
      </c>
      <c r="C2010" s="12" t="s">
        <v>122</v>
      </c>
      <c r="D2010" s="12" t="s">
        <v>134</v>
      </c>
      <c r="E2010" s="12" t="s">
        <v>150</v>
      </c>
      <c r="F2010" s="12" t="s">
        <v>158</v>
      </c>
      <c r="G2010" s="14">
        <f t="shared" ca="1" si="31"/>
        <v>189840.69281302002</v>
      </c>
      <c r="H2010" s="12" t="s">
        <v>171</v>
      </c>
      <c r="I2010">
        <v>0</v>
      </c>
      <c r="J2010">
        <v>35</v>
      </c>
      <c r="K2010" s="12" t="s">
        <v>176</v>
      </c>
      <c r="L2010">
        <v>0</v>
      </c>
      <c r="M2010">
        <v>0</v>
      </c>
      <c r="O2010" s="39"/>
      <c r="P2010" s="15">
        <v>139984.57999999999</v>
      </c>
      <c r="S2010" s="17"/>
    </row>
  </sheetData>
  <mergeCells count="2">
    <mergeCell ref="T2:U2"/>
    <mergeCell ref="X2:Y2"/>
  </mergeCells>
  <pageMargins left="0.7" right="0.7" top="0.75" bottom="0.75" header="0.3" footer="0.3"/>
  <pageSetup orientation="portrait" horizontalDpi="1200" verticalDpi="1200"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24B8DF-B269-4ECF-B1F6-3F484AEE2219}">
  <sheetPr codeName="Sheet4"/>
  <dimension ref="A1:M28"/>
  <sheetViews>
    <sheetView workbookViewId="0">
      <selection activeCell="B20" sqref="B20"/>
    </sheetView>
  </sheetViews>
  <sheetFormatPr defaultRowHeight="14.6" x14ac:dyDescent="0.4"/>
  <cols>
    <col min="1" max="1" width="34" bestFit="1" customWidth="1"/>
    <col min="2" max="2" width="50.69140625" bestFit="1" customWidth="1"/>
    <col min="3" max="3" width="71.15234375" bestFit="1" customWidth="1"/>
    <col min="4" max="4" width="35.23046875" bestFit="1" customWidth="1"/>
    <col min="5" max="5" width="78.3828125" bestFit="1" customWidth="1"/>
    <col min="6" max="6" width="145.84375" bestFit="1" customWidth="1"/>
    <col min="7" max="7" width="13.3828125" bestFit="1" customWidth="1"/>
    <col min="8" max="8" width="5.61328125" bestFit="1" customWidth="1"/>
    <col min="9" max="9" width="4.765625" bestFit="1" customWidth="1"/>
    <col min="10" max="10" width="15.23046875" bestFit="1" customWidth="1"/>
    <col min="11" max="11" width="8.3046875" bestFit="1" customWidth="1"/>
  </cols>
  <sheetData>
    <row r="1" spans="1:13" x14ac:dyDescent="0.4">
      <c r="A1" s="43" t="s">
        <v>18</v>
      </c>
      <c r="B1" s="43"/>
      <c r="C1" s="43"/>
      <c r="D1" s="43"/>
      <c r="E1" s="43"/>
    </row>
    <row r="2" spans="1:13" x14ac:dyDescent="0.4">
      <c r="A2" t="s">
        <v>234</v>
      </c>
      <c r="B2" t="s">
        <v>235</v>
      </c>
      <c r="C2" t="s">
        <v>272</v>
      </c>
    </row>
    <row r="3" spans="1:13" x14ac:dyDescent="0.4">
      <c r="A3" t="s">
        <v>19</v>
      </c>
      <c r="B3">
        <v>10</v>
      </c>
    </row>
    <row r="4" spans="1:13" x14ac:dyDescent="0.4">
      <c r="A4" t="s">
        <v>20</v>
      </c>
    </row>
    <row r="5" spans="1:13" x14ac:dyDescent="0.4">
      <c r="B5" t="s">
        <v>21</v>
      </c>
      <c r="C5" t="s">
        <v>236</v>
      </c>
      <c r="D5" t="s">
        <v>22</v>
      </c>
      <c r="E5" t="s">
        <v>23</v>
      </c>
      <c r="F5" t="s">
        <v>24</v>
      </c>
    </row>
    <row r="6" spans="1:13" x14ac:dyDescent="0.4">
      <c r="A6" t="s">
        <v>113</v>
      </c>
      <c r="B6" t="s">
        <v>114</v>
      </c>
      <c r="C6" s="44" t="str">
        <f>_xll.Concatenate_Dlm(C8:C32," ")</f>
        <v>--base-dir D:\WDS\dev\lib\github\WDataSci\WDS-JniPMML-XLL\master --pmml test\data\IrisMultinomReg.xml --input test\data\Iris.csv --input-schema test\data\Iris_Input.xsd --output test\output\output.h5 --output-type HDF5 --input-schema-type xsd --input-has-header --output-HDF5-strings-with-fixed-length 64</v>
      </c>
      <c r="D6" s="44"/>
      <c r="E6" s="44"/>
      <c r="F6" s="44"/>
      <c r="G6" s="44"/>
      <c r="H6" s="44"/>
      <c r="I6" s="44"/>
      <c r="J6" s="44"/>
      <c r="K6" s="44"/>
      <c r="L6" s="44"/>
      <c r="M6" s="44"/>
    </row>
    <row r="7" spans="1:13" x14ac:dyDescent="0.4">
      <c r="A7" t="s">
        <v>25</v>
      </c>
      <c r="B7" t="s">
        <v>26</v>
      </c>
      <c r="C7" t="s">
        <v>97</v>
      </c>
      <c r="D7" t="s">
        <v>27</v>
      </c>
      <c r="E7" t="s">
        <v>98</v>
      </c>
      <c r="F7" t="s">
        <v>99</v>
      </c>
      <c r="G7" t="s">
        <v>100</v>
      </c>
      <c r="H7" t="s">
        <v>101</v>
      </c>
      <c r="I7" t="s">
        <v>102</v>
      </c>
      <c r="J7" t="s">
        <v>103</v>
      </c>
      <c r="K7" t="s">
        <v>104</v>
      </c>
    </row>
    <row r="8" spans="1:13" x14ac:dyDescent="0.4">
      <c r="A8" s="1" t="s">
        <v>219</v>
      </c>
      <c r="B8" t="str" cm="1">
        <f t="array" ref="B8">fWBPath(A8)</f>
        <v>D:\WDS\dev\lib\github\WDataSci\WDS-JniPMML-XLL\master</v>
      </c>
      <c r="C8" t="str">
        <f t="shared" ref="C8:C28" si="0">IF(NOT(ISBLANK(A8)),A8&amp;IF(I8&lt;&gt;0," "&amp;IF(ISBLANK(B8),J8,B8),""),"")</f>
        <v>--base-dir D:\WDS\dev\lib\github\WDataSci\WDS-JniPMML-XLL\master</v>
      </c>
      <c r="D8" t="s">
        <v>215</v>
      </c>
      <c r="E8" t="s">
        <v>216</v>
      </c>
      <c r="F8" t="s">
        <v>217</v>
      </c>
      <c r="G8" t="s">
        <v>37</v>
      </c>
      <c r="H8">
        <v>1</v>
      </c>
      <c r="I8">
        <v>-1</v>
      </c>
      <c r="J8" t="s">
        <v>218</v>
      </c>
      <c r="K8" t="b">
        <v>0</v>
      </c>
    </row>
    <row r="9" spans="1:13" x14ac:dyDescent="0.4">
      <c r="A9" t="s">
        <v>106</v>
      </c>
      <c r="B9" t="s">
        <v>237</v>
      </c>
      <c r="C9" t="str">
        <f t="shared" si="0"/>
        <v>--pmml test\data\IrisMultinomReg.xml</v>
      </c>
      <c r="D9" t="s">
        <v>34</v>
      </c>
      <c r="E9" t="s">
        <v>35</v>
      </c>
      <c r="F9" t="s">
        <v>36</v>
      </c>
      <c r="G9" t="s">
        <v>37</v>
      </c>
      <c r="H9">
        <v>1</v>
      </c>
      <c r="I9">
        <v>-1</v>
      </c>
      <c r="J9" t="s">
        <v>38</v>
      </c>
      <c r="K9" t="b">
        <v>1</v>
      </c>
    </row>
    <row r="10" spans="1:13" x14ac:dyDescent="0.4">
      <c r="C10" t="str">
        <f t="shared" si="0"/>
        <v/>
      </c>
      <c r="D10" t="s">
        <v>39</v>
      </c>
      <c r="E10" t="s">
        <v>40</v>
      </c>
      <c r="F10" t="s">
        <v>41</v>
      </c>
      <c r="G10" t="s">
        <v>37</v>
      </c>
      <c r="H10">
        <v>2</v>
      </c>
      <c r="I10">
        <v>-1</v>
      </c>
      <c r="J10" t="s">
        <v>42</v>
      </c>
      <c r="K10" t="b">
        <v>0</v>
      </c>
    </row>
    <row r="11" spans="1:13" x14ac:dyDescent="0.4">
      <c r="A11" t="s">
        <v>96</v>
      </c>
      <c r="B11" t="s">
        <v>238</v>
      </c>
      <c r="C11" t="str">
        <f t="shared" si="0"/>
        <v>--input test\data\Iris.csv</v>
      </c>
      <c r="D11" t="s">
        <v>43</v>
      </c>
      <c r="E11" t="s">
        <v>44</v>
      </c>
      <c r="F11" t="s">
        <v>45</v>
      </c>
      <c r="G11" t="s">
        <v>37</v>
      </c>
      <c r="H11">
        <v>2</v>
      </c>
      <c r="I11">
        <v>-1</v>
      </c>
      <c r="J11" t="s">
        <v>38</v>
      </c>
      <c r="K11" t="b">
        <v>1</v>
      </c>
    </row>
    <row r="12" spans="1:13" x14ac:dyDescent="0.4">
      <c r="A12" s="1" t="s">
        <v>240</v>
      </c>
      <c r="B12" t="s">
        <v>241</v>
      </c>
      <c r="C12" t="str">
        <f t="shared" si="0"/>
        <v>--input-schema test\data\Iris_Input.xsd</v>
      </c>
      <c r="D12" t="s">
        <v>46</v>
      </c>
      <c r="E12" t="s">
        <v>47</v>
      </c>
      <c r="F12" t="s">
        <v>48</v>
      </c>
      <c r="G12" t="s">
        <v>37</v>
      </c>
      <c r="H12">
        <v>4</v>
      </c>
      <c r="I12">
        <v>-1</v>
      </c>
      <c r="J12" t="s">
        <v>38</v>
      </c>
      <c r="K12" t="b">
        <v>0</v>
      </c>
    </row>
    <row r="13" spans="1:13" x14ac:dyDescent="0.4">
      <c r="C13" t="str">
        <f t="shared" si="0"/>
        <v/>
      </c>
      <c r="D13" t="s">
        <v>49</v>
      </c>
      <c r="E13" t="s">
        <v>50</v>
      </c>
      <c r="F13" t="s">
        <v>51</v>
      </c>
      <c r="G13" t="s">
        <v>37</v>
      </c>
      <c r="H13">
        <v>5</v>
      </c>
      <c r="I13">
        <v>-1</v>
      </c>
      <c r="J13" t="s">
        <v>38</v>
      </c>
      <c r="K13" t="b">
        <v>0</v>
      </c>
    </row>
    <row r="14" spans="1:13" x14ac:dyDescent="0.4">
      <c r="C14" t="str">
        <f t="shared" si="0"/>
        <v/>
      </c>
      <c r="D14" t="s">
        <v>77</v>
      </c>
      <c r="E14" t="s">
        <v>78</v>
      </c>
      <c r="F14" t="s">
        <v>79</v>
      </c>
      <c r="G14" t="s">
        <v>37</v>
      </c>
      <c r="H14">
        <v>5</v>
      </c>
      <c r="I14">
        <v>-1</v>
      </c>
      <c r="J14" t="s">
        <v>80</v>
      </c>
      <c r="K14" t="b">
        <v>0</v>
      </c>
    </row>
    <row r="15" spans="1:13" x14ac:dyDescent="0.4">
      <c r="A15" t="s">
        <v>109</v>
      </c>
      <c r="B15" t="s">
        <v>239</v>
      </c>
      <c r="C15" t="str">
        <f t="shared" si="0"/>
        <v>--output test\output\output.h5</v>
      </c>
      <c r="D15" t="s">
        <v>66</v>
      </c>
      <c r="E15" t="s">
        <v>67</v>
      </c>
      <c r="F15" t="s">
        <v>68</v>
      </c>
      <c r="G15" t="s">
        <v>37</v>
      </c>
      <c r="H15">
        <v>6</v>
      </c>
      <c r="I15">
        <v>-1</v>
      </c>
      <c r="J15" t="s">
        <v>38</v>
      </c>
      <c r="K15" t="b">
        <v>1</v>
      </c>
    </row>
    <row r="16" spans="1:13" x14ac:dyDescent="0.4">
      <c r="A16" t="s">
        <v>110</v>
      </c>
      <c r="B16" t="s">
        <v>111</v>
      </c>
      <c r="C16" t="str">
        <f t="shared" si="0"/>
        <v>--output-type HDF5</v>
      </c>
      <c r="D16" t="s">
        <v>69</v>
      </c>
      <c r="E16" t="s">
        <v>70</v>
      </c>
      <c r="F16" t="s">
        <v>71</v>
      </c>
      <c r="G16" t="s">
        <v>37</v>
      </c>
      <c r="H16">
        <v>6</v>
      </c>
      <c r="I16">
        <v>-1</v>
      </c>
      <c r="J16" t="s">
        <v>42</v>
      </c>
      <c r="K16" t="b">
        <v>0</v>
      </c>
    </row>
    <row r="17" spans="1:11" x14ac:dyDescent="0.4">
      <c r="C17" t="str">
        <f t="shared" si="0"/>
        <v/>
      </c>
      <c r="D17" t="s">
        <v>84</v>
      </c>
      <c r="E17" t="s">
        <v>85</v>
      </c>
      <c r="F17" t="s">
        <v>86</v>
      </c>
      <c r="G17" t="s">
        <v>37</v>
      </c>
      <c r="H17">
        <v>7</v>
      </c>
      <c r="I17">
        <v>-1</v>
      </c>
      <c r="J17" t="s">
        <v>87</v>
      </c>
      <c r="K17" t="b">
        <v>0</v>
      </c>
    </row>
    <row r="18" spans="1:11" x14ac:dyDescent="0.4">
      <c r="C18" t="str">
        <f t="shared" si="0"/>
        <v/>
      </c>
      <c r="D18" t="s">
        <v>88</v>
      </c>
      <c r="E18" t="s">
        <v>89</v>
      </c>
      <c r="F18" t="s">
        <v>90</v>
      </c>
      <c r="G18" t="s">
        <v>37</v>
      </c>
      <c r="H18">
        <v>7</v>
      </c>
      <c r="I18">
        <v>-1</v>
      </c>
      <c r="J18" t="s">
        <v>91</v>
      </c>
      <c r="K18" t="b">
        <v>0</v>
      </c>
    </row>
    <row r="19" spans="1:11" x14ac:dyDescent="0.4">
      <c r="A19" t="s">
        <v>108</v>
      </c>
      <c r="B19" t="s">
        <v>55</v>
      </c>
      <c r="C19" t="str">
        <f t="shared" si="0"/>
        <v>--input-schema-type xsd</v>
      </c>
      <c r="D19" t="s">
        <v>52</v>
      </c>
      <c r="E19" t="s">
        <v>53</v>
      </c>
      <c r="F19" t="s">
        <v>54</v>
      </c>
      <c r="G19" t="s">
        <v>37</v>
      </c>
      <c r="H19">
        <v>100</v>
      </c>
      <c r="I19">
        <v>-1</v>
      </c>
      <c r="J19" t="s">
        <v>55</v>
      </c>
      <c r="K19" t="b">
        <v>0</v>
      </c>
    </row>
    <row r="20" spans="1:11" x14ac:dyDescent="0.4">
      <c r="C20" t="str">
        <f t="shared" si="0"/>
        <v/>
      </c>
      <c r="D20" t="s">
        <v>28</v>
      </c>
      <c r="E20" t="s">
        <v>29</v>
      </c>
      <c r="F20" t="s">
        <v>105</v>
      </c>
      <c r="G20" t="s">
        <v>30</v>
      </c>
      <c r="H20">
        <v>1000</v>
      </c>
      <c r="I20">
        <v>0</v>
      </c>
      <c r="J20" t="b">
        <v>0</v>
      </c>
      <c r="K20" t="b">
        <v>0</v>
      </c>
    </row>
    <row r="21" spans="1:11" x14ac:dyDescent="0.4">
      <c r="C21" t="str">
        <f t="shared" si="0"/>
        <v/>
      </c>
      <c r="D21" t="s">
        <v>31</v>
      </c>
      <c r="E21" t="s">
        <v>32</v>
      </c>
      <c r="F21" t="s">
        <v>33</v>
      </c>
      <c r="G21" t="s">
        <v>30</v>
      </c>
      <c r="H21">
        <v>1000</v>
      </c>
      <c r="I21">
        <v>0</v>
      </c>
      <c r="J21" t="b">
        <v>1</v>
      </c>
      <c r="K21" t="b">
        <v>0</v>
      </c>
    </row>
    <row r="22" spans="1:11" x14ac:dyDescent="0.4">
      <c r="C22" t="str">
        <f t="shared" si="0"/>
        <v/>
      </c>
      <c r="D22" t="s">
        <v>56</v>
      </c>
      <c r="E22" t="s">
        <v>57</v>
      </c>
      <c r="F22" t="s">
        <v>58</v>
      </c>
      <c r="G22" t="s">
        <v>30</v>
      </c>
      <c r="H22">
        <v>1000</v>
      </c>
      <c r="I22">
        <v>0</v>
      </c>
      <c r="J22" t="b">
        <v>1</v>
      </c>
      <c r="K22" t="b">
        <v>0</v>
      </c>
    </row>
    <row r="23" spans="1:11" x14ac:dyDescent="0.4">
      <c r="A23" t="s">
        <v>107</v>
      </c>
      <c r="C23" t="str">
        <f t="shared" si="0"/>
        <v>--input-has-header</v>
      </c>
      <c r="D23" t="s">
        <v>59</v>
      </c>
      <c r="E23" t="s">
        <v>60</v>
      </c>
      <c r="F23" t="s">
        <v>61</v>
      </c>
      <c r="G23" t="s">
        <v>30</v>
      </c>
      <c r="H23">
        <v>1000</v>
      </c>
      <c r="I23">
        <v>0</v>
      </c>
      <c r="J23" t="b">
        <v>0</v>
      </c>
      <c r="K23" t="b">
        <v>0</v>
      </c>
    </row>
    <row r="24" spans="1:11" x14ac:dyDescent="0.4">
      <c r="C24" t="str">
        <f t="shared" si="0"/>
        <v/>
      </c>
      <c r="D24" t="s">
        <v>62</v>
      </c>
      <c r="E24" t="s">
        <v>63</v>
      </c>
      <c r="F24" t="s">
        <v>64</v>
      </c>
      <c r="G24" t="s">
        <v>37</v>
      </c>
      <c r="H24">
        <v>1000</v>
      </c>
      <c r="I24">
        <v>-1</v>
      </c>
      <c r="J24" t="s">
        <v>65</v>
      </c>
      <c r="K24" t="b">
        <v>0</v>
      </c>
    </row>
    <row r="25" spans="1:11" x14ac:dyDescent="0.4">
      <c r="A25" t="s">
        <v>112</v>
      </c>
      <c r="C25" t="str">
        <f t="shared" si="0"/>
        <v>--output-HDF5-strings-with-fixed-length 64</v>
      </c>
      <c r="D25" t="s">
        <v>72</v>
      </c>
      <c r="E25" t="s">
        <v>115</v>
      </c>
      <c r="F25" t="s">
        <v>116</v>
      </c>
      <c r="G25" t="s">
        <v>73</v>
      </c>
      <c r="H25">
        <v>1000</v>
      </c>
      <c r="I25">
        <v>-1</v>
      </c>
      <c r="J25">
        <v>64</v>
      </c>
      <c r="K25" t="b">
        <v>0</v>
      </c>
    </row>
    <row r="26" spans="1:11" x14ac:dyDescent="0.4">
      <c r="C26" t="str">
        <f t="shared" si="0"/>
        <v/>
      </c>
      <c r="D26" t="s">
        <v>74</v>
      </c>
      <c r="E26" t="s">
        <v>75</v>
      </c>
      <c r="F26" t="s">
        <v>76</v>
      </c>
      <c r="G26" t="s">
        <v>30</v>
      </c>
      <c r="H26">
        <v>1000</v>
      </c>
      <c r="I26">
        <v>0</v>
      </c>
      <c r="J26" t="b">
        <v>0</v>
      </c>
      <c r="K26" t="b">
        <v>0</v>
      </c>
    </row>
    <row r="27" spans="1:11" x14ac:dyDescent="0.4">
      <c r="C27" t="str">
        <f t="shared" si="0"/>
        <v/>
      </c>
      <c r="D27" t="s">
        <v>81</v>
      </c>
      <c r="E27" t="s">
        <v>82</v>
      </c>
      <c r="F27" t="s">
        <v>83</v>
      </c>
      <c r="G27" t="s">
        <v>30</v>
      </c>
      <c r="H27">
        <v>1000</v>
      </c>
      <c r="I27">
        <v>0</v>
      </c>
      <c r="J27" t="b">
        <v>1</v>
      </c>
      <c r="K27" t="b">
        <v>0</v>
      </c>
    </row>
    <row r="28" spans="1:11" x14ac:dyDescent="0.4">
      <c r="C28" t="str">
        <f t="shared" si="0"/>
        <v/>
      </c>
      <c r="D28" t="s">
        <v>92</v>
      </c>
      <c r="E28" t="s">
        <v>93</v>
      </c>
      <c r="F28" t="s">
        <v>94</v>
      </c>
      <c r="G28" t="s">
        <v>37</v>
      </c>
      <c r="H28">
        <v>1000</v>
      </c>
      <c r="I28">
        <v>-1</v>
      </c>
      <c r="J28" t="s">
        <v>95</v>
      </c>
      <c r="K28" t="b">
        <v>0</v>
      </c>
    </row>
  </sheetData>
  <sortState xmlns:xlrd2="http://schemas.microsoft.com/office/spreadsheetml/2017/richdata2" ref="A8:M28">
    <sortCondition ref="H8"/>
  </sortState>
  <mergeCells count="2">
    <mergeCell ref="A1:E1"/>
    <mergeCell ref="C6:M6"/>
  </mergeCells>
  <dataValidations count="21">
    <dataValidation type="list" allowBlank="1" showInputMessage="1" showErrorMessage="1" sqref="A8" xr:uid="{4B905E39-7739-46B2-8281-71C91C9AD7F4}">
      <formula1>"'--base-dir"</formula1>
    </dataValidation>
    <dataValidation type="list" allowBlank="1" showInputMessage="1" showErrorMessage="1" sqref="A9" xr:uid="{B23BB49B-7E6D-4480-B29E-4845659266B8}">
      <formula1>"'--pmml"</formula1>
    </dataValidation>
    <dataValidation type="list" allowBlank="1" showInputMessage="1" showErrorMessage="1" sqref="A10" xr:uid="{3106B4E8-BC5C-4775-8645-831DA20D225B}">
      <formula1>"'--input-type"</formula1>
    </dataValidation>
    <dataValidation type="list" allowBlank="1" showInputMessage="1" showErrorMessage="1" sqref="A11" xr:uid="{95A200A1-E824-4A8C-8C62-BB11DBAC3043}">
      <formula1>"'--input"</formula1>
    </dataValidation>
    <dataValidation type="list" allowBlank="1" showInputMessage="1" showErrorMessage="1" sqref="A12" xr:uid="{BFB2256E-0B59-4FA9-82C8-F2760182EC95}">
      <formula1>"'--input-schema"</formula1>
    </dataValidation>
    <dataValidation type="list" allowBlank="1" showInputMessage="1" showErrorMessage="1" sqref="A13" xr:uid="{E0EA7736-C0D3-426E-9616-93F32C101446}">
      <formula1>"'--input-schema-recordset-element,'--input-schema-rowset-element,'--input-HDF5-DataSet"</formula1>
    </dataValidation>
    <dataValidation type="list" allowBlank="1" showInputMessage="1" showErrorMessage="1" sqref="A14" xr:uid="{E6115D61-2E4F-4DC4-AFB8-A78AFD5F87A6}">
      <formula1>"'--output-HDF5-dataset-name"</formula1>
    </dataValidation>
    <dataValidation type="list" allowBlank="1" showInputMessage="1" showErrorMessage="1" sqref="A15" xr:uid="{6A57DD42-7530-4AF0-BAEF-50ACC3C2F290}">
      <formula1>"'--output"</formula1>
    </dataValidation>
    <dataValidation type="list" allowBlank="1" showInputMessage="1" showErrorMessage="1" sqref="A16" xr:uid="{106CC378-D006-456B-A101-324B89EE1493}">
      <formula1>"'--output-type"</formula1>
    </dataValidation>
    <dataValidation type="list" allowBlank="1" showInputMessage="1" showErrorMessage="1" sqref="A17" xr:uid="{4B74691D-36B9-4E5E-9356-BDA9933E98FE}">
      <formula1>"'--output-input-fields-suffix"</formula1>
    </dataValidation>
    <dataValidation type="list" allowBlank="1" showInputMessage="1" showErrorMessage="1" sqref="A18" xr:uid="{44325222-A990-4217-B0AD-A051952CB989}">
      <formula1>"'--output-field-composite-name-dlm"</formula1>
    </dataValidation>
    <dataValidation type="list" allowBlank="1" showInputMessage="1" showErrorMessage="1" sqref="A19" xr:uid="{C4D4B84B-6A61-4A48-AD42-C202B408F67B}">
      <formula1>"'--input-schema-type"</formula1>
    </dataValidation>
    <dataValidation type="list" allowBlank="1" showInputMessage="1" showErrorMessage="1" sqref="A20" xr:uid="{07ED2917-57CC-418D-8341-9F14A129D6A6}">
      <formula1>"'--help"</formula1>
    </dataValidation>
    <dataValidation type="list" allowBlank="1" showInputMessage="1" showErrorMessage="1" sqref="A21" xr:uid="{6D113CD1-77F9-4CF0-A099-2803F46E97A4}">
      <formula1>"'--no-verbose"</formula1>
    </dataValidation>
    <dataValidation type="list" allowBlank="1" showInputMessage="1" showErrorMessage="1" sqref="A22" xr:uid="{CCA4089A-A0D6-4A38-9A3B-814C3F6ABBC7}">
      <formula1>"'--no-input-check-for-header"</formula1>
    </dataValidation>
    <dataValidation type="list" allowBlank="1" showInputMessage="1" showErrorMessage="1" sqref="A23" xr:uid="{1B9B5413-7F6C-4D7A-8EDD-91FC6DD0C6F3}">
      <formula1>"'--input-has-header"</formula1>
    </dataValidation>
    <dataValidation type="list" allowBlank="1" showInputMessage="1" showErrorMessage="1" sqref="A24" xr:uid="{FF30EA36-3BB0-4A71-9D09-035C496A09D7}">
      <formula1>"'--input-dlm"</formula1>
    </dataValidation>
    <dataValidation type="list" allowBlank="1" showInputMessage="1" showErrorMessage="1" sqref="A25" xr:uid="{8BF3DD34-ED7B-44E4-BDF2-9AFD9A359807}">
      <formula1>"'--output-HDF5-strings-with-fixed-Length"</formula1>
    </dataValidation>
    <dataValidation type="list" allowBlank="1" showInputMessage="1" showErrorMessage="1" sqref="A26" xr:uid="{2954EC26-770E-46B6-A7B3-FB7F96C5FC14}">
      <formula1>"'--output-header"</formula1>
    </dataValidation>
    <dataValidation type="list" allowBlank="1" showInputMessage="1" showErrorMessage="1" sqref="A27" xr:uid="{A1BE2A6A-5F66-4591-9189-DF3A30D48DAD}">
      <formula1>"'--no-output-input-fields"</formula1>
    </dataValidation>
    <dataValidation type="list" allowBlank="1" showInputMessage="1" showErrorMessage="1" sqref="A28" xr:uid="{99C209DD-7888-417F-84DB-62B6D04B4BC4}">
      <formula1>"'--output-dlm"</formula1>
    </dataValidation>
  </dataValidations>
  <pageMargins left="0.7" right="0.7" top="0.75" bottom="0.75" header="0.3" footer="0.3"/>
  <pageSetup orientation="portrait" horizontalDpi="1200" verticalDpi="1200"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44BD6-F46C-4B4F-B1BE-F857D2DEF660}">
  <sheetPr codeName="Sheet3"/>
  <dimension ref="A1:L53"/>
  <sheetViews>
    <sheetView workbookViewId="0"/>
  </sheetViews>
  <sheetFormatPr defaultRowHeight="14.6" x14ac:dyDescent="0.4"/>
  <cols>
    <col min="1" max="1" width="19.15234375" bestFit="1" customWidth="1"/>
    <col min="2" max="2" width="72.07421875" bestFit="1" customWidth="1"/>
    <col min="3" max="3" width="14.23046875" bestFit="1" customWidth="1"/>
    <col min="4" max="4" width="18.3046875" bestFit="1" customWidth="1"/>
    <col min="5" max="5" width="14.23046875" bestFit="1" customWidth="1"/>
    <col min="6" max="6" width="57.3046875" bestFit="1" customWidth="1"/>
    <col min="7" max="7" width="63" bestFit="1" customWidth="1"/>
    <col min="9" max="9" width="60.23046875" bestFit="1" customWidth="1"/>
    <col min="10" max="10" width="38.53515625" bestFit="1" customWidth="1"/>
  </cols>
  <sheetData>
    <row r="1" spans="1:10" x14ac:dyDescent="0.4">
      <c r="A1" t="s">
        <v>221</v>
      </c>
    </row>
    <row r="2" spans="1:10" x14ac:dyDescent="0.4">
      <c r="A2" t="s">
        <v>8</v>
      </c>
      <c r="B2" s="41" t="s">
        <v>222</v>
      </c>
      <c r="C2" s="41"/>
      <c r="D2" s="41"/>
      <c r="E2" s="41"/>
      <c r="F2" s="41"/>
      <c r="G2" s="41"/>
      <c r="H2" s="41"/>
      <c r="I2" s="41"/>
    </row>
    <row r="3" spans="1:10" x14ac:dyDescent="0.4">
      <c r="B3" t="s">
        <v>223</v>
      </c>
      <c r="E3" t="s">
        <v>224</v>
      </c>
      <c r="F3" t="s">
        <v>227</v>
      </c>
      <c r="G3" s="22" t="str">
        <f>"|||"&amp;F3&amp;"|||"</f>
        <v>|||Result|||</v>
      </c>
    </row>
    <row r="4" spans="1:10" x14ac:dyDescent="0.4">
      <c r="B4" s="24" t="s">
        <v>233</v>
      </c>
      <c r="E4" t="s">
        <v>225</v>
      </c>
      <c r="F4" t="str" cm="1">
        <f t="array" ref="F4">_xll.CleanAsNMToken(B4)</f>
        <v>Heywhatx-xxxxa.a.b.c:...z..z..zzz</v>
      </c>
      <c r="G4" t="str">
        <f>"|||"&amp;F4&amp;"|||"</f>
        <v>|||Heywhatx-xxxxa.a.b.c:...z..z..zzz|||</v>
      </c>
    </row>
    <row r="5" spans="1:10" x14ac:dyDescent="0.4">
      <c r="B5" s="25" t="str">
        <f>B4</f>
        <v xml:space="preserve">   ~!@#$%^&amp;*()+`1234567890-=[]\{}|;'",./&lt;&gt;? Hey,what!x   -xxxxa.a.b.c:…...z..z..zzz    </v>
      </c>
      <c r="E5" t="s">
        <v>226</v>
      </c>
      <c r="F5" t="str" cm="1">
        <f t="array" ref="F5">_xll.CleanAsNMToken_ViaJni(B5)</f>
        <v>Heywhatx-xxxxa.a.b.c:...z..z..zzz</v>
      </c>
      <c r="G5" s="22" t="str">
        <f>"|||"&amp;F5&amp;"|||"</f>
        <v>|||Heywhatx-xxxxa.a.b.c:...z..z..zzz|||</v>
      </c>
    </row>
    <row r="6" spans="1:10" s="28" customFormat="1" x14ac:dyDescent="0.4"/>
    <row r="7" spans="1:10" s="28" customFormat="1" x14ac:dyDescent="0.4">
      <c r="A7" s="28" t="s">
        <v>243</v>
      </c>
      <c r="B7" s="41" t="s">
        <v>244</v>
      </c>
      <c r="C7" s="41"/>
      <c r="D7" s="41"/>
      <c r="E7" s="41"/>
      <c r="F7" s="41"/>
      <c r="G7" s="41"/>
      <c r="H7" s="41"/>
      <c r="I7" s="41"/>
    </row>
    <row r="8" spans="1:10" s="28" customFormat="1" x14ac:dyDescent="0.4">
      <c r="B8" s="28" t="s">
        <v>223</v>
      </c>
      <c r="E8" s="28" t="s">
        <v>224</v>
      </c>
      <c r="F8" s="28" t="s">
        <v>227</v>
      </c>
      <c r="G8" s="28" t="str">
        <f>"|||"&amp;F8&amp;"|||"</f>
        <v>|||Result|||</v>
      </c>
    </row>
    <row r="9" spans="1:10" s="28" customFormat="1" x14ac:dyDescent="0.4">
      <c r="B9" s="25" t="str">
        <f>B4</f>
        <v xml:space="preserve">   ~!@#$%^&amp;*()+`1234567890-=[]\{}|;'",./&lt;&gt;? Hey,what!x   -xxxxa.a.b.c:…...z..z..zzz    </v>
      </c>
      <c r="E9" s="28" t="s">
        <v>225</v>
      </c>
      <c r="F9" s="28" t="str" cm="1">
        <f t="array" ref="F9">_xll.CleanAsNMTokenXSD(B9)</f>
        <v>1234567890-.Heywhatx-xxxxa.a.b.c:...z..z..zzz</v>
      </c>
      <c r="G9" s="28" t="str">
        <f>"|||"&amp;F9&amp;"|||"</f>
        <v>|||1234567890-.Heywhatx-xxxxa.a.b.c:...z..z..zzz|||</v>
      </c>
    </row>
    <row r="11" spans="1:10" x14ac:dyDescent="0.4">
      <c r="A11" t="s">
        <v>228</v>
      </c>
      <c r="B11" s="22" t="s">
        <v>223</v>
      </c>
      <c r="C11" t="s">
        <v>229</v>
      </c>
      <c r="D11" t="s">
        <v>230</v>
      </c>
      <c r="E11" s="22" t="s">
        <v>224</v>
      </c>
      <c r="F11" s="22" t="s">
        <v>227</v>
      </c>
      <c r="G11" s="22" t="str">
        <f>"|||"&amp;F11&amp;"|||"</f>
        <v>|||Result|||</v>
      </c>
    </row>
    <row r="12" spans="1:10" x14ac:dyDescent="0.4">
      <c r="B12" s="25" t="str">
        <f>B4</f>
        <v xml:space="preserve">   ~!@#$%^&amp;*()+`1234567890-=[]\{}|;'",./&lt;&gt;? Hey,what!x   -xxxxa.a.b.c:…...z..z..zzz    </v>
      </c>
      <c r="C12" t="s">
        <v>231</v>
      </c>
      <c r="D12" t="s">
        <v>232</v>
      </c>
      <c r="E12" s="22" t="s">
        <v>225</v>
      </c>
      <c r="F12" s="22" t="str" cm="1">
        <f t="array" ref="F12">_xll.CleanStringWithRegex(B12,C12,D12)</f>
        <v xml:space="preserve">   ~!@#$%^&amp;*()+`1234567890-=[]\{}|;'",./&lt;&gt;? huh?,what!x   -xxxxa.a.b.c:…...z..z..zzz    </v>
      </c>
      <c r="G12" s="22" t="str">
        <f>"|||"&amp;F12&amp;"|||"</f>
        <v>|||   ~!@#$%^&amp;*()+`1234567890-=[]\{}|;'",./&lt;&gt;? huh?,what!x   -xxxxa.a.b.c:…...z..z..zzz    |||</v>
      </c>
      <c r="I12" s="1"/>
    </row>
    <row r="13" spans="1:10" x14ac:dyDescent="0.4">
      <c r="B13" s="25" t="str">
        <f>B4</f>
        <v xml:space="preserve">   ~!@#$%^&amp;*()+`1234567890-=[]\{}|;'",./&lt;&gt;? Hey,what!x   -xxxxa.a.b.c:…...z..z..zzz    </v>
      </c>
      <c r="C13" s="25" t="str">
        <f>C12</f>
        <v>Hey</v>
      </c>
      <c r="D13" s="25" t="str">
        <f>D12</f>
        <v>huh?</v>
      </c>
      <c r="E13" s="22" t="s">
        <v>226</v>
      </c>
      <c r="F13" s="23" t="str" cm="1">
        <f t="array" ref="F13">_xll.CleanStringWithRegex_ViaJni(B13,C13,D13)</f>
        <v xml:space="preserve">   ~!@#$%^&amp;*()+`1234567890-=[]\{}|;'",./&lt;&gt;? huh?,what!x   -xxxxa.a.b.c:…...z..z..zzz    </v>
      </c>
      <c r="G13" s="22" t="str">
        <f>"|||"&amp;F13&amp;"|||"</f>
        <v>|||   ~!@#$%^&amp;*()+`1234567890-=[]\{}|;'",./&lt;&gt;? huh?,what!x   -xxxxa.a.b.c:…...z..z..zzz    |||</v>
      </c>
    </row>
    <row r="14" spans="1:10" x14ac:dyDescent="0.4">
      <c r="I14" s="20"/>
      <c r="J14" s="22"/>
    </row>
    <row r="15" spans="1:10" x14ac:dyDescent="0.4">
      <c r="A15" t="s">
        <v>242</v>
      </c>
      <c r="B15" t="s">
        <v>223</v>
      </c>
      <c r="E15" t="s">
        <v>224</v>
      </c>
      <c r="F15" s="26" t="s">
        <v>227</v>
      </c>
      <c r="G15" s="26" t="str">
        <f>"|||"&amp;F15&amp;"|||"</f>
        <v>|||Result|||</v>
      </c>
      <c r="J15" s="22"/>
    </row>
    <row r="16" spans="1:10" x14ac:dyDescent="0.4">
      <c r="B16" s="25" t="str">
        <f>B4</f>
        <v xml:space="preserve">   ~!@#$%^&amp;*()+`1234567890-=[]\{}|;'",./&lt;&gt;? Hey,what!x   -xxxxa.a.b.c:…...z..z..zzz    </v>
      </c>
      <c r="E16" t="s">
        <v>225</v>
      </c>
      <c r="F16" t="str" cm="1">
        <f t="array" ref="F16">_xll.CleanAsToken(B16)</f>
        <v>~!@#$%^&amp;*()+`1234567890-=[]\{}|;'",./&lt;&gt;? Hey,what!x -xxxxa.a.b.c:…...z..z..zzz</v>
      </c>
      <c r="G16" s="26" t="str">
        <f>"|||"&amp;F16&amp;"|||"</f>
        <v>|||~!@#$%^&amp;*()+`1234567890-=[]\{}|;'",./&lt;&gt;? Hey,what!x -xxxxa.a.b.c:…...z..z..zzz|||</v>
      </c>
    </row>
    <row r="17" spans="1:9" ht="43.75" x14ac:dyDescent="0.4">
      <c r="B17" s="29" t="str">
        <f>"   Hey
there are            spaces and " &amp; CHAR(9) &amp; CHAR(9) &amp; CHAR(9) &amp; CHAR(9) &amp; "tabs
      "</f>
        <v xml:space="preserve">   Hey
there are            spaces and 				tabs
      </v>
      </c>
      <c r="E17" t="s">
        <v>225</v>
      </c>
      <c r="F17" s="26" t="str" cm="1">
        <f t="array" ref="F17">_xll.CleanAsToken(B17)</f>
        <v>Hey there are spaces and tabs</v>
      </c>
      <c r="G17" s="26" t="str">
        <f>"|||"&amp;F17&amp;"|||"</f>
        <v>|||Hey there are spaces and tabs|||</v>
      </c>
    </row>
    <row r="20" spans="1:9" x14ac:dyDescent="0.4">
      <c r="A20" t="s">
        <v>252</v>
      </c>
      <c r="B20" s="41" t="s">
        <v>253</v>
      </c>
      <c r="C20" s="41"/>
      <c r="D20" s="41"/>
      <c r="E20" s="41"/>
      <c r="F20" s="41"/>
      <c r="G20" s="41"/>
      <c r="H20" s="41"/>
      <c r="I20" s="41"/>
    </row>
    <row r="21" spans="1:9" s="28" customFormat="1" x14ac:dyDescent="0.4">
      <c r="B21" s="27"/>
      <c r="C21" s="27"/>
      <c r="D21" s="27"/>
      <c r="E21" s="27"/>
      <c r="F21" s="27"/>
      <c r="G21" s="27"/>
      <c r="H21" s="27"/>
      <c r="I21" s="27"/>
    </row>
    <row r="22" spans="1:9" x14ac:dyDescent="0.4">
      <c r="A22" t="s">
        <v>254</v>
      </c>
      <c r="B22" t="s">
        <v>255</v>
      </c>
    </row>
    <row r="23" spans="1:9" x14ac:dyDescent="0.4">
      <c r="B23" s="41" t="str" cm="1">
        <f t="array" ref="B23">XmlMapSchema(Table4[[#Headers],[x]])</f>
        <v xml:space="preserve">&lt;xs:schema xmlns:xs="http://www.w3.org/2001/XMLSchema" xmlns:xi="http://www.w3.org/2001/XInclude" xmlns:wds="http://WDataSci.com" attributeFormDefault="unqualified" elementFormDefault="qualified" xmlns=""&gt;_x000D_
	&lt;xs:simpleType name="Nbr"&gt;_x000D_
		&lt;xs:union memberTypes="xs:decimal xs:integer xs:negativeInteger xs:nonNegativeInteger xs:positiveInteger xs:nonPositiveInteger xs:long xs:int xs:short xs:byte xs:unsignedLong xs:unsignedShort xs:unsignedInt xs:unsignedByte xs:float xs:double"/&gt;_x000D_
	&lt;/xs:simpleType&gt;_x000D_
	&lt;xs:simpleType name="Dbl"&gt;_x000D_
		&lt;xs:union memberTypes="xs:decimal xs:long xs:int xs:short xs:byte xs:unsignedLong xs:unsignedShort xs:unsignedInt xs:unsignedByte xs:float xs:double"/&gt;_x000D_
	&lt;/xs:simpleType&gt;_x000D_
	&lt;xs:simpleType name="Lng"&gt;_x000D_
		&lt;xs:union memberTypes="xs:long"/&gt;_x000D_
	&lt;/xs:simpleType&gt;_x000D_
	&lt;xs:simpleType name="Int"&gt;_x000D_
		&lt;xs:union memberTypes="xs:integer xs:negativeInteger xs:nonNegativeInteger xs:positiveInteger xs:nonPositiveInteger xs:int xs:short xs:unsignedShort xs:unsignedInt"/&gt;_x000D_
	&lt;/xs:simpleType&gt;_x000D_
	&lt;xs:simpleType name="VLS"&gt;_x000D_
		&lt;xs:union memberTypes="xs:token xs:NMTOKEN xs:normalizedString xs:string"/&gt;_x000D_
	&lt;/xs:simpleType&gt;_x000D_
	&lt;xs:simpleType name="Str1"&gt;&lt;xs:restriction base="xs:string"&gt;&lt;xs:whiteSpace value="collapse"/&gt;&lt;xs:maxLength value="1"/&gt;&lt;/xs:restriction&gt;&lt;/xs:simpleType&gt;_x000D_
	&lt;xs:simpleType name="Str2"&gt;&lt;xs:restriction base="xs:string"&gt;&lt;xs:whiteSpace value="collapse"/&gt;&lt;xs:maxLength value="2"/&gt;&lt;/xs:restriction&gt;&lt;/xs:simpleType&gt;_x000D_
	&lt;xs:simpleType name="Str3"&gt;&lt;xs:restriction base="xs:string"&gt;&lt;xs:whiteSpace value="collapse"/&gt;&lt;xs:maxLength value="3"/&gt;&lt;/xs:restriction&gt;&lt;/xs:simpleType&gt;_x000D_
	&lt;xs:simpleType name="Str4"&gt;&lt;xs:restriction base="xs:string"&gt;&lt;xs:whiteSpace value="collapse"/&gt;&lt;xs:maxLength value="4"/&gt;&lt;/xs:restriction&gt;&lt;/xs:simpleType&gt;_x000D_
	&lt;xs:simpleType name="Str5"&gt;&lt;xs:restriction base="xs:string"&gt;&lt;xs:whiteSpace value="collapse"/&gt;&lt;xs:maxLength value="5"/&gt;&lt;/xs:restriction&gt;&lt;/xs:simpleType&gt;_x000D_
	&lt;xs:simpleType name="Str6"&gt;&lt;xs:restriction base="xs:string"&gt;&lt;xs:whiteSpace value="collapse"/&gt;&lt;xs:maxLength value="6"/&gt;&lt;/xs:restriction&gt;&lt;/xs:simpleType&gt;_x000D_
	&lt;xs:simpleType name="Str7"&gt;&lt;xs:restriction base="xs:string"&gt;&lt;xs:whiteSpace value="collapse"/&gt;&lt;xs:maxLength value="7"/&gt;&lt;/xs:restriction&gt;&lt;/xs:simpleType&gt;_x000D_
	&lt;xs:simpleType name="Str8"&gt;&lt;xs:restriction base="xs:string"&gt;&lt;xs:whiteSpace value="collapse"/&gt;&lt;xs:maxLength value="8"/&gt;&lt;/xs:restriction&gt;&lt;/xs:simpleType&gt;_x000D_
	&lt;xs:simpleType name="Str9"&gt;&lt;xs:restriction base="xs:string"&gt;&lt;xs:whiteSpace value="collapse"/&gt;&lt;xs:maxLength value="9"/&gt;&lt;/xs:restriction&gt;&lt;/xs:simpleType&gt;_x000D_
	&lt;xs:simpleType name="Str10"&gt;&lt;xs:restriction base="xs:string"&gt;&lt;xs:whiteSpace value="collapse"/&gt;&lt;xs:maxLength value="10"/&gt;&lt;/xs:restriction&gt;&lt;/xs:simpleType&gt;_x000D_
	&lt;xs:simpleType name="Str11"&gt;&lt;xs:restriction base="xs:string"&gt;&lt;xs:whiteSpace value="collapse"/&gt;&lt;xs:maxLength value="11"/&gt;&lt;/xs:restriction&gt;&lt;/xs:simpleType&gt;_x000D_
	&lt;xs:simpleType name="Str12"&gt;&lt;xs:restriction base="xs:string"&gt;&lt;xs:whiteSpace value="collapse"/&gt;&lt;xs:maxLength value="12"/&gt;&lt;/xs:restriction&gt;&lt;/xs:simpleType&gt;_x000D_
	&lt;xs:simpleType name="Str16"&gt;&lt;xs:restriction base="xs:string"&gt;&lt;xs:whiteSpace value="collapse"/&gt;&lt;xs:maxLength value="16"/&gt;&lt;/xs:restriction&gt;&lt;/xs:simpleType&gt;_x000D_
	&lt;xs:simpleType name="Str32"&gt;&lt;xs:restriction base="xs:string"&gt;&lt;xs:whiteSpace value="collapse"/&gt;&lt;xs:maxLength value="32"/&gt;&lt;/xs:restriction&gt;&lt;/xs:simpleType&gt;_x000D_
	&lt;xs:simpleType name="Str64"&gt;&lt;xs:restriction base="xs:string"&gt;&lt;xs:whiteSpace value="collapse"/&gt;&lt;xs:maxLength value="64"/&gt;&lt;/xs:restriction&gt;&lt;/xs:simpleType&gt;_x000D_
	&lt;xs:simpleType name="Str128"&gt;&lt;xs:restriction base="xs:string"&gt;&lt;xs:whiteSpace value="collapse"/&gt;&lt;xs:maxLength value="128"/&gt;&lt;/xs:restriction&gt;&lt;/xs:simpleType&gt;_x000D_
	&lt;xs:simpleType name="Str256"&gt;&lt;xs:restriction base="xs:string"&gt;&lt;xs:whiteSpace value="collapse"/&gt;&lt;xs:maxLength value="256"/&gt;&lt;/xs:restriction&gt;&lt;/xs:simpleType&gt;_x000D_
	&lt;xs:simpleType name="Str512"&gt;&lt;xs:restriction base="xs:string"&gt;&lt;xs:whiteSpace value="collapse"/&gt;&lt;xs:maxLength value="512"/&gt;&lt;/xs:restriction&gt;&lt;/xs:simpleType&gt;_x000D_
	&lt;xs:simpleType name="Str1024"&gt;&lt;xs:restriction base="xs:string"&gt;&lt;xs:whiteSpace value="collapse"/&gt;&lt;xs:maxLength value="1024"/&gt;&lt;/xs:restriction&gt;&lt;/xs:simpleType&gt;_x000D_
	&lt;xs:simpleType name="Str"&gt;_x000D_
		&lt;xs:union memberTypes="Str1 Str2 Str3 Str4 Str5 Str6 Str7 Str8 Str9 Str10 Str11 Str12 Str16 Str32 Str64 Str128 Str256 Str512 Str1024"/&gt;_x000D_
	&lt;/xs:simpleType&gt;_x000D_
	&lt;xs:simpleType name="Dbl_List"&gt;&lt;xs:list itemType="Dbl"/&gt;&lt;/xs:simpleType&gt;_x000D_
	&lt;xs:simpleType name="Int_List"&gt;&lt;xs:list itemType="Int"/&gt;&lt;/xs:simpleType&gt;_x000D_
	&lt;xs:simpleType name="Lng_List"&gt;&lt;xs:list itemType="Lng"/&gt;&lt;/xs:simpleType&gt;_x000D_
	&lt;xs:simpleType name="VLS_List"&gt;&lt;xs:list itemType="VLS"/&gt;&lt;/xs:simpleType&gt;_x000D_
	&lt;xs:simpleType name="Str_List"&gt;&lt;xs:list itemType="Str"/&gt;&lt;/xs:simpleType&gt;_x000D_
	&lt;xs:element name="RecordSet"&gt;&lt;xs:complexType&gt;&lt;xs:sequence&gt;&lt;xs:element name="Record" maxOccurs="unbounded"&gt;&lt;xs:complexType&gt;&lt;xs:sequence&gt;&lt;xs:element name="ID" type="Int"/&gt;&lt;xs:element name="x" type="VLS"/&gt;&lt;xs:element name="y" type="Int"/&gt;&lt;xs:element name="Hey" type="Dbl"/&gt;&lt;/xs:sequence&gt;&lt;/xs:complexType&gt;&lt;/xs:element&gt;&lt;/xs:sequence&gt;&lt;/xs:complexType&gt;&lt;/xs:element&gt;_x000D_
&lt;/xs:schema&gt;_x000D_
</v>
      </c>
      <c r="C23" s="41"/>
      <c r="D23" s="41"/>
      <c r="E23" s="41"/>
      <c r="F23" s="41"/>
      <c r="G23" s="41"/>
      <c r="H23" s="41"/>
      <c r="I23" s="41"/>
    </row>
    <row r="27" spans="1:9" x14ac:dyDescent="0.4">
      <c r="B27" s="18"/>
    </row>
    <row r="47" spans="1:1" ht="19.3" customHeight="1" x14ac:dyDescent="0.4"/>
    <row r="48" spans="1:1" ht="19.3" customHeight="1" x14ac:dyDescent="0.4">
      <c r="A48" t="s">
        <v>245</v>
      </c>
    </row>
    <row r="49" spans="1:12" ht="19.3" customHeight="1" x14ac:dyDescent="0.4">
      <c r="A49" t="s">
        <v>119</v>
      </c>
      <c r="B49" s="12" t="s">
        <v>246</v>
      </c>
      <c r="C49" t="s">
        <v>247</v>
      </c>
      <c r="D49" t="s">
        <v>231</v>
      </c>
      <c r="K49" s="18" t="s">
        <v>302</v>
      </c>
    </row>
    <row r="50" spans="1:12" ht="19.3" customHeight="1" x14ac:dyDescent="0.4">
      <c r="A50">
        <v>1</v>
      </c>
      <c r="B50" s="12" t="s">
        <v>248</v>
      </c>
      <c r="C50">
        <v>1</v>
      </c>
      <c r="D50">
        <v>1</v>
      </c>
      <c r="K50" s="18" t="s">
        <v>303</v>
      </c>
      <c r="L50" s="18" t="s">
        <v>301</v>
      </c>
    </row>
    <row r="51" spans="1:12" x14ac:dyDescent="0.4">
      <c r="A51">
        <v>2</v>
      </c>
      <c r="B51" s="12" t="s">
        <v>249</v>
      </c>
      <c r="C51">
        <v>2</v>
      </c>
      <c r="D51">
        <v>2</v>
      </c>
    </row>
    <row r="52" spans="1:12" x14ac:dyDescent="0.4">
      <c r="A52">
        <v>3</v>
      </c>
      <c r="B52" s="12" t="s">
        <v>250</v>
      </c>
      <c r="C52">
        <v>3</v>
      </c>
      <c r="D52">
        <v>3</v>
      </c>
    </row>
    <row r="53" spans="1:12" x14ac:dyDescent="0.4">
      <c r="A53">
        <v>4</v>
      </c>
      <c r="B53" s="12" t="s">
        <v>251</v>
      </c>
      <c r="C53">
        <v>4</v>
      </c>
      <c r="D53">
        <v>4.0999999999999996</v>
      </c>
    </row>
  </sheetData>
  <mergeCells count="4">
    <mergeCell ref="B2:I2"/>
    <mergeCell ref="B7:I7"/>
    <mergeCell ref="B20:I20"/>
    <mergeCell ref="B23:I23"/>
  </mergeCells>
  <pageMargins left="0.7" right="0.7" top="0.75" bottom="0.75" header="0.3" footer="0.3"/>
  <pageSetup orientation="portrait" horizontalDpi="1200" verticalDpi="12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E64435-A7F3-40BB-88FB-CC677648BD44}">
  <sheetPr codeName="Sheet8"/>
  <dimension ref="A1:AH256"/>
  <sheetViews>
    <sheetView tabSelected="1" zoomScale="80" zoomScaleNormal="80" workbookViewId="0">
      <selection activeCell="C3" sqref="C3"/>
    </sheetView>
  </sheetViews>
  <sheetFormatPr defaultRowHeight="14.6" x14ac:dyDescent="0.4"/>
  <cols>
    <col min="1" max="1" width="9.23046875" style="37"/>
    <col min="2" max="2" width="12.4609375" bestFit="1" customWidth="1"/>
    <col min="3" max="3" width="12.69140625" bestFit="1" customWidth="1"/>
    <col min="4" max="4" width="12.4609375" bestFit="1" customWidth="1"/>
    <col min="5" max="13" width="15.61328125" customWidth="1"/>
    <col min="17" max="17" width="15.921875" bestFit="1" customWidth="1"/>
  </cols>
  <sheetData>
    <row r="1" spans="1:25" x14ac:dyDescent="0.4">
      <c r="B1" t="s">
        <v>276</v>
      </c>
      <c r="C1" s="41" t="str" cm="1">
        <f t="array" ref="C1">C2&amp;" Test, CVs={"&amp;_xll.Concatenate_Dlm(C3:I3,",")&amp;"}, CLs={"&amp;_xll.Concatenate_Dlm(C4:D4,",")&amp;"}"</f>
        <v>Hats Test, CVs={-9,-3,3,4,5,6}, CLs={-100,9.7}</v>
      </c>
      <c r="D1" s="41"/>
      <c r="E1" s="41"/>
      <c r="F1" s="41"/>
      <c r="G1" s="41"/>
      <c r="H1" s="41"/>
      <c r="Q1" t="s">
        <v>285</v>
      </c>
      <c r="R1">
        <v>5</v>
      </c>
      <c r="S1" s="42" t="str">
        <f>"Scored "&amp;C1</f>
        <v>Scored Hats Test, CVs={-9,-3,3,4,5,6}, CLs={-100,9.7}</v>
      </c>
      <c r="T1" s="42"/>
      <c r="U1" s="42"/>
      <c r="V1" s="42"/>
      <c r="W1" s="42"/>
      <c r="X1" s="42"/>
      <c r="Y1" s="42"/>
    </row>
    <row r="2" spans="1:25" x14ac:dyDescent="0.4">
      <c r="B2" t="s">
        <v>274</v>
      </c>
      <c r="C2" s="38" t="s">
        <v>296</v>
      </c>
      <c r="Q2" t="s">
        <v>299</v>
      </c>
      <c r="R2" t="str" cm="1">
        <f t="array" ref="R2:X2">fArtificialsLabels(C2,C3:O3,G17)</f>
        <v>X0</v>
      </c>
      <c r="S2" t="str">
        <v>X1</v>
      </c>
      <c r="T2" t="str">
        <v>X2</v>
      </c>
      <c r="U2" t="str">
        <v>X3</v>
      </c>
      <c r="V2" t="str">
        <v>X4</v>
      </c>
      <c r="W2" t="str">
        <v>X5</v>
      </c>
      <c r="X2" t="str">
        <v>X6</v>
      </c>
    </row>
    <row r="3" spans="1:25" x14ac:dyDescent="0.4">
      <c r="B3" t="s">
        <v>297</v>
      </c>
      <c r="C3" s="38">
        <v>-9</v>
      </c>
      <c r="D3" s="38">
        <v>-3</v>
      </c>
      <c r="E3" s="38">
        <v>3</v>
      </c>
      <c r="F3" s="38">
        <v>4</v>
      </c>
      <c r="G3" s="38">
        <v>5</v>
      </c>
      <c r="H3" s="38">
        <v>6</v>
      </c>
      <c r="I3" s="38"/>
      <c r="R3">
        <v>1</v>
      </c>
      <c r="S3" s="36">
        <v>1</v>
      </c>
      <c r="T3" s="36">
        <v>1</v>
      </c>
      <c r="U3" s="36">
        <v>1</v>
      </c>
      <c r="V3" s="36">
        <v>1</v>
      </c>
      <c r="W3" s="36">
        <v>1</v>
      </c>
      <c r="X3" s="36">
        <v>1</v>
      </c>
      <c r="Y3" s="36">
        <v>1</v>
      </c>
    </row>
    <row r="4" spans="1:25" x14ac:dyDescent="0.4">
      <c r="B4" t="s">
        <v>298</v>
      </c>
      <c r="C4" s="38">
        <v>-100</v>
      </c>
      <c r="D4" s="38">
        <v>9.6999999999999993</v>
      </c>
      <c r="Q4" s="36"/>
      <c r="R4" s="36">
        <f ca="1">2-RAND()*4</f>
        <v>1.9187624212949141</v>
      </c>
      <c r="S4" s="36">
        <f t="shared" ref="S4:Y4" ca="1" si="0">2-RAND()*4</f>
        <v>1.403442308506798</v>
      </c>
      <c r="T4" s="36">
        <f t="shared" ca="1" si="0"/>
        <v>1.5580336972380686</v>
      </c>
      <c r="U4" s="36">
        <f t="shared" ca="1" si="0"/>
        <v>-1.6574043638339533</v>
      </c>
      <c r="V4" s="36">
        <f t="shared" ca="1" si="0"/>
        <v>-0.48874501183383989</v>
      </c>
      <c r="W4" s="36">
        <f t="shared" ca="1" si="0"/>
        <v>1.3597061463347351</v>
      </c>
      <c r="X4" s="36">
        <f t="shared" ca="1" si="0"/>
        <v>1.1218765436420246</v>
      </c>
      <c r="Y4" s="36">
        <f t="shared" ca="1" si="0"/>
        <v>0.51938077301459717</v>
      </c>
    </row>
    <row r="5" spans="1:25" x14ac:dyDescent="0.4">
      <c r="Q5" s="36"/>
      <c r="R5" s="36">
        <f t="shared" ref="R5:Y7" ca="1" si="1">2-RAND()*4</f>
        <v>-1.690452959566124</v>
      </c>
      <c r="S5" s="36">
        <f t="shared" ca="1" si="1"/>
        <v>-0.5892693540295908</v>
      </c>
      <c r="T5" s="36">
        <f t="shared" ca="1" si="1"/>
        <v>0.20109096112082447</v>
      </c>
      <c r="U5" s="36">
        <f t="shared" ca="1" si="1"/>
        <v>1.3748323675291827</v>
      </c>
      <c r="V5" s="36">
        <f t="shared" ca="1" si="1"/>
        <v>-0.76635558027032058</v>
      </c>
      <c r="W5" s="36">
        <f t="shared" ca="1" si="1"/>
        <v>1.3425851985611335</v>
      </c>
      <c r="X5" s="36">
        <f t="shared" ca="1" si="1"/>
        <v>1.9852713256722776E-2</v>
      </c>
      <c r="Y5" s="36">
        <f t="shared" ca="1" si="1"/>
        <v>-1.357172288826983</v>
      </c>
    </row>
    <row r="6" spans="1:25" s="36" customFormat="1" x14ac:dyDescent="0.4">
      <c r="A6" s="37"/>
      <c r="B6" s="36" t="s">
        <v>290</v>
      </c>
      <c r="R6" s="36">
        <f t="shared" ca="1" si="1"/>
        <v>-1.5661622548268799</v>
      </c>
      <c r="S6" s="36">
        <f t="shared" ca="1" si="1"/>
        <v>1.8615905052425772</v>
      </c>
      <c r="T6" s="36">
        <f t="shared" ca="1" si="1"/>
        <v>0.27855704599421793</v>
      </c>
      <c r="U6" s="36">
        <f t="shared" ca="1" si="1"/>
        <v>-0.35835299248038632</v>
      </c>
      <c r="V6" s="36">
        <f t="shared" ca="1" si="1"/>
        <v>1.2631566623290884</v>
      </c>
      <c r="W6" s="36">
        <f t="shared" ca="1" si="1"/>
        <v>1.4928978115258831</v>
      </c>
      <c r="X6" s="36">
        <f t="shared" ca="1" si="1"/>
        <v>0.95729554013215834</v>
      </c>
      <c r="Y6" s="36">
        <f t="shared" ca="1" si="1"/>
        <v>0.26562598340329524</v>
      </c>
    </row>
    <row r="7" spans="1:25" s="36" customFormat="1" x14ac:dyDescent="0.4">
      <c r="A7" s="37"/>
      <c r="B7" s="36" t="s">
        <v>275</v>
      </c>
      <c r="C7" s="38" t="s">
        <v>248</v>
      </c>
      <c r="D7" s="38" t="s">
        <v>251</v>
      </c>
      <c r="E7" s="38" t="s">
        <v>273</v>
      </c>
      <c r="F7" s="38"/>
      <c r="G7" s="38"/>
      <c r="H7" s="38"/>
      <c r="I7" s="38"/>
      <c r="R7" s="36">
        <f t="shared" ca="1" si="1"/>
        <v>-0.12137743319983585</v>
      </c>
      <c r="S7" s="36">
        <f t="shared" ca="1" si="1"/>
        <v>0.37600847937448867</v>
      </c>
      <c r="T7" s="36">
        <f t="shared" ca="1" si="1"/>
        <v>-1.6281524706824815</v>
      </c>
      <c r="U7" s="36">
        <f t="shared" ca="1" si="1"/>
        <v>1.8882056902604685</v>
      </c>
      <c r="V7" s="36">
        <f t="shared" ca="1" si="1"/>
        <v>-0.37088496087633915</v>
      </c>
      <c r="W7" s="36">
        <f t="shared" ca="1" si="1"/>
        <v>-0.95152386736096339</v>
      </c>
      <c r="X7" s="36">
        <f t="shared" ca="1" si="1"/>
        <v>1.8093546643597271</v>
      </c>
      <c r="Y7" s="36">
        <f t="shared" ca="1" si="1"/>
        <v>-0.56724762694600805</v>
      </c>
    </row>
    <row r="8" spans="1:25" s="36" customFormat="1" x14ac:dyDescent="0.4">
      <c r="A8" s="37"/>
      <c r="C8" s="38" t="s">
        <v>249</v>
      </c>
      <c r="D8" s="38" t="s">
        <v>292</v>
      </c>
      <c r="E8" s="38" t="s">
        <v>293</v>
      </c>
      <c r="F8" s="38"/>
      <c r="G8" s="38"/>
      <c r="H8" s="38"/>
      <c r="I8" s="38"/>
    </row>
    <row r="9" spans="1:25" s="36" customFormat="1" x14ac:dyDescent="0.4">
      <c r="A9" s="37"/>
      <c r="C9" s="38" t="s">
        <v>250</v>
      </c>
      <c r="D9" s="38"/>
      <c r="E9" s="38" t="s">
        <v>294</v>
      </c>
      <c r="F9" s="38"/>
      <c r="G9" s="38"/>
      <c r="H9" s="38"/>
      <c r="I9" s="38"/>
    </row>
    <row r="10" spans="1:25" s="37" customFormat="1" x14ac:dyDescent="0.4">
      <c r="C10" s="38"/>
      <c r="D10" s="38"/>
      <c r="E10" s="38"/>
      <c r="F10" s="38"/>
      <c r="G10" s="38"/>
      <c r="H10" s="38"/>
      <c r="I10" s="38"/>
    </row>
    <row r="11" spans="1:25" s="37" customFormat="1" x14ac:dyDescent="0.4">
      <c r="C11" s="38"/>
      <c r="D11" s="38"/>
      <c r="E11" s="38"/>
      <c r="F11" s="38"/>
      <c r="G11" s="38"/>
      <c r="H11" s="38"/>
      <c r="I11" s="38"/>
    </row>
    <row r="12" spans="1:25" s="37" customFormat="1" x14ac:dyDescent="0.4"/>
    <row r="13" spans="1:25" s="37" customFormat="1" x14ac:dyDescent="0.4"/>
    <row r="14" spans="1:25" s="37" customFormat="1" x14ac:dyDescent="0.4">
      <c r="B14" s="36" t="s">
        <v>87</v>
      </c>
      <c r="C14" s="36"/>
      <c r="D14" s="36"/>
      <c r="E14" s="36"/>
      <c r="F14" s="36"/>
      <c r="G14" s="36"/>
      <c r="H14" s="36"/>
    </row>
    <row r="15" spans="1:25" s="37" customFormat="1" x14ac:dyDescent="0.4">
      <c r="B15" s="36" t="s">
        <v>279</v>
      </c>
      <c r="C15" s="38">
        <v>-11</v>
      </c>
      <c r="D15" s="36"/>
      <c r="E15" s="36"/>
      <c r="F15" s="36" t="s">
        <v>282</v>
      </c>
      <c r="G15" s="36">
        <f>COUNT(C3:O3)</f>
        <v>6</v>
      </c>
      <c r="H15" s="36"/>
    </row>
    <row r="16" spans="1:25" s="37" customFormat="1" x14ac:dyDescent="0.4">
      <c r="B16" s="36" t="s">
        <v>281</v>
      </c>
      <c r="C16" s="38">
        <v>11</v>
      </c>
      <c r="D16" s="36"/>
      <c r="E16" s="36"/>
      <c r="F16" s="36" t="s">
        <v>283</v>
      </c>
      <c r="G16" s="36" cm="1">
        <f t="array" ref="G16">fArtificialsCount(C2,IF($C$2="Categorical",C7:I11,C3:I3))</f>
        <v>7</v>
      </c>
      <c r="H16" s="36"/>
    </row>
    <row r="17" spans="1:34" s="37" customFormat="1" x14ac:dyDescent="0.4">
      <c r="B17" s="36" t="s">
        <v>280</v>
      </c>
      <c r="C17" s="38">
        <v>0.1</v>
      </c>
      <c r="D17" s="36"/>
      <c r="E17" s="36"/>
      <c r="F17" s="36" t="s">
        <v>284</v>
      </c>
      <c r="G17" s="36" t="s">
        <v>273</v>
      </c>
      <c r="H17" s="36"/>
      <c r="X17" s="42" t="s">
        <v>295</v>
      </c>
      <c r="Y17" s="42"/>
      <c r="Z17" s="42"/>
      <c r="AA17" s="42"/>
      <c r="AB17" s="42"/>
    </row>
    <row r="18" spans="1:34" s="37" customFormat="1" x14ac:dyDescent="0.4">
      <c r="D18" s="37" t="s">
        <v>291</v>
      </c>
      <c r="X18" s="37">
        <f t="array" aca="1" ref="X18" ca="1">SUM(1*(ABS(R21:R241-X21:X241)&gt;0.00000001))</f>
        <v>0</v>
      </c>
      <c r="Y18" s="40">
        <f t="array" aca="1" ref="Y18" ca="1">SUM(1*(ABS(S21:S241-Y21:Y241)&gt;0.00000001))</f>
        <v>0</v>
      </c>
      <c r="Z18" s="40">
        <f t="array" aca="1" ref="Z18" ca="1">SUM(1*(ABS(T21:T241-Z21:Z241)&gt;0.00000001))</f>
        <v>0</v>
      </c>
      <c r="AA18" s="40">
        <f t="array" aca="1" ref="AA18" ca="1">SUM(1*(ABS(U21:U241-AA21:AA241)&gt;0.00000001))</f>
        <v>0</v>
      </c>
      <c r="AB18" s="40">
        <f t="array" aca="1" ref="AB18" ca="1">SUM(1*(ABS(V21:V241-AB21:AB241)&gt;0.00000001))</f>
        <v>0</v>
      </c>
    </row>
    <row r="19" spans="1:34" s="37" customFormat="1" x14ac:dyDescent="0.4">
      <c r="D19" s="37">
        <f ca="1">IF($C$2="Categorical",IF(A19&lt;=26,CHAR(64+A19),CHAR(RANDBETWEEN(65,90))),B19)</f>
        <v>0</v>
      </c>
      <c r="R19" s="42" t="s">
        <v>286</v>
      </c>
      <c r="S19" s="42"/>
      <c r="T19" s="42"/>
      <c r="U19" s="42"/>
      <c r="V19" s="42"/>
      <c r="W19" s="36"/>
      <c r="X19" s="42" t="s">
        <v>287</v>
      </c>
      <c r="Y19" s="42"/>
      <c r="Z19" s="42"/>
      <c r="AA19" s="42"/>
      <c r="AB19" s="42"/>
    </row>
    <row r="20" spans="1:34" x14ac:dyDescent="0.4">
      <c r="A20" s="37" t="s">
        <v>289</v>
      </c>
      <c r="B20" t="s">
        <v>278</v>
      </c>
      <c r="C20" t="s">
        <v>277</v>
      </c>
      <c r="D20" t="s">
        <v>288</v>
      </c>
      <c r="E20" t="s">
        <v>273</v>
      </c>
      <c r="F20" t="str" cm="1">
        <f t="array" ref="F20:L20">fArtificialsLabels(C2,IF($C$2="Categorical",C7:I11,C3:I3),G17)</f>
        <v>X0</v>
      </c>
      <c r="G20" t="str">
        <v>X1</v>
      </c>
      <c r="H20" t="str">
        <v>X2</v>
      </c>
      <c r="I20" t="str">
        <v>X3</v>
      </c>
      <c r="J20" t="str">
        <v>X4</v>
      </c>
      <c r="K20" t="str">
        <v>X5</v>
      </c>
      <c r="L20" t="str">
        <v>X6</v>
      </c>
      <c r="R20" t="str" cm="1">
        <f t="array" ref="R20:V20">fArtificialsScoredLabels(R3:INDEX(R3:Y7,R1,G16))</f>
        <v>Score1</v>
      </c>
      <c r="S20" t="str">
        <v>Score2</v>
      </c>
      <c r="T20" t="str">
        <v>Score3</v>
      </c>
      <c r="U20" t="str">
        <v>Score4</v>
      </c>
      <c r="V20" t="str">
        <v>Score5</v>
      </c>
      <c r="X20" t="str">
        <f>R20</f>
        <v>Score1</v>
      </c>
      <c r="Y20" s="36" t="str">
        <f>S20</f>
        <v>Score2</v>
      </c>
      <c r="Z20" s="36" t="str">
        <f>T20</f>
        <v>Score3</v>
      </c>
      <c r="AA20" s="36" t="str">
        <f>U20</f>
        <v>Score4</v>
      </c>
      <c r="AB20" s="36" t="str">
        <f>V20</f>
        <v>Score5</v>
      </c>
    </row>
    <row r="21" spans="1:34" x14ac:dyDescent="0.4">
      <c r="A21" s="37">
        <v>1</v>
      </c>
      <c r="B21" cm="1">
        <f t="array" ref="B21:B241">LIstRange(C15,C16,C17)</f>
        <v>-11</v>
      </c>
      <c r="D21" s="37">
        <f ca="1">IF($C$2="Categorical",IF(A21&lt;=26,CHAR(64+A21),CHAR(RANDBETWEEN(65,90))),B21)</f>
        <v>-11</v>
      </c>
      <c r="E21">
        <f ca="1">IF(ISBLANK(B21),NA(),IF(C21,NA(),D21))</f>
        <v>-11</v>
      </c>
      <c r="F21" cm="1">
        <f t="array" aca="1" ref="F21:L241" ca="1">fArtificials(C2,E21:E241,IF($C$2="Categorical",C7:I11,C3:I3),C4,D4)</f>
        <v>0</v>
      </c>
      <c r="G21">
        <f ca="1"/>
        <v>1</v>
      </c>
      <c r="H21">
        <f ca="1"/>
        <v>0</v>
      </c>
      <c r="I21">
        <f ca="1"/>
        <v>0</v>
      </c>
      <c r="J21">
        <f ca="1"/>
        <v>0</v>
      </c>
      <c r="K21">
        <f ca="1"/>
        <v>0</v>
      </c>
      <c r="L21">
        <f ca="1"/>
        <v>0</v>
      </c>
      <c r="R21" cm="1">
        <f t="array" aca="1" ref="R21:V241" ca="1">fArtificialsScored(C2,E21:E241,IF($C$2="Categorical",C7:I11,C3:I3),R3:INDEX(R3:Y7,R1,G16),C4,D4)</f>
        <v>1</v>
      </c>
      <c r="S21">
        <f ca="1"/>
        <v>1.403442308506798</v>
      </c>
      <c r="T21">
        <f ca="1"/>
        <v>-0.5892693540295908</v>
      </c>
      <c r="U21">
        <f ca="1"/>
        <v>1.8615905052425772</v>
      </c>
      <c r="V21">
        <f ca="1"/>
        <v>0.37600847937448867</v>
      </c>
      <c r="X21">
        <f t="array" aca="1" ref="X21:AB21" ca="1">MMULT(F21:INDEX(F21:P21,$G$16),TRANSPOSE($R$3:INDEX($R$3:$Y$7,$R$1,$G$16)))</f>
        <v>1</v>
      </c>
      <c r="Y21">
        <f ca="1"/>
        <v>1.403442308506798</v>
      </c>
      <c r="Z21">
        <f ca="1"/>
        <v>-0.5892693540295908</v>
      </c>
      <c r="AA21">
        <f ca="1"/>
        <v>1.8615905052425772</v>
      </c>
      <c r="AB21">
        <f ca="1"/>
        <v>0.37600847937448867</v>
      </c>
      <c r="AD21" cm="1">
        <f t="array" aca="1" ref="AD21:AH241" ca="1">_xlfn.ANCHORARRAY(R21)-X21:AB241</f>
        <v>0</v>
      </c>
      <c r="AE21">
        <f ca="1"/>
        <v>0</v>
      </c>
      <c r="AF21">
        <f ca="1"/>
        <v>0</v>
      </c>
      <c r="AG21">
        <f ca="1"/>
        <v>0</v>
      </c>
      <c r="AH21">
        <f ca="1"/>
        <v>0</v>
      </c>
    </row>
    <row r="22" spans="1:34" x14ac:dyDescent="0.4">
      <c r="A22" s="37">
        <v>2</v>
      </c>
      <c r="B22">
        <v>-10.9</v>
      </c>
      <c r="D22" s="37">
        <f t="shared" ref="D22:D85" ca="1" si="2">IF($C$2="Categorical",IF(A22&lt;=26,CHAR(64+A22),CHAR(RANDBETWEEN(65,90))),B22)</f>
        <v>-10.9</v>
      </c>
      <c r="E22" s="37">
        <f t="shared" ref="E22:E85" ca="1" si="3">IF(ISBLANK(B22),NA(),IF(C22,NA(),D22))</f>
        <v>-10.9</v>
      </c>
      <c r="F22">
        <f ca="1"/>
        <v>0</v>
      </c>
      <c r="G22">
        <f ca="1"/>
        <v>1</v>
      </c>
      <c r="H22">
        <f ca="1"/>
        <v>0</v>
      </c>
      <c r="I22">
        <f ca="1"/>
        <v>0</v>
      </c>
      <c r="J22">
        <f ca="1"/>
        <v>0</v>
      </c>
      <c r="K22">
        <f ca="1"/>
        <v>0</v>
      </c>
      <c r="L22">
        <f ca="1"/>
        <v>0</v>
      </c>
      <c r="R22">
        <f ca="1"/>
        <v>1</v>
      </c>
      <c r="S22">
        <f ca="1"/>
        <v>1.403442308506798</v>
      </c>
      <c r="T22">
        <f ca="1"/>
        <v>-0.5892693540295908</v>
      </c>
      <c r="U22">
        <f ca="1"/>
        <v>1.8615905052425772</v>
      </c>
      <c r="V22">
        <f ca="1"/>
        <v>0.37600847937448867</v>
      </c>
      <c r="X22" s="37">
        <f t="array" aca="1" ref="X22:AB22" ca="1">MMULT(F22:INDEX(F22:P22,$G$16),TRANSPOSE($R$3:INDEX($R$3:$Y$7,$R$1,$G$16)))</f>
        <v>1</v>
      </c>
      <c r="Y22" s="37">
        <f ca="1"/>
        <v>1.403442308506798</v>
      </c>
      <c r="Z22" s="37">
        <f ca="1"/>
        <v>-0.5892693540295908</v>
      </c>
      <c r="AA22" s="37">
        <f ca="1"/>
        <v>1.8615905052425772</v>
      </c>
      <c r="AB22" s="37">
        <f ca="1"/>
        <v>0.37600847937448867</v>
      </c>
      <c r="AD22">
        <f ca="1"/>
        <v>0</v>
      </c>
      <c r="AE22">
        <f ca="1"/>
        <v>0</v>
      </c>
      <c r="AF22">
        <f ca="1"/>
        <v>0</v>
      </c>
      <c r="AG22">
        <f ca="1"/>
        <v>0</v>
      </c>
      <c r="AH22">
        <f ca="1"/>
        <v>0</v>
      </c>
    </row>
    <row r="23" spans="1:34" x14ac:dyDescent="0.4">
      <c r="A23" s="37">
        <v>3</v>
      </c>
      <c r="B23" s="36">
        <v>-10.8</v>
      </c>
      <c r="D23" s="37">
        <f t="shared" ca="1" si="2"/>
        <v>-10.8</v>
      </c>
      <c r="E23" s="37">
        <f t="shared" ca="1" si="3"/>
        <v>-10.8</v>
      </c>
      <c r="F23">
        <f ca="1"/>
        <v>0</v>
      </c>
      <c r="G23">
        <f ca="1"/>
        <v>1</v>
      </c>
      <c r="H23">
        <f ca="1"/>
        <v>0</v>
      </c>
      <c r="I23">
        <f ca="1"/>
        <v>0</v>
      </c>
      <c r="J23">
        <f ca="1"/>
        <v>0</v>
      </c>
      <c r="K23">
        <f ca="1"/>
        <v>0</v>
      </c>
      <c r="L23">
        <f ca="1"/>
        <v>0</v>
      </c>
      <c r="R23">
        <f ca="1"/>
        <v>1</v>
      </c>
      <c r="S23">
        <f ca="1"/>
        <v>1.403442308506798</v>
      </c>
      <c r="T23">
        <f ca="1"/>
        <v>-0.5892693540295908</v>
      </c>
      <c r="U23">
        <f ca="1"/>
        <v>1.8615905052425772</v>
      </c>
      <c r="V23">
        <f ca="1"/>
        <v>0.37600847937448867</v>
      </c>
      <c r="X23" s="37">
        <f t="array" aca="1" ref="X23:AB23" ca="1">MMULT(F23:INDEX(F23:P23,$G$16),TRANSPOSE($R$3:INDEX($R$3:$Y$7,$R$1,$G$16)))</f>
        <v>1</v>
      </c>
      <c r="Y23" s="37">
        <f ca="1"/>
        <v>1.403442308506798</v>
      </c>
      <c r="Z23" s="37">
        <f ca="1"/>
        <v>-0.5892693540295908</v>
      </c>
      <c r="AA23" s="37">
        <f ca="1"/>
        <v>1.8615905052425772</v>
      </c>
      <c r="AB23" s="37">
        <f ca="1"/>
        <v>0.37600847937448867</v>
      </c>
      <c r="AD23">
        <f ca="1"/>
        <v>0</v>
      </c>
      <c r="AE23">
        <f ca="1"/>
        <v>0</v>
      </c>
      <c r="AF23">
        <f ca="1"/>
        <v>0</v>
      </c>
      <c r="AG23">
        <f ca="1"/>
        <v>0</v>
      </c>
      <c r="AH23">
        <f ca="1"/>
        <v>0</v>
      </c>
    </row>
    <row r="24" spans="1:34" x14ac:dyDescent="0.4">
      <c r="A24" s="37">
        <v>4</v>
      </c>
      <c r="B24" s="36">
        <v>-10.700000000000001</v>
      </c>
      <c r="D24" s="37">
        <f t="shared" ca="1" si="2"/>
        <v>-10.700000000000001</v>
      </c>
      <c r="E24" s="37">
        <f t="shared" ca="1" si="3"/>
        <v>-10.700000000000001</v>
      </c>
      <c r="F24">
        <f ca="1"/>
        <v>0</v>
      </c>
      <c r="G24">
        <f ca="1"/>
        <v>1</v>
      </c>
      <c r="H24">
        <f ca="1"/>
        <v>0</v>
      </c>
      <c r="I24">
        <f ca="1"/>
        <v>0</v>
      </c>
      <c r="J24">
        <f ca="1"/>
        <v>0</v>
      </c>
      <c r="K24">
        <f ca="1"/>
        <v>0</v>
      </c>
      <c r="L24">
        <f ca="1"/>
        <v>0</v>
      </c>
      <c r="R24">
        <f ca="1"/>
        <v>1</v>
      </c>
      <c r="S24">
        <f ca="1"/>
        <v>1.403442308506798</v>
      </c>
      <c r="T24">
        <f ca="1"/>
        <v>-0.5892693540295908</v>
      </c>
      <c r="U24">
        <f ca="1"/>
        <v>1.8615905052425772</v>
      </c>
      <c r="V24">
        <f ca="1"/>
        <v>0.37600847937448867</v>
      </c>
      <c r="X24" s="37">
        <f t="array" aca="1" ref="X24:AB24" ca="1">MMULT(F24:INDEX(F24:P24,$G$16),TRANSPOSE($R$3:INDEX($R$3:$Y$7,$R$1,$G$16)))</f>
        <v>1</v>
      </c>
      <c r="Y24" s="37">
        <f ca="1"/>
        <v>1.403442308506798</v>
      </c>
      <c r="Z24" s="37">
        <f ca="1"/>
        <v>-0.5892693540295908</v>
      </c>
      <c r="AA24" s="37">
        <f ca="1"/>
        <v>1.8615905052425772</v>
      </c>
      <c r="AB24" s="37">
        <f ca="1"/>
        <v>0.37600847937448867</v>
      </c>
      <c r="AD24">
        <f ca="1"/>
        <v>0</v>
      </c>
      <c r="AE24">
        <f ca="1"/>
        <v>0</v>
      </c>
      <c r="AF24">
        <f ca="1"/>
        <v>0</v>
      </c>
      <c r="AG24">
        <f ca="1"/>
        <v>0</v>
      </c>
      <c r="AH24">
        <f ca="1"/>
        <v>0</v>
      </c>
    </row>
    <row r="25" spans="1:34" x14ac:dyDescent="0.4">
      <c r="A25" s="37">
        <v>5</v>
      </c>
      <c r="B25" s="36">
        <v>-10.600000000000001</v>
      </c>
      <c r="D25" s="37">
        <f t="shared" ca="1" si="2"/>
        <v>-10.600000000000001</v>
      </c>
      <c r="E25" s="37">
        <f t="shared" ca="1" si="3"/>
        <v>-10.600000000000001</v>
      </c>
      <c r="F25">
        <f ca="1"/>
        <v>0</v>
      </c>
      <c r="G25">
        <f ca="1"/>
        <v>1</v>
      </c>
      <c r="H25">
        <f ca="1"/>
        <v>0</v>
      </c>
      <c r="I25">
        <f ca="1"/>
        <v>0</v>
      </c>
      <c r="J25">
        <f ca="1"/>
        <v>0</v>
      </c>
      <c r="K25">
        <f ca="1"/>
        <v>0</v>
      </c>
      <c r="L25">
        <f ca="1"/>
        <v>0</v>
      </c>
      <c r="R25">
        <f ca="1"/>
        <v>1</v>
      </c>
      <c r="S25">
        <f ca="1"/>
        <v>1.403442308506798</v>
      </c>
      <c r="T25">
        <f ca="1"/>
        <v>-0.5892693540295908</v>
      </c>
      <c r="U25">
        <f ca="1"/>
        <v>1.8615905052425772</v>
      </c>
      <c r="V25">
        <f ca="1"/>
        <v>0.37600847937448867</v>
      </c>
      <c r="X25" s="37">
        <f t="array" aca="1" ref="X25:AB25" ca="1">MMULT(F25:INDEX(F25:P25,$G$16),TRANSPOSE($R$3:INDEX($R$3:$Y$7,$R$1,$G$16)))</f>
        <v>1</v>
      </c>
      <c r="Y25" s="37">
        <f ca="1"/>
        <v>1.403442308506798</v>
      </c>
      <c r="Z25" s="37">
        <f ca="1"/>
        <v>-0.5892693540295908</v>
      </c>
      <c r="AA25" s="37">
        <f ca="1"/>
        <v>1.8615905052425772</v>
      </c>
      <c r="AB25" s="37">
        <f ca="1"/>
        <v>0.37600847937448867</v>
      </c>
      <c r="AD25">
        <f ca="1"/>
        <v>0</v>
      </c>
      <c r="AE25">
        <f ca="1"/>
        <v>0</v>
      </c>
      <c r="AF25">
        <f ca="1"/>
        <v>0</v>
      </c>
      <c r="AG25">
        <f ca="1"/>
        <v>0</v>
      </c>
      <c r="AH25">
        <f ca="1"/>
        <v>0</v>
      </c>
    </row>
    <row r="26" spans="1:34" x14ac:dyDescent="0.4">
      <c r="A26" s="37">
        <v>6</v>
      </c>
      <c r="B26" s="36">
        <v>-10.500000000000002</v>
      </c>
      <c r="D26" s="37">
        <f t="shared" ca="1" si="2"/>
        <v>-10.500000000000002</v>
      </c>
      <c r="E26" s="37">
        <f t="shared" ca="1" si="3"/>
        <v>-10.500000000000002</v>
      </c>
      <c r="F26">
        <f ca="1"/>
        <v>0</v>
      </c>
      <c r="G26">
        <f ca="1"/>
        <v>1</v>
      </c>
      <c r="H26">
        <f ca="1"/>
        <v>0</v>
      </c>
      <c r="I26">
        <f ca="1"/>
        <v>0</v>
      </c>
      <c r="J26">
        <f ca="1"/>
        <v>0</v>
      </c>
      <c r="K26">
        <f ca="1"/>
        <v>0</v>
      </c>
      <c r="L26">
        <f ca="1"/>
        <v>0</v>
      </c>
      <c r="R26">
        <f ca="1"/>
        <v>1</v>
      </c>
      <c r="S26">
        <f ca="1"/>
        <v>1.403442308506798</v>
      </c>
      <c r="T26">
        <f ca="1"/>
        <v>-0.5892693540295908</v>
      </c>
      <c r="U26">
        <f ca="1"/>
        <v>1.8615905052425772</v>
      </c>
      <c r="V26">
        <f ca="1"/>
        <v>0.37600847937448867</v>
      </c>
      <c r="X26" s="37">
        <f t="array" aca="1" ref="X26:AB26" ca="1">MMULT(F26:INDEX(F26:P26,$G$16),TRANSPOSE($R$3:INDEX($R$3:$Y$7,$R$1,$G$16)))</f>
        <v>1</v>
      </c>
      <c r="Y26" s="37">
        <f ca="1"/>
        <v>1.403442308506798</v>
      </c>
      <c r="Z26" s="37">
        <f ca="1"/>
        <v>-0.5892693540295908</v>
      </c>
      <c r="AA26" s="37">
        <f ca="1"/>
        <v>1.8615905052425772</v>
      </c>
      <c r="AB26" s="37">
        <f ca="1"/>
        <v>0.37600847937448867</v>
      </c>
      <c r="AD26">
        <f ca="1"/>
        <v>0</v>
      </c>
      <c r="AE26">
        <f ca="1"/>
        <v>0</v>
      </c>
      <c r="AF26">
        <f ca="1"/>
        <v>0</v>
      </c>
      <c r="AG26">
        <f ca="1"/>
        <v>0</v>
      </c>
      <c r="AH26">
        <f ca="1"/>
        <v>0</v>
      </c>
    </row>
    <row r="27" spans="1:34" x14ac:dyDescent="0.4">
      <c r="A27" s="37">
        <v>7</v>
      </c>
      <c r="B27" s="36">
        <v>-10.400000000000002</v>
      </c>
      <c r="D27" s="37">
        <f t="shared" ca="1" si="2"/>
        <v>-10.400000000000002</v>
      </c>
      <c r="E27" s="37">
        <f t="shared" ca="1" si="3"/>
        <v>-10.400000000000002</v>
      </c>
      <c r="F27">
        <f ca="1"/>
        <v>0</v>
      </c>
      <c r="G27">
        <f ca="1"/>
        <v>1</v>
      </c>
      <c r="H27">
        <f ca="1"/>
        <v>0</v>
      </c>
      <c r="I27">
        <f ca="1"/>
        <v>0</v>
      </c>
      <c r="J27">
        <f ca="1"/>
        <v>0</v>
      </c>
      <c r="K27">
        <f ca="1"/>
        <v>0</v>
      </c>
      <c r="L27">
        <f ca="1"/>
        <v>0</v>
      </c>
      <c r="R27">
        <f ca="1"/>
        <v>1</v>
      </c>
      <c r="S27">
        <f ca="1"/>
        <v>1.403442308506798</v>
      </c>
      <c r="T27">
        <f ca="1"/>
        <v>-0.5892693540295908</v>
      </c>
      <c r="U27">
        <f ca="1"/>
        <v>1.8615905052425772</v>
      </c>
      <c r="V27">
        <f ca="1"/>
        <v>0.37600847937448867</v>
      </c>
      <c r="X27" s="37">
        <f t="array" aca="1" ref="X27:AB27" ca="1">MMULT(F27:INDEX(F27:P27,$G$16),TRANSPOSE($R$3:INDEX($R$3:$Y$7,$R$1,$G$16)))</f>
        <v>1</v>
      </c>
      <c r="Y27" s="37">
        <f ca="1"/>
        <v>1.403442308506798</v>
      </c>
      <c r="Z27" s="37">
        <f ca="1"/>
        <v>-0.5892693540295908</v>
      </c>
      <c r="AA27" s="37">
        <f ca="1"/>
        <v>1.8615905052425772</v>
      </c>
      <c r="AB27" s="37">
        <f ca="1"/>
        <v>0.37600847937448867</v>
      </c>
      <c r="AD27">
        <f ca="1"/>
        <v>0</v>
      </c>
      <c r="AE27">
        <f ca="1"/>
        <v>0</v>
      </c>
      <c r="AF27">
        <f ca="1"/>
        <v>0</v>
      </c>
      <c r="AG27">
        <f ca="1"/>
        <v>0</v>
      </c>
      <c r="AH27">
        <f ca="1"/>
        <v>0</v>
      </c>
    </row>
    <row r="28" spans="1:34" x14ac:dyDescent="0.4">
      <c r="A28" s="37">
        <v>8</v>
      </c>
      <c r="B28" s="36">
        <v>-10.300000000000002</v>
      </c>
      <c r="D28" s="37">
        <f t="shared" ca="1" si="2"/>
        <v>-10.300000000000002</v>
      </c>
      <c r="E28" s="37">
        <f t="shared" ca="1" si="3"/>
        <v>-10.300000000000002</v>
      </c>
      <c r="F28">
        <f ca="1"/>
        <v>0</v>
      </c>
      <c r="G28">
        <f ca="1"/>
        <v>1</v>
      </c>
      <c r="H28">
        <f ca="1"/>
        <v>0</v>
      </c>
      <c r="I28">
        <f ca="1"/>
        <v>0</v>
      </c>
      <c r="J28">
        <f ca="1"/>
        <v>0</v>
      </c>
      <c r="K28">
        <f ca="1"/>
        <v>0</v>
      </c>
      <c r="L28">
        <f ca="1"/>
        <v>0</v>
      </c>
      <c r="R28">
        <f ca="1"/>
        <v>1</v>
      </c>
      <c r="S28">
        <f ca="1"/>
        <v>1.403442308506798</v>
      </c>
      <c r="T28">
        <f ca="1"/>
        <v>-0.5892693540295908</v>
      </c>
      <c r="U28">
        <f ca="1"/>
        <v>1.8615905052425772</v>
      </c>
      <c r="V28">
        <f ca="1"/>
        <v>0.37600847937448867</v>
      </c>
      <c r="X28" s="37">
        <f t="array" aca="1" ref="X28:AB28" ca="1">MMULT(F28:INDEX(F28:P28,$G$16),TRANSPOSE($R$3:INDEX($R$3:$Y$7,$R$1,$G$16)))</f>
        <v>1</v>
      </c>
      <c r="Y28" s="37">
        <f ca="1"/>
        <v>1.403442308506798</v>
      </c>
      <c r="Z28" s="37">
        <f ca="1"/>
        <v>-0.5892693540295908</v>
      </c>
      <c r="AA28" s="37">
        <f ca="1"/>
        <v>1.8615905052425772</v>
      </c>
      <c r="AB28" s="37">
        <f ca="1"/>
        <v>0.37600847937448867</v>
      </c>
      <c r="AD28">
        <f ca="1"/>
        <v>0</v>
      </c>
      <c r="AE28">
        <f ca="1"/>
        <v>0</v>
      </c>
      <c r="AF28">
        <f ca="1"/>
        <v>0</v>
      </c>
      <c r="AG28">
        <f ca="1"/>
        <v>0</v>
      </c>
      <c r="AH28">
        <f ca="1"/>
        <v>0</v>
      </c>
    </row>
    <row r="29" spans="1:34" x14ac:dyDescent="0.4">
      <c r="A29" s="37">
        <v>9</v>
      </c>
      <c r="B29" s="36">
        <v>-10.200000000000003</v>
      </c>
      <c r="D29" s="37">
        <f t="shared" ca="1" si="2"/>
        <v>-10.200000000000003</v>
      </c>
      <c r="E29" s="37">
        <f t="shared" ca="1" si="3"/>
        <v>-10.200000000000003</v>
      </c>
      <c r="F29">
        <f ca="1"/>
        <v>0</v>
      </c>
      <c r="G29">
        <f ca="1"/>
        <v>1</v>
      </c>
      <c r="H29">
        <f ca="1"/>
        <v>0</v>
      </c>
      <c r="I29">
        <f ca="1"/>
        <v>0</v>
      </c>
      <c r="J29">
        <f ca="1"/>
        <v>0</v>
      </c>
      <c r="K29">
        <f ca="1"/>
        <v>0</v>
      </c>
      <c r="L29">
        <f ca="1"/>
        <v>0</v>
      </c>
      <c r="R29">
        <f ca="1"/>
        <v>1</v>
      </c>
      <c r="S29">
        <f ca="1"/>
        <v>1.403442308506798</v>
      </c>
      <c r="T29">
        <f ca="1"/>
        <v>-0.5892693540295908</v>
      </c>
      <c r="U29">
        <f ca="1"/>
        <v>1.8615905052425772</v>
      </c>
      <c r="V29">
        <f ca="1"/>
        <v>0.37600847937448867</v>
      </c>
      <c r="X29" s="37">
        <f t="array" aca="1" ref="X29:AB29" ca="1">MMULT(F29:INDEX(F29:P29,$G$16),TRANSPOSE($R$3:INDEX($R$3:$Y$7,$R$1,$G$16)))</f>
        <v>1</v>
      </c>
      <c r="Y29" s="37">
        <f ca="1"/>
        <v>1.403442308506798</v>
      </c>
      <c r="Z29" s="37">
        <f ca="1"/>
        <v>-0.5892693540295908</v>
      </c>
      <c r="AA29" s="37">
        <f ca="1"/>
        <v>1.8615905052425772</v>
      </c>
      <c r="AB29" s="37">
        <f ca="1"/>
        <v>0.37600847937448867</v>
      </c>
      <c r="AD29">
        <f ca="1"/>
        <v>0</v>
      </c>
      <c r="AE29">
        <f ca="1"/>
        <v>0</v>
      </c>
      <c r="AF29">
        <f ca="1"/>
        <v>0</v>
      </c>
      <c r="AG29">
        <f ca="1"/>
        <v>0</v>
      </c>
      <c r="AH29">
        <f ca="1"/>
        <v>0</v>
      </c>
    </row>
    <row r="30" spans="1:34" x14ac:dyDescent="0.4">
      <c r="A30" s="37">
        <v>10</v>
      </c>
      <c r="B30" s="36">
        <v>-10.100000000000003</v>
      </c>
      <c r="D30" s="37">
        <f t="shared" ca="1" si="2"/>
        <v>-10.100000000000003</v>
      </c>
      <c r="E30" s="37">
        <f t="shared" ca="1" si="3"/>
        <v>-10.100000000000003</v>
      </c>
      <c r="F30">
        <f ca="1"/>
        <v>0</v>
      </c>
      <c r="G30">
        <f ca="1"/>
        <v>1</v>
      </c>
      <c r="H30">
        <f ca="1"/>
        <v>0</v>
      </c>
      <c r="I30">
        <f ca="1"/>
        <v>0</v>
      </c>
      <c r="J30">
        <f ca="1"/>
        <v>0</v>
      </c>
      <c r="K30">
        <f ca="1"/>
        <v>0</v>
      </c>
      <c r="L30">
        <f ca="1"/>
        <v>0</v>
      </c>
      <c r="R30">
        <f ca="1"/>
        <v>1</v>
      </c>
      <c r="S30">
        <f ca="1"/>
        <v>1.403442308506798</v>
      </c>
      <c r="T30">
        <f ca="1"/>
        <v>-0.5892693540295908</v>
      </c>
      <c r="U30">
        <f ca="1"/>
        <v>1.8615905052425772</v>
      </c>
      <c r="V30">
        <f ca="1"/>
        <v>0.37600847937448867</v>
      </c>
      <c r="X30" s="37">
        <f t="array" aca="1" ref="X30:AB30" ca="1">MMULT(F30:INDEX(F30:P30,$G$16),TRANSPOSE($R$3:INDEX($R$3:$Y$7,$R$1,$G$16)))</f>
        <v>1</v>
      </c>
      <c r="Y30" s="37">
        <f ca="1"/>
        <v>1.403442308506798</v>
      </c>
      <c r="Z30" s="37">
        <f ca="1"/>
        <v>-0.5892693540295908</v>
      </c>
      <c r="AA30" s="37">
        <f ca="1"/>
        <v>1.8615905052425772</v>
      </c>
      <c r="AB30" s="37">
        <f ca="1"/>
        <v>0.37600847937448867</v>
      </c>
      <c r="AD30">
        <f ca="1"/>
        <v>0</v>
      </c>
      <c r="AE30">
        <f ca="1"/>
        <v>0</v>
      </c>
      <c r="AF30">
        <f ca="1"/>
        <v>0</v>
      </c>
      <c r="AG30">
        <f ca="1"/>
        <v>0</v>
      </c>
      <c r="AH30">
        <f ca="1"/>
        <v>0</v>
      </c>
    </row>
    <row r="31" spans="1:34" x14ac:dyDescent="0.4">
      <c r="A31" s="37">
        <v>11</v>
      </c>
      <c r="B31" s="36">
        <v>-10.000000000000004</v>
      </c>
      <c r="D31" s="37">
        <f t="shared" ca="1" si="2"/>
        <v>-10.000000000000004</v>
      </c>
      <c r="E31" s="37">
        <f t="shared" ca="1" si="3"/>
        <v>-10.000000000000004</v>
      </c>
      <c r="F31">
        <f ca="1"/>
        <v>0</v>
      </c>
      <c r="G31">
        <f ca="1"/>
        <v>1</v>
      </c>
      <c r="H31">
        <f ca="1"/>
        <v>0</v>
      </c>
      <c r="I31">
        <f ca="1"/>
        <v>0</v>
      </c>
      <c r="J31">
        <f ca="1"/>
        <v>0</v>
      </c>
      <c r="K31">
        <f ca="1"/>
        <v>0</v>
      </c>
      <c r="L31">
        <f ca="1"/>
        <v>0</v>
      </c>
      <c r="R31">
        <f ca="1"/>
        <v>1</v>
      </c>
      <c r="S31">
        <f ca="1"/>
        <v>1.403442308506798</v>
      </c>
      <c r="T31">
        <f ca="1"/>
        <v>-0.5892693540295908</v>
      </c>
      <c r="U31">
        <f ca="1"/>
        <v>1.8615905052425772</v>
      </c>
      <c r="V31">
        <f ca="1"/>
        <v>0.37600847937448867</v>
      </c>
      <c r="X31" s="37">
        <f t="array" aca="1" ref="X31:AB31" ca="1">MMULT(F31:INDEX(F31:P31,$G$16),TRANSPOSE($R$3:INDEX($R$3:$Y$7,$R$1,$G$16)))</f>
        <v>1</v>
      </c>
      <c r="Y31" s="37">
        <f ca="1"/>
        <v>1.403442308506798</v>
      </c>
      <c r="Z31" s="37">
        <f ca="1"/>
        <v>-0.5892693540295908</v>
      </c>
      <c r="AA31" s="37">
        <f ca="1"/>
        <v>1.8615905052425772</v>
      </c>
      <c r="AB31" s="37">
        <f ca="1"/>
        <v>0.37600847937448867</v>
      </c>
      <c r="AD31">
        <f ca="1"/>
        <v>0</v>
      </c>
      <c r="AE31">
        <f ca="1"/>
        <v>0</v>
      </c>
      <c r="AF31">
        <f ca="1"/>
        <v>0</v>
      </c>
      <c r="AG31">
        <f ca="1"/>
        <v>0</v>
      </c>
      <c r="AH31">
        <f ca="1"/>
        <v>0</v>
      </c>
    </row>
    <row r="32" spans="1:34" x14ac:dyDescent="0.4">
      <c r="A32" s="37">
        <v>12</v>
      </c>
      <c r="B32" s="36">
        <v>-9.9000000000000039</v>
      </c>
      <c r="D32" s="37">
        <f t="shared" ca="1" si="2"/>
        <v>-9.9000000000000039</v>
      </c>
      <c r="E32" s="37">
        <f t="shared" ca="1" si="3"/>
        <v>-9.9000000000000039</v>
      </c>
      <c r="F32">
        <f ca="1"/>
        <v>0</v>
      </c>
      <c r="G32">
        <f ca="1"/>
        <v>1</v>
      </c>
      <c r="H32">
        <f ca="1"/>
        <v>0</v>
      </c>
      <c r="I32">
        <f ca="1"/>
        <v>0</v>
      </c>
      <c r="J32">
        <f ca="1"/>
        <v>0</v>
      </c>
      <c r="K32">
        <f ca="1"/>
        <v>0</v>
      </c>
      <c r="L32">
        <f ca="1"/>
        <v>0</v>
      </c>
      <c r="R32">
        <f ca="1"/>
        <v>1</v>
      </c>
      <c r="S32">
        <f ca="1"/>
        <v>1.403442308506798</v>
      </c>
      <c r="T32">
        <f ca="1"/>
        <v>-0.5892693540295908</v>
      </c>
      <c r="U32">
        <f ca="1"/>
        <v>1.8615905052425772</v>
      </c>
      <c r="V32">
        <f ca="1"/>
        <v>0.37600847937448867</v>
      </c>
      <c r="X32" s="37">
        <f t="array" aca="1" ref="X32:AB32" ca="1">MMULT(F32:INDEX(F32:P32,$G$16),TRANSPOSE($R$3:INDEX($R$3:$Y$7,$R$1,$G$16)))</f>
        <v>1</v>
      </c>
      <c r="Y32" s="37">
        <f ca="1"/>
        <v>1.403442308506798</v>
      </c>
      <c r="Z32" s="37">
        <f ca="1"/>
        <v>-0.5892693540295908</v>
      </c>
      <c r="AA32" s="37">
        <f ca="1"/>
        <v>1.8615905052425772</v>
      </c>
      <c r="AB32" s="37">
        <f ca="1"/>
        <v>0.37600847937448867</v>
      </c>
      <c r="AD32">
        <f ca="1"/>
        <v>0</v>
      </c>
      <c r="AE32">
        <f ca="1"/>
        <v>0</v>
      </c>
      <c r="AF32">
        <f ca="1"/>
        <v>0</v>
      </c>
      <c r="AG32">
        <f ca="1"/>
        <v>0</v>
      </c>
      <c r="AH32">
        <f ca="1"/>
        <v>0</v>
      </c>
    </row>
    <row r="33" spans="1:34" x14ac:dyDescent="0.4">
      <c r="A33" s="37">
        <v>13</v>
      </c>
      <c r="B33" s="36">
        <v>-9.8000000000000043</v>
      </c>
      <c r="D33" s="37">
        <f t="shared" ca="1" si="2"/>
        <v>-9.8000000000000043</v>
      </c>
      <c r="E33" s="37">
        <f t="shared" ca="1" si="3"/>
        <v>-9.8000000000000043</v>
      </c>
      <c r="F33">
        <f ca="1"/>
        <v>0</v>
      </c>
      <c r="G33">
        <f ca="1"/>
        <v>1</v>
      </c>
      <c r="H33">
        <f ca="1"/>
        <v>0</v>
      </c>
      <c r="I33">
        <f ca="1"/>
        <v>0</v>
      </c>
      <c r="J33">
        <f ca="1"/>
        <v>0</v>
      </c>
      <c r="K33">
        <f ca="1"/>
        <v>0</v>
      </c>
      <c r="L33">
        <f ca="1"/>
        <v>0</v>
      </c>
      <c r="R33">
        <f ca="1"/>
        <v>1</v>
      </c>
      <c r="S33">
        <f ca="1"/>
        <v>1.403442308506798</v>
      </c>
      <c r="T33">
        <f ca="1"/>
        <v>-0.5892693540295908</v>
      </c>
      <c r="U33">
        <f ca="1"/>
        <v>1.8615905052425772</v>
      </c>
      <c r="V33">
        <f ca="1"/>
        <v>0.37600847937448867</v>
      </c>
      <c r="X33" s="37">
        <f t="array" aca="1" ref="X33:AB33" ca="1">MMULT(F33:INDEX(F33:P33,$G$16),TRANSPOSE($R$3:INDEX($R$3:$Y$7,$R$1,$G$16)))</f>
        <v>1</v>
      </c>
      <c r="Y33" s="37">
        <f ca="1"/>
        <v>1.403442308506798</v>
      </c>
      <c r="Z33" s="37">
        <f ca="1"/>
        <v>-0.5892693540295908</v>
      </c>
      <c r="AA33" s="37">
        <f ca="1"/>
        <v>1.8615905052425772</v>
      </c>
      <c r="AB33" s="37">
        <f ca="1"/>
        <v>0.37600847937448867</v>
      </c>
      <c r="AD33">
        <f ca="1"/>
        <v>0</v>
      </c>
      <c r="AE33">
        <f ca="1"/>
        <v>0</v>
      </c>
      <c r="AF33">
        <f ca="1"/>
        <v>0</v>
      </c>
      <c r="AG33">
        <f ca="1"/>
        <v>0</v>
      </c>
      <c r="AH33">
        <f ca="1"/>
        <v>0</v>
      </c>
    </row>
    <row r="34" spans="1:34" x14ac:dyDescent="0.4">
      <c r="A34" s="37">
        <v>14</v>
      </c>
      <c r="B34" s="36">
        <v>-9.7000000000000046</v>
      </c>
      <c r="D34" s="37">
        <f t="shared" ca="1" si="2"/>
        <v>-9.7000000000000046</v>
      </c>
      <c r="E34" s="37">
        <f t="shared" ca="1" si="3"/>
        <v>-9.7000000000000046</v>
      </c>
      <c r="F34">
        <f ca="1"/>
        <v>0</v>
      </c>
      <c r="G34">
        <f ca="1"/>
        <v>1</v>
      </c>
      <c r="H34">
        <f ca="1"/>
        <v>0</v>
      </c>
      <c r="I34">
        <f ca="1"/>
        <v>0</v>
      </c>
      <c r="J34">
        <f ca="1"/>
        <v>0</v>
      </c>
      <c r="K34">
        <f ca="1"/>
        <v>0</v>
      </c>
      <c r="L34">
        <f ca="1"/>
        <v>0</v>
      </c>
      <c r="R34">
        <f ca="1"/>
        <v>1</v>
      </c>
      <c r="S34">
        <f ca="1"/>
        <v>1.403442308506798</v>
      </c>
      <c r="T34">
        <f ca="1"/>
        <v>-0.5892693540295908</v>
      </c>
      <c r="U34">
        <f ca="1"/>
        <v>1.8615905052425772</v>
      </c>
      <c r="V34">
        <f ca="1"/>
        <v>0.37600847937448867</v>
      </c>
      <c r="X34" s="37">
        <f t="array" aca="1" ref="X34:AB34" ca="1">MMULT(F34:INDEX(F34:P34,$G$16),TRANSPOSE($R$3:INDEX($R$3:$Y$7,$R$1,$G$16)))</f>
        <v>1</v>
      </c>
      <c r="Y34" s="37">
        <f ca="1"/>
        <v>1.403442308506798</v>
      </c>
      <c r="Z34" s="37">
        <f ca="1"/>
        <v>-0.5892693540295908</v>
      </c>
      <c r="AA34" s="37">
        <f ca="1"/>
        <v>1.8615905052425772</v>
      </c>
      <c r="AB34" s="37">
        <f ca="1"/>
        <v>0.37600847937448867</v>
      </c>
      <c r="AD34">
        <f ca="1"/>
        <v>0</v>
      </c>
      <c r="AE34">
        <f ca="1"/>
        <v>0</v>
      </c>
      <c r="AF34">
        <f ca="1"/>
        <v>0</v>
      </c>
      <c r="AG34">
        <f ca="1"/>
        <v>0</v>
      </c>
      <c r="AH34">
        <f ca="1"/>
        <v>0</v>
      </c>
    </row>
    <row r="35" spans="1:34" x14ac:dyDescent="0.4">
      <c r="A35" s="37">
        <v>15</v>
      </c>
      <c r="B35" s="36">
        <v>-9.600000000000005</v>
      </c>
      <c r="D35" s="37">
        <f t="shared" ca="1" si="2"/>
        <v>-9.600000000000005</v>
      </c>
      <c r="E35" s="37">
        <f t="shared" ca="1" si="3"/>
        <v>-9.600000000000005</v>
      </c>
      <c r="F35">
        <f ca="1"/>
        <v>0</v>
      </c>
      <c r="G35">
        <f ca="1"/>
        <v>1</v>
      </c>
      <c r="H35">
        <f ca="1"/>
        <v>0</v>
      </c>
      <c r="I35">
        <f ca="1"/>
        <v>0</v>
      </c>
      <c r="J35">
        <f ca="1"/>
        <v>0</v>
      </c>
      <c r="K35">
        <f ca="1"/>
        <v>0</v>
      </c>
      <c r="L35">
        <f ca="1"/>
        <v>0</v>
      </c>
      <c r="R35">
        <f ca="1"/>
        <v>1</v>
      </c>
      <c r="S35">
        <f ca="1"/>
        <v>1.403442308506798</v>
      </c>
      <c r="T35">
        <f ca="1"/>
        <v>-0.5892693540295908</v>
      </c>
      <c r="U35">
        <f ca="1"/>
        <v>1.8615905052425772</v>
      </c>
      <c r="V35">
        <f ca="1"/>
        <v>0.37600847937448867</v>
      </c>
      <c r="X35" s="37">
        <f t="array" aca="1" ref="X35:AB35" ca="1">MMULT(F35:INDEX(F35:P35,$G$16),TRANSPOSE($R$3:INDEX($R$3:$Y$7,$R$1,$G$16)))</f>
        <v>1</v>
      </c>
      <c r="Y35" s="37">
        <f ca="1"/>
        <v>1.403442308506798</v>
      </c>
      <c r="Z35" s="37">
        <f ca="1"/>
        <v>-0.5892693540295908</v>
      </c>
      <c r="AA35" s="37">
        <f ca="1"/>
        <v>1.8615905052425772</v>
      </c>
      <c r="AB35" s="37">
        <f ca="1"/>
        <v>0.37600847937448867</v>
      </c>
      <c r="AD35">
        <f ca="1"/>
        <v>0</v>
      </c>
      <c r="AE35">
        <f ca="1"/>
        <v>0</v>
      </c>
      <c r="AF35">
        <f ca="1"/>
        <v>0</v>
      </c>
      <c r="AG35">
        <f ca="1"/>
        <v>0</v>
      </c>
      <c r="AH35">
        <f ca="1"/>
        <v>0</v>
      </c>
    </row>
    <row r="36" spans="1:34" x14ac:dyDescent="0.4">
      <c r="A36" s="37">
        <v>16</v>
      </c>
      <c r="B36" s="36">
        <v>-9.5000000000000053</v>
      </c>
      <c r="D36" s="37">
        <f t="shared" ca="1" si="2"/>
        <v>-9.5000000000000053</v>
      </c>
      <c r="E36" s="37">
        <f t="shared" ca="1" si="3"/>
        <v>-9.5000000000000053</v>
      </c>
      <c r="F36">
        <f ca="1"/>
        <v>0</v>
      </c>
      <c r="G36">
        <f ca="1"/>
        <v>1</v>
      </c>
      <c r="H36">
        <f ca="1"/>
        <v>0</v>
      </c>
      <c r="I36">
        <f ca="1"/>
        <v>0</v>
      </c>
      <c r="J36">
        <f ca="1"/>
        <v>0</v>
      </c>
      <c r="K36">
        <f ca="1"/>
        <v>0</v>
      </c>
      <c r="L36">
        <f ca="1"/>
        <v>0</v>
      </c>
      <c r="R36">
        <f ca="1"/>
        <v>1</v>
      </c>
      <c r="S36">
        <f ca="1"/>
        <v>1.403442308506798</v>
      </c>
      <c r="T36">
        <f ca="1"/>
        <v>-0.5892693540295908</v>
      </c>
      <c r="U36">
        <f ca="1"/>
        <v>1.8615905052425772</v>
      </c>
      <c r="V36">
        <f ca="1"/>
        <v>0.37600847937448867</v>
      </c>
      <c r="X36" s="37">
        <f t="array" aca="1" ref="X36:AB36" ca="1">MMULT(F36:INDEX(F36:P36,$G$16),TRANSPOSE($R$3:INDEX($R$3:$Y$7,$R$1,$G$16)))</f>
        <v>1</v>
      </c>
      <c r="Y36" s="37">
        <f ca="1"/>
        <v>1.403442308506798</v>
      </c>
      <c r="Z36" s="37">
        <f ca="1"/>
        <v>-0.5892693540295908</v>
      </c>
      <c r="AA36" s="37">
        <f ca="1"/>
        <v>1.8615905052425772</v>
      </c>
      <c r="AB36" s="37">
        <f ca="1"/>
        <v>0.37600847937448867</v>
      </c>
      <c r="AD36">
        <f ca="1"/>
        <v>0</v>
      </c>
      <c r="AE36">
        <f ca="1"/>
        <v>0</v>
      </c>
      <c r="AF36">
        <f ca="1"/>
        <v>0</v>
      </c>
      <c r="AG36">
        <f ca="1"/>
        <v>0</v>
      </c>
      <c r="AH36">
        <f ca="1"/>
        <v>0</v>
      </c>
    </row>
    <row r="37" spans="1:34" x14ac:dyDescent="0.4">
      <c r="A37" s="37">
        <v>17</v>
      </c>
      <c r="B37" s="36">
        <v>-9.4000000000000057</v>
      </c>
      <c r="D37" s="37">
        <f t="shared" ca="1" si="2"/>
        <v>-9.4000000000000057</v>
      </c>
      <c r="E37" s="37">
        <f t="shared" ca="1" si="3"/>
        <v>-9.4000000000000057</v>
      </c>
      <c r="F37">
        <f ca="1"/>
        <v>0</v>
      </c>
      <c r="G37">
        <f ca="1"/>
        <v>1</v>
      </c>
      <c r="H37">
        <f ca="1"/>
        <v>0</v>
      </c>
      <c r="I37">
        <f ca="1"/>
        <v>0</v>
      </c>
      <c r="J37">
        <f ca="1"/>
        <v>0</v>
      </c>
      <c r="K37">
        <f ca="1"/>
        <v>0</v>
      </c>
      <c r="L37">
        <f ca="1"/>
        <v>0</v>
      </c>
      <c r="R37">
        <f ca="1"/>
        <v>1</v>
      </c>
      <c r="S37">
        <f ca="1"/>
        <v>1.403442308506798</v>
      </c>
      <c r="T37">
        <f ca="1"/>
        <v>-0.5892693540295908</v>
      </c>
      <c r="U37">
        <f ca="1"/>
        <v>1.8615905052425772</v>
      </c>
      <c r="V37">
        <f ca="1"/>
        <v>0.37600847937448867</v>
      </c>
      <c r="X37" s="37">
        <f t="array" aca="1" ref="X37:AB37" ca="1">MMULT(F37:INDEX(F37:P37,$G$16),TRANSPOSE($R$3:INDEX($R$3:$Y$7,$R$1,$G$16)))</f>
        <v>1</v>
      </c>
      <c r="Y37" s="37">
        <f ca="1"/>
        <v>1.403442308506798</v>
      </c>
      <c r="Z37" s="37">
        <f ca="1"/>
        <v>-0.5892693540295908</v>
      </c>
      <c r="AA37" s="37">
        <f ca="1"/>
        <v>1.8615905052425772</v>
      </c>
      <c r="AB37" s="37">
        <f ca="1"/>
        <v>0.37600847937448867</v>
      </c>
      <c r="AD37">
        <f ca="1"/>
        <v>0</v>
      </c>
      <c r="AE37">
        <f ca="1"/>
        <v>0</v>
      </c>
      <c r="AF37">
        <f ca="1"/>
        <v>0</v>
      </c>
      <c r="AG37">
        <f ca="1"/>
        <v>0</v>
      </c>
      <c r="AH37">
        <f ca="1"/>
        <v>0</v>
      </c>
    </row>
    <row r="38" spans="1:34" x14ac:dyDescent="0.4">
      <c r="A38" s="37">
        <v>18</v>
      </c>
      <c r="B38" s="36">
        <v>-9.300000000000006</v>
      </c>
      <c r="D38" s="37">
        <f t="shared" ca="1" si="2"/>
        <v>-9.300000000000006</v>
      </c>
      <c r="E38" s="37">
        <f t="shared" ca="1" si="3"/>
        <v>-9.300000000000006</v>
      </c>
      <c r="F38">
        <f ca="1"/>
        <v>0</v>
      </c>
      <c r="G38">
        <f ca="1"/>
        <v>1</v>
      </c>
      <c r="H38">
        <f ca="1"/>
        <v>0</v>
      </c>
      <c r="I38">
        <f ca="1"/>
        <v>0</v>
      </c>
      <c r="J38">
        <f ca="1"/>
        <v>0</v>
      </c>
      <c r="K38">
        <f ca="1"/>
        <v>0</v>
      </c>
      <c r="L38">
        <f ca="1"/>
        <v>0</v>
      </c>
      <c r="R38">
        <f ca="1"/>
        <v>1</v>
      </c>
      <c r="S38">
        <f ca="1"/>
        <v>1.403442308506798</v>
      </c>
      <c r="T38">
        <f ca="1"/>
        <v>-0.5892693540295908</v>
      </c>
      <c r="U38">
        <f ca="1"/>
        <v>1.8615905052425772</v>
      </c>
      <c r="V38">
        <f ca="1"/>
        <v>0.37600847937448867</v>
      </c>
      <c r="X38" s="37">
        <f t="array" aca="1" ref="X38:AB38" ca="1">MMULT(F38:INDEX(F38:P38,$G$16),TRANSPOSE($R$3:INDEX($R$3:$Y$7,$R$1,$G$16)))</f>
        <v>1</v>
      </c>
      <c r="Y38" s="37">
        <f ca="1"/>
        <v>1.403442308506798</v>
      </c>
      <c r="Z38" s="37">
        <f ca="1"/>
        <v>-0.5892693540295908</v>
      </c>
      <c r="AA38" s="37">
        <f ca="1"/>
        <v>1.8615905052425772</v>
      </c>
      <c r="AB38" s="37">
        <f ca="1"/>
        <v>0.37600847937448867</v>
      </c>
      <c r="AD38">
        <f ca="1"/>
        <v>0</v>
      </c>
      <c r="AE38">
        <f ca="1"/>
        <v>0</v>
      </c>
      <c r="AF38">
        <f ca="1"/>
        <v>0</v>
      </c>
      <c r="AG38">
        <f ca="1"/>
        <v>0</v>
      </c>
      <c r="AH38">
        <f ca="1"/>
        <v>0</v>
      </c>
    </row>
    <row r="39" spans="1:34" x14ac:dyDescent="0.4">
      <c r="A39" s="37">
        <v>19</v>
      </c>
      <c r="B39" s="36">
        <v>-9.2000000000000064</v>
      </c>
      <c r="D39" s="37">
        <f t="shared" ca="1" si="2"/>
        <v>-9.2000000000000064</v>
      </c>
      <c r="E39" s="37">
        <f t="shared" ca="1" si="3"/>
        <v>-9.2000000000000064</v>
      </c>
      <c r="F39">
        <f ca="1"/>
        <v>0</v>
      </c>
      <c r="G39">
        <f ca="1"/>
        <v>1</v>
      </c>
      <c r="H39">
        <f ca="1"/>
        <v>0</v>
      </c>
      <c r="I39">
        <f ca="1"/>
        <v>0</v>
      </c>
      <c r="J39">
        <f ca="1"/>
        <v>0</v>
      </c>
      <c r="K39">
        <f ca="1"/>
        <v>0</v>
      </c>
      <c r="L39">
        <f ca="1"/>
        <v>0</v>
      </c>
      <c r="R39">
        <f ca="1"/>
        <v>1</v>
      </c>
      <c r="S39">
        <f ca="1"/>
        <v>1.403442308506798</v>
      </c>
      <c r="T39">
        <f ca="1"/>
        <v>-0.5892693540295908</v>
      </c>
      <c r="U39">
        <f ca="1"/>
        <v>1.8615905052425772</v>
      </c>
      <c r="V39">
        <f ca="1"/>
        <v>0.37600847937448867</v>
      </c>
      <c r="X39" s="37">
        <f t="array" aca="1" ref="X39:AB39" ca="1">MMULT(F39:INDEX(F39:P39,$G$16),TRANSPOSE($R$3:INDEX($R$3:$Y$7,$R$1,$G$16)))</f>
        <v>1</v>
      </c>
      <c r="Y39" s="37">
        <f ca="1"/>
        <v>1.403442308506798</v>
      </c>
      <c r="Z39" s="37">
        <f ca="1"/>
        <v>-0.5892693540295908</v>
      </c>
      <c r="AA39" s="37">
        <f ca="1"/>
        <v>1.8615905052425772</v>
      </c>
      <c r="AB39" s="37">
        <f ca="1"/>
        <v>0.37600847937448867</v>
      </c>
      <c r="AD39">
        <f ca="1"/>
        <v>0</v>
      </c>
      <c r="AE39">
        <f ca="1"/>
        <v>0</v>
      </c>
      <c r="AF39">
        <f ca="1"/>
        <v>0</v>
      </c>
      <c r="AG39">
        <f ca="1"/>
        <v>0</v>
      </c>
      <c r="AH39">
        <f ca="1"/>
        <v>0</v>
      </c>
    </row>
    <row r="40" spans="1:34" x14ac:dyDescent="0.4">
      <c r="A40" s="37">
        <v>20</v>
      </c>
      <c r="B40" s="36">
        <v>-9.1000000000000068</v>
      </c>
      <c r="D40" s="37">
        <f t="shared" ca="1" si="2"/>
        <v>-9.1000000000000068</v>
      </c>
      <c r="E40" s="37">
        <f t="shared" ca="1" si="3"/>
        <v>-9.1000000000000068</v>
      </c>
      <c r="F40">
        <f ca="1"/>
        <v>0</v>
      </c>
      <c r="G40">
        <f ca="1"/>
        <v>1</v>
      </c>
      <c r="H40">
        <f ca="1"/>
        <v>0</v>
      </c>
      <c r="I40">
        <f ca="1"/>
        <v>0</v>
      </c>
      <c r="J40">
        <f ca="1"/>
        <v>0</v>
      </c>
      <c r="K40">
        <f ca="1"/>
        <v>0</v>
      </c>
      <c r="L40">
        <f ca="1"/>
        <v>0</v>
      </c>
      <c r="R40">
        <f ca="1"/>
        <v>1</v>
      </c>
      <c r="S40">
        <f ca="1"/>
        <v>1.403442308506798</v>
      </c>
      <c r="T40">
        <f ca="1"/>
        <v>-0.5892693540295908</v>
      </c>
      <c r="U40">
        <f ca="1"/>
        <v>1.8615905052425772</v>
      </c>
      <c r="V40">
        <f ca="1"/>
        <v>0.37600847937448867</v>
      </c>
      <c r="X40" s="37">
        <f t="array" aca="1" ref="X40:AB40" ca="1">MMULT(F40:INDEX(F40:P40,$G$16),TRANSPOSE($R$3:INDEX($R$3:$Y$7,$R$1,$G$16)))</f>
        <v>1</v>
      </c>
      <c r="Y40" s="37">
        <f ca="1"/>
        <v>1.403442308506798</v>
      </c>
      <c r="Z40" s="37">
        <f ca="1"/>
        <v>-0.5892693540295908</v>
      </c>
      <c r="AA40" s="37">
        <f ca="1"/>
        <v>1.8615905052425772</v>
      </c>
      <c r="AB40" s="37">
        <f ca="1"/>
        <v>0.37600847937448867</v>
      </c>
      <c r="AD40">
        <f ca="1"/>
        <v>0</v>
      </c>
      <c r="AE40">
        <f ca="1"/>
        <v>0</v>
      </c>
      <c r="AF40">
        <f ca="1"/>
        <v>0</v>
      </c>
      <c r="AG40">
        <f ca="1"/>
        <v>0</v>
      </c>
      <c r="AH40">
        <f ca="1"/>
        <v>0</v>
      </c>
    </row>
    <row r="41" spans="1:34" x14ac:dyDescent="0.4">
      <c r="A41" s="37">
        <v>21</v>
      </c>
      <c r="B41" s="36">
        <v>-9.0000000000000071</v>
      </c>
      <c r="D41" s="37">
        <f t="shared" ca="1" si="2"/>
        <v>-9.0000000000000071</v>
      </c>
      <c r="E41" s="37">
        <f t="shared" ca="1" si="3"/>
        <v>-9.0000000000000071</v>
      </c>
      <c r="F41">
        <f ca="1"/>
        <v>0</v>
      </c>
      <c r="G41">
        <f ca="1"/>
        <v>1</v>
      </c>
      <c r="H41">
        <f ca="1"/>
        <v>0</v>
      </c>
      <c r="I41">
        <f ca="1"/>
        <v>0</v>
      </c>
      <c r="J41">
        <f ca="1"/>
        <v>0</v>
      </c>
      <c r="K41">
        <f ca="1"/>
        <v>0</v>
      </c>
      <c r="L41">
        <f ca="1"/>
        <v>0</v>
      </c>
      <c r="R41">
        <f ca="1"/>
        <v>1</v>
      </c>
      <c r="S41">
        <f ca="1"/>
        <v>1.403442308506798</v>
      </c>
      <c r="T41">
        <f ca="1"/>
        <v>-0.5892693540295908</v>
      </c>
      <c r="U41">
        <f ca="1"/>
        <v>1.8615905052425772</v>
      </c>
      <c r="V41">
        <f ca="1"/>
        <v>0.37600847937448867</v>
      </c>
      <c r="X41" s="37">
        <f t="array" aca="1" ref="X41:AB41" ca="1">MMULT(F41:INDEX(F41:P41,$G$16),TRANSPOSE($R$3:INDEX($R$3:$Y$7,$R$1,$G$16)))</f>
        <v>1</v>
      </c>
      <c r="Y41" s="37">
        <f ca="1"/>
        <v>1.403442308506798</v>
      </c>
      <c r="Z41" s="37">
        <f ca="1"/>
        <v>-0.5892693540295908</v>
      </c>
      <c r="AA41" s="37">
        <f ca="1"/>
        <v>1.8615905052425772</v>
      </c>
      <c r="AB41" s="37">
        <f ca="1"/>
        <v>0.37600847937448867</v>
      </c>
      <c r="AD41">
        <f ca="1"/>
        <v>0</v>
      </c>
      <c r="AE41">
        <f ca="1"/>
        <v>0</v>
      </c>
      <c r="AF41">
        <f ca="1"/>
        <v>0</v>
      </c>
      <c r="AG41">
        <f ca="1"/>
        <v>0</v>
      </c>
      <c r="AH41">
        <f ca="1"/>
        <v>0</v>
      </c>
    </row>
    <row r="42" spans="1:34" x14ac:dyDescent="0.4">
      <c r="A42" s="37">
        <v>22</v>
      </c>
      <c r="B42" s="36">
        <v>-8.9000000000000075</v>
      </c>
      <c r="D42" s="37">
        <f t="shared" ca="1" si="2"/>
        <v>-8.9000000000000075</v>
      </c>
      <c r="E42" s="37">
        <f t="shared" ca="1" si="3"/>
        <v>-8.9000000000000075</v>
      </c>
      <c r="F42">
        <f ca="1"/>
        <v>0</v>
      </c>
      <c r="G42">
        <f ca="1"/>
        <v>0.98333333333333461</v>
      </c>
      <c r="H42">
        <f ca="1"/>
        <v>1.6666666666665424E-2</v>
      </c>
      <c r="I42">
        <f ca="1"/>
        <v>0</v>
      </c>
      <c r="J42">
        <f ca="1"/>
        <v>0</v>
      </c>
      <c r="K42">
        <f ca="1"/>
        <v>0</v>
      </c>
      <c r="L42">
        <f ca="1"/>
        <v>0</v>
      </c>
      <c r="R42">
        <f ca="1"/>
        <v>1</v>
      </c>
      <c r="S42">
        <f ca="1"/>
        <v>1.406018831652319</v>
      </c>
      <c r="T42">
        <f ca="1"/>
        <v>-0.57609668211041831</v>
      </c>
      <c r="U42">
        <f ca="1"/>
        <v>1.8352066142551064</v>
      </c>
      <c r="V42">
        <f ca="1"/>
        <v>0.34260579687354165</v>
      </c>
      <c r="X42" s="37">
        <f t="array" aca="1" ref="X42:AB42" ca="1">MMULT(F42:INDEX(F42:P42,$G$16),TRANSPOSE($R$3:INDEX($R$3:$Y$7,$R$1,$G$16)))</f>
        <v>1</v>
      </c>
      <c r="Y42" s="37">
        <f ca="1"/>
        <v>1.406018831652319</v>
      </c>
      <c r="Z42" s="37">
        <f ca="1"/>
        <v>-0.57609668211041831</v>
      </c>
      <c r="AA42" s="37">
        <f ca="1"/>
        <v>1.8352066142551064</v>
      </c>
      <c r="AB42" s="37">
        <f ca="1"/>
        <v>0.34260579687354165</v>
      </c>
      <c r="AD42">
        <f ca="1"/>
        <v>0</v>
      </c>
      <c r="AE42">
        <f ca="1"/>
        <v>0</v>
      </c>
      <c r="AF42">
        <f ca="1"/>
        <v>0</v>
      </c>
      <c r="AG42">
        <f ca="1"/>
        <v>0</v>
      </c>
      <c r="AH42">
        <f ca="1"/>
        <v>0</v>
      </c>
    </row>
    <row r="43" spans="1:34" x14ac:dyDescent="0.4">
      <c r="A43" s="37">
        <v>23</v>
      </c>
      <c r="B43" s="36">
        <v>-8.8000000000000078</v>
      </c>
      <c r="D43" s="37">
        <f t="shared" ca="1" si="2"/>
        <v>-8.8000000000000078</v>
      </c>
      <c r="E43" s="37">
        <f t="shared" ca="1" si="3"/>
        <v>-8.8000000000000078</v>
      </c>
      <c r="F43">
        <f ca="1"/>
        <v>0</v>
      </c>
      <c r="G43">
        <f ca="1"/>
        <v>0.96666666666666801</v>
      </c>
      <c r="H43">
        <f ca="1"/>
        <v>3.3333333333332028E-2</v>
      </c>
      <c r="I43">
        <f ca="1"/>
        <v>0</v>
      </c>
      <c r="J43">
        <f ca="1"/>
        <v>0</v>
      </c>
      <c r="K43">
        <f ca="1"/>
        <v>0</v>
      </c>
      <c r="L43">
        <f ca="1"/>
        <v>0</v>
      </c>
      <c r="R43">
        <f ca="1"/>
        <v>1</v>
      </c>
      <c r="S43">
        <f ca="1"/>
        <v>1.4085953547978403</v>
      </c>
      <c r="T43">
        <f ca="1"/>
        <v>-0.56292401019124472</v>
      </c>
      <c r="U43">
        <f ca="1"/>
        <v>1.8088227232676339</v>
      </c>
      <c r="V43">
        <f ca="1"/>
        <v>0.30920311437259229</v>
      </c>
      <c r="X43" s="37">
        <f t="array" aca="1" ref="X43:AB43" ca="1">MMULT(F43:INDEX(F43:P43,$G$16),TRANSPOSE($R$3:INDEX($R$3:$Y$7,$R$1,$G$16)))</f>
        <v>1</v>
      </c>
      <c r="Y43" s="37">
        <f ca="1"/>
        <v>1.4085953547978403</v>
      </c>
      <c r="Z43" s="37">
        <f ca="1"/>
        <v>-0.56292401019124472</v>
      </c>
      <c r="AA43" s="37">
        <f ca="1"/>
        <v>1.8088227232676339</v>
      </c>
      <c r="AB43" s="37">
        <f ca="1"/>
        <v>0.30920311437259229</v>
      </c>
      <c r="AD43">
        <f ca="1"/>
        <v>0</v>
      </c>
      <c r="AE43">
        <f ca="1"/>
        <v>0</v>
      </c>
      <c r="AF43">
        <f ca="1"/>
        <v>0</v>
      </c>
      <c r="AG43">
        <f ca="1"/>
        <v>0</v>
      </c>
      <c r="AH43">
        <f ca="1"/>
        <v>0</v>
      </c>
    </row>
    <row r="44" spans="1:34" x14ac:dyDescent="0.4">
      <c r="A44" s="37">
        <v>24</v>
      </c>
      <c r="B44" s="36">
        <v>-8.7000000000000082</v>
      </c>
      <c r="D44" s="37">
        <f t="shared" ca="1" si="2"/>
        <v>-8.7000000000000082</v>
      </c>
      <c r="E44" s="37">
        <f t="shared" ca="1" si="3"/>
        <v>-8.7000000000000082</v>
      </c>
      <c r="F44">
        <f ca="1"/>
        <v>0</v>
      </c>
      <c r="G44">
        <f ca="1"/>
        <v>0.9500000000000014</v>
      </c>
      <c r="H44">
        <f ca="1"/>
        <v>4.9999999999998636E-2</v>
      </c>
      <c r="I44">
        <f ca="1"/>
        <v>0</v>
      </c>
      <c r="J44">
        <f ca="1"/>
        <v>0</v>
      </c>
      <c r="K44">
        <f ca="1"/>
        <v>0</v>
      </c>
      <c r="L44">
        <f ca="1"/>
        <v>0</v>
      </c>
      <c r="R44">
        <f ca="1"/>
        <v>1</v>
      </c>
      <c r="S44">
        <f ca="1"/>
        <v>1.4111718779433615</v>
      </c>
      <c r="T44">
        <f ca="1"/>
        <v>-0.54975133827207112</v>
      </c>
      <c r="U44">
        <f ca="1"/>
        <v>1.7824388322801616</v>
      </c>
      <c r="V44">
        <f ca="1"/>
        <v>0.27580043187164294</v>
      </c>
      <c r="X44" s="37">
        <f t="array" aca="1" ref="X44:AB44" ca="1">MMULT(F44:INDEX(F44:P44,$G$16),TRANSPOSE($R$3:INDEX($R$3:$Y$7,$R$1,$G$16)))</f>
        <v>1</v>
      </c>
      <c r="Y44" s="37">
        <f ca="1"/>
        <v>1.4111718779433615</v>
      </c>
      <c r="Z44" s="37">
        <f ca="1"/>
        <v>-0.54975133827207112</v>
      </c>
      <c r="AA44" s="37">
        <f ca="1"/>
        <v>1.7824388322801616</v>
      </c>
      <c r="AB44" s="37">
        <f ca="1"/>
        <v>0.27580043187164294</v>
      </c>
      <c r="AD44">
        <f ca="1"/>
        <v>0</v>
      </c>
      <c r="AE44">
        <f ca="1"/>
        <v>0</v>
      </c>
      <c r="AF44">
        <f ca="1"/>
        <v>0</v>
      </c>
      <c r="AG44">
        <f ca="1"/>
        <v>0</v>
      </c>
      <c r="AH44">
        <f ca="1"/>
        <v>0</v>
      </c>
    </row>
    <row r="45" spans="1:34" x14ac:dyDescent="0.4">
      <c r="A45" s="37">
        <v>25</v>
      </c>
      <c r="B45" s="36">
        <v>-8.6000000000000085</v>
      </c>
      <c r="D45" s="37">
        <f t="shared" ca="1" si="2"/>
        <v>-8.6000000000000085</v>
      </c>
      <c r="E45" s="37">
        <f t="shared" ca="1" si="3"/>
        <v>-8.6000000000000085</v>
      </c>
      <c r="F45">
        <f ca="1"/>
        <v>0</v>
      </c>
      <c r="G45">
        <f ca="1"/>
        <v>0.93333333333333479</v>
      </c>
      <c r="H45">
        <f ca="1"/>
        <v>6.666666666666525E-2</v>
      </c>
      <c r="I45">
        <f ca="1"/>
        <v>0</v>
      </c>
      <c r="J45">
        <f ca="1"/>
        <v>0</v>
      </c>
      <c r="K45">
        <f ca="1"/>
        <v>0</v>
      </c>
      <c r="L45">
        <f ca="1"/>
        <v>0</v>
      </c>
      <c r="R45">
        <f ca="1"/>
        <v>1</v>
      </c>
      <c r="S45">
        <f ca="1"/>
        <v>1.4137484010888826</v>
      </c>
      <c r="T45">
        <f ca="1"/>
        <v>-0.53657866635289764</v>
      </c>
      <c r="U45">
        <f ca="1"/>
        <v>1.7560549412926889</v>
      </c>
      <c r="V45">
        <f ca="1"/>
        <v>0.24239774937069353</v>
      </c>
      <c r="X45" s="37">
        <f t="array" aca="1" ref="X45:AB45" ca="1">MMULT(F45:INDEX(F45:P45,$G$16),TRANSPOSE($R$3:INDEX($R$3:$Y$7,$R$1,$G$16)))</f>
        <v>1</v>
      </c>
      <c r="Y45" s="37">
        <f ca="1"/>
        <v>1.4137484010888826</v>
      </c>
      <c r="Z45" s="37">
        <f ca="1"/>
        <v>-0.53657866635289764</v>
      </c>
      <c r="AA45" s="37">
        <f ca="1"/>
        <v>1.7560549412926889</v>
      </c>
      <c r="AB45" s="37">
        <f ca="1"/>
        <v>0.24239774937069353</v>
      </c>
      <c r="AD45">
        <f ca="1"/>
        <v>0</v>
      </c>
      <c r="AE45">
        <f ca="1"/>
        <v>0</v>
      </c>
      <c r="AF45">
        <f ca="1"/>
        <v>0</v>
      </c>
      <c r="AG45">
        <f ca="1"/>
        <v>0</v>
      </c>
      <c r="AH45">
        <f ca="1"/>
        <v>0</v>
      </c>
    </row>
    <row r="46" spans="1:34" x14ac:dyDescent="0.4">
      <c r="A46" s="37">
        <v>26</v>
      </c>
      <c r="B46" s="36">
        <v>-8.5000000000000089</v>
      </c>
      <c r="D46" s="37">
        <f t="shared" ca="1" si="2"/>
        <v>-8.5000000000000089</v>
      </c>
      <c r="E46" s="37">
        <f t="shared" ca="1" si="3"/>
        <v>-8.5000000000000089</v>
      </c>
      <c r="F46">
        <f ca="1"/>
        <v>0</v>
      </c>
      <c r="G46">
        <f ca="1"/>
        <v>0.91666666666666818</v>
      </c>
      <c r="H46">
        <f ca="1"/>
        <v>8.3333333333331858E-2</v>
      </c>
      <c r="I46">
        <f ca="1"/>
        <v>0</v>
      </c>
      <c r="J46">
        <f ca="1"/>
        <v>0</v>
      </c>
      <c r="K46">
        <f ca="1"/>
        <v>0</v>
      </c>
      <c r="L46">
        <f ca="1"/>
        <v>0</v>
      </c>
      <c r="R46">
        <f ca="1"/>
        <v>1</v>
      </c>
      <c r="S46">
        <f ca="1"/>
        <v>1.4163249242344038</v>
      </c>
      <c r="T46">
        <f ca="1"/>
        <v>-0.52340599443372404</v>
      </c>
      <c r="U46">
        <f ca="1"/>
        <v>1.7296710503052164</v>
      </c>
      <c r="V46">
        <f ca="1"/>
        <v>0.20899506686974414</v>
      </c>
      <c r="X46" s="37">
        <f t="array" aca="1" ref="X46:AB46" ca="1">MMULT(F46:INDEX(F46:P46,$G$16),TRANSPOSE($R$3:INDEX($R$3:$Y$7,$R$1,$G$16)))</f>
        <v>1</v>
      </c>
      <c r="Y46" s="37">
        <f ca="1"/>
        <v>1.4163249242344038</v>
      </c>
      <c r="Z46" s="37">
        <f ca="1"/>
        <v>-0.52340599443372404</v>
      </c>
      <c r="AA46" s="37">
        <f ca="1"/>
        <v>1.7296710503052164</v>
      </c>
      <c r="AB46" s="37">
        <f ca="1"/>
        <v>0.20899506686974414</v>
      </c>
      <c r="AD46">
        <f ca="1"/>
        <v>0</v>
      </c>
      <c r="AE46">
        <f ca="1"/>
        <v>0</v>
      </c>
      <c r="AF46">
        <f ca="1"/>
        <v>0</v>
      </c>
      <c r="AG46">
        <f ca="1"/>
        <v>0</v>
      </c>
      <c r="AH46">
        <f ca="1"/>
        <v>0</v>
      </c>
    </row>
    <row r="47" spans="1:34" x14ac:dyDescent="0.4">
      <c r="A47" s="37">
        <v>27</v>
      </c>
      <c r="B47" s="36">
        <v>-8.4000000000000092</v>
      </c>
      <c r="D47" s="37">
        <f t="shared" ca="1" si="2"/>
        <v>-8.4000000000000092</v>
      </c>
      <c r="E47" s="37">
        <f t="shared" ca="1" si="3"/>
        <v>-8.4000000000000092</v>
      </c>
      <c r="F47">
        <f ca="1"/>
        <v>0</v>
      </c>
      <c r="G47">
        <f ca="1"/>
        <v>0.90000000000000158</v>
      </c>
      <c r="H47">
        <f ca="1"/>
        <v>9.9999999999998465E-2</v>
      </c>
      <c r="I47">
        <f ca="1"/>
        <v>0</v>
      </c>
      <c r="J47">
        <f ca="1"/>
        <v>0</v>
      </c>
      <c r="K47">
        <f ca="1"/>
        <v>0</v>
      </c>
      <c r="L47">
        <f ca="1"/>
        <v>0</v>
      </c>
      <c r="R47">
        <f ca="1"/>
        <v>1</v>
      </c>
      <c r="S47">
        <f ca="1"/>
        <v>1.4189014473799249</v>
      </c>
      <c r="T47">
        <f ca="1"/>
        <v>-0.51023332251455056</v>
      </c>
      <c r="U47">
        <f ca="1"/>
        <v>1.7032871593177439</v>
      </c>
      <c r="V47">
        <f ca="1"/>
        <v>0.17559238436879473</v>
      </c>
      <c r="X47" s="37">
        <f t="array" aca="1" ref="X47:AB47" ca="1">MMULT(F47:INDEX(F47:P47,$G$16),TRANSPOSE($R$3:INDEX($R$3:$Y$7,$R$1,$G$16)))</f>
        <v>1</v>
      </c>
      <c r="Y47" s="37">
        <f ca="1"/>
        <v>1.4189014473799249</v>
      </c>
      <c r="Z47" s="37">
        <f ca="1"/>
        <v>-0.51023332251455056</v>
      </c>
      <c r="AA47" s="37">
        <f ca="1"/>
        <v>1.7032871593177439</v>
      </c>
      <c r="AB47" s="37">
        <f ca="1"/>
        <v>0.17559238436879473</v>
      </c>
      <c r="AD47">
        <f ca="1"/>
        <v>0</v>
      </c>
      <c r="AE47">
        <f ca="1"/>
        <v>0</v>
      </c>
      <c r="AF47">
        <f ca="1"/>
        <v>0</v>
      </c>
      <c r="AG47">
        <f ca="1"/>
        <v>0</v>
      </c>
      <c r="AH47">
        <f ca="1"/>
        <v>0</v>
      </c>
    </row>
    <row r="48" spans="1:34" x14ac:dyDescent="0.4">
      <c r="A48" s="37">
        <v>28</v>
      </c>
      <c r="B48" s="36">
        <v>-8.3000000000000096</v>
      </c>
      <c r="D48" s="37">
        <f t="shared" ca="1" si="2"/>
        <v>-8.3000000000000096</v>
      </c>
      <c r="E48" s="37">
        <f t="shared" ca="1" si="3"/>
        <v>-8.3000000000000096</v>
      </c>
      <c r="F48">
        <f ca="1"/>
        <v>0</v>
      </c>
      <c r="G48">
        <f ca="1"/>
        <v>0.88333333333333497</v>
      </c>
      <c r="H48">
        <f ca="1"/>
        <v>0.11666666666666507</v>
      </c>
      <c r="I48">
        <f ca="1"/>
        <v>0</v>
      </c>
      <c r="J48">
        <f ca="1"/>
        <v>0</v>
      </c>
      <c r="K48">
        <f ca="1"/>
        <v>0</v>
      </c>
      <c r="L48">
        <f ca="1"/>
        <v>0</v>
      </c>
      <c r="R48">
        <f ca="1"/>
        <v>1</v>
      </c>
      <c r="S48">
        <f ca="1"/>
        <v>1.4214779705254461</v>
      </c>
      <c r="T48">
        <f ca="1"/>
        <v>-0.49706065059537696</v>
      </c>
      <c r="U48">
        <f ca="1"/>
        <v>1.6769032683302711</v>
      </c>
      <c r="V48">
        <f ca="1"/>
        <v>0.14218970186784535</v>
      </c>
      <c r="X48" s="37">
        <f t="array" aca="1" ref="X48:AB48" ca="1">MMULT(F48:INDEX(F48:P48,$G$16),TRANSPOSE($R$3:INDEX($R$3:$Y$7,$R$1,$G$16)))</f>
        <v>1</v>
      </c>
      <c r="Y48" s="37">
        <f ca="1"/>
        <v>1.4214779705254461</v>
      </c>
      <c r="Z48" s="37">
        <f ca="1"/>
        <v>-0.49706065059537696</v>
      </c>
      <c r="AA48" s="37">
        <f ca="1"/>
        <v>1.6769032683302711</v>
      </c>
      <c r="AB48" s="37">
        <f ca="1"/>
        <v>0.14218970186784535</v>
      </c>
      <c r="AD48">
        <f ca="1"/>
        <v>0</v>
      </c>
      <c r="AE48">
        <f ca="1"/>
        <v>0</v>
      </c>
      <c r="AF48">
        <f ca="1"/>
        <v>0</v>
      </c>
      <c r="AG48">
        <f ca="1"/>
        <v>0</v>
      </c>
      <c r="AH48">
        <f ca="1"/>
        <v>0</v>
      </c>
    </row>
    <row r="49" spans="1:34" x14ac:dyDescent="0.4">
      <c r="A49" s="37">
        <v>29</v>
      </c>
      <c r="B49" s="36">
        <v>-8.2000000000000099</v>
      </c>
      <c r="D49" s="37">
        <f t="shared" ca="1" si="2"/>
        <v>-8.2000000000000099</v>
      </c>
      <c r="E49" s="37">
        <f t="shared" ca="1" si="3"/>
        <v>-8.2000000000000099</v>
      </c>
      <c r="F49">
        <f ca="1"/>
        <v>0</v>
      </c>
      <c r="G49">
        <f ca="1"/>
        <v>0.86666666666666836</v>
      </c>
      <c r="H49">
        <f ca="1"/>
        <v>0.13333333333333167</v>
      </c>
      <c r="I49">
        <f ca="1"/>
        <v>0</v>
      </c>
      <c r="J49">
        <f ca="1"/>
        <v>0</v>
      </c>
      <c r="K49">
        <f ca="1"/>
        <v>0</v>
      </c>
      <c r="L49">
        <f ca="1"/>
        <v>0</v>
      </c>
      <c r="R49">
        <f ca="1"/>
        <v>1</v>
      </c>
      <c r="S49">
        <f ca="1"/>
        <v>1.4240544936709674</v>
      </c>
      <c r="T49">
        <f ca="1"/>
        <v>-0.48388797867620342</v>
      </c>
      <c r="U49">
        <f ca="1"/>
        <v>1.6505193773427986</v>
      </c>
      <c r="V49">
        <f ca="1"/>
        <v>0.10878701936689597</v>
      </c>
      <c r="X49" s="37">
        <f t="array" aca="1" ref="X49:AB49" ca="1">MMULT(F49:INDEX(F49:P49,$G$16),TRANSPOSE($R$3:INDEX($R$3:$Y$7,$R$1,$G$16)))</f>
        <v>1</v>
      </c>
      <c r="Y49" s="37">
        <f ca="1"/>
        <v>1.4240544936709674</v>
      </c>
      <c r="Z49" s="37">
        <f ca="1"/>
        <v>-0.48388797867620342</v>
      </c>
      <c r="AA49" s="37">
        <f ca="1"/>
        <v>1.6505193773427986</v>
      </c>
      <c r="AB49" s="37">
        <f ca="1"/>
        <v>0.10878701936689597</v>
      </c>
      <c r="AD49">
        <f ca="1"/>
        <v>0</v>
      </c>
      <c r="AE49">
        <f ca="1"/>
        <v>0</v>
      </c>
      <c r="AF49">
        <f ca="1"/>
        <v>0</v>
      </c>
      <c r="AG49">
        <f ca="1"/>
        <v>0</v>
      </c>
      <c r="AH49">
        <f ca="1"/>
        <v>0</v>
      </c>
    </row>
    <row r="50" spans="1:34" x14ac:dyDescent="0.4">
      <c r="A50" s="37">
        <v>30</v>
      </c>
      <c r="B50" s="36">
        <v>-8.1000000000000103</v>
      </c>
      <c r="D50" s="37">
        <f t="shared" ca="1" si="2"/>
        <v>-8.1000000000000103</v>
      </c>
      <c r="E50" s="37">
        <f t="shared" ca="1" si="3"/>
        <v>-8.1000000000000103</v>
      </c>
      <c r="F50">
        <f ca="1"/>
        <v>0</v>
      </c>
      <c r="G50">
        <f ca="1"/>
        <v>0.85000000000000175</v>
      </c>
      <c r="H50">
        <f ca="1"/>
        <v>0.14999999999999827</v>
      </c>
      <c r="I50">
        <f ca="1"/>
        <v>0</v>
      </c>
      <c r="J50">
        <f ca="1"/>
        <v>0</v>
      </c>
      <c r="K50">
        <f ca="1"/>
        <v>0</v>
      </c>
      <c r="L50">
        <f ca="1"/>
        <v>0</v>
      </c>
      <c r="R50">
        <f ca="1"/>
        <v>1</v>
      </c>
      <c r="S50">
        <f ca="1"/>
        <v>1.4266310168164882</v>
      </c>
      <c r="T50">
        <f ca="1"/>
        <v>-0.47071530675702988</v>
      </c>
      <c r="U50">
        <f ca="1"/>
        <v>1.6241354863553261</v>
      </c>
      <c r="V50">
        <f ca="1"/>
        <v>7.5384336865946588E-2</v>
      </c>
      <c r="X50" s="37">
        <f t="array" aca="1" ref="X50:AB50" ca="1">MMULT(F50:INDEX(F50:P50,$G$16),TRANSPOSE($R$3:INDEX($R$3:$Y$7,$R$1,$G$16)))</f>
        <v>1</v>
      </c>
      <c r="Y50" s="37">
        <f ca="1"/>
        <v>1.4266310168164882</v>
      </c>
      <c r="Z50" s="37">
        <f ca="1"/>
        <v>-0.47071530675702988</v>
      </c>
      <c r="AA50" s="37">
        <f ca="1"/>
        <v>1.6241354863553261</v>
      </c>
      <c r="AB50" s="37">
        <f ca="1"/>
        <v>7.5384336865946588E-2</v>
      </c>
      <c r="AD50">
        <f ca="1"/>
        <v>0</v>
      </c>
      <c r="AE50">
        <f ca="1"/>
        <v>0</v>
      </c>
      <c r="AF50">
        <f ca="1"/>
        <v>0</v>
      </c>
      <c r="AG50">
        <f ca="1"/>
        <v>0</v>
      </c>
      <c r="AH50">
        <f ca="1"/>
        <v>0</v>
      </c>
    </row>
    <row r="51" spans="1:34" x14ac:dyDescent="0.4">
      <c r="A51" s="37">
        <v>31</v>
      </c>
      <c r="B51" s="36">
        <v>-8.0000000000000107</v>
      </c>
      <c r="D51" s="37">
        <f t="shared" ca="1" si="2"/>
        <v>-8.0000000000000107</v>
      </c>
      <c r="E51" s="37">
        <f t="shared" ca="1" si="3"/>
        <v>-8.0000000000000107</v>
      </c>
      <c r="F51">
        <f ca="1"/>
        <v>0</v>
      </c>
      <c r="G51">
        <f ca="1"/>
        <v>0.83333333333333515</v>
      </c>
      <c r="H51">
        <f ca="1"/>
        <v>0.16666666666666488</v>
      </c>
      <c r="I51">
        <f ca="1"/>
        <v>0</v>
      </c>
      <c r="J51">
        <f ca="1"/>
        <v>0</v>
      </c>
      <c r="K51">
        <f ca="1"/>
        <v>0</v>
      </c>
      <c r="L51">
        <f ca="1"/>
        <v>0</v>
      </c>
      <c r="R51">
        <f ca="1"/>
        <v>1</v>
      </c>
      <c r="S51">
        <f ca="1"/>
        <v>1.4292075399620094</v>
      </c>
      <c r="T51">
        <f ca="1"/>
        <v>-0.45754263483785634</v>
      </c>
      <c r="U51">
        <f ca="1"/>
        <v>1.5977515953678534</v>
      </c>
      <c r="V51">
        <f ca="1"/>
        <v>4.1981654364997234E-2</v>
      </c>
      <c r="X51" s="37">
        <f t="array" aca="1" ref="X51:AB51" ca="1">MMULT(F51:INDEX(F51:P51,$G$16),TRANSPOSE($R$3:INDEX($R$3:$Y$7,$R$1,$G$16)))</f>
        <v>1</v>
      </c>
      <c r="Y51" s="37">
        <f ca="1"/>
        <v>1.4292075399620094</v>
      </c>
      <c r="Z51" s="37">
        <f ca="1"/>
        <v>-0.45754263483785634</v>
      </c>
      <c r="AA51" s="37">
        <f ca="1"/>
        <v>1.5977515953678534</v>
      </c>
      <c r="AB51" s="37">
        <f ca="1"/>
        <v>4.1981654364997234E-2</v>
      </c>
      <c r="AD51">
        <f ca="1"/>
        <v>0</v>
      </c>
      <c r="AE51">
        <f ca="1"/>
        <v>0</v>
      </c>
      <c r="AF51">
        <f ca="1"/>
        <v>0</v>
      </c>
      <c r="AG51">
        <f ca="1"/>
        <v>0</v>
      </c>
      <c r="AH51">
        <f ca="1"/>
        <v>0</v>
      </c>
    </row>
    <row r="52" spans="1:34" x14ac:dyDescent="0.4">
      <c r="A52" s="37">
        <v>32</v>
      </c>
      <c r="B52" s="36">
        <v>-7.900000000000011</v>
      </c>
      <c r="D52" s="37">
        <f t="shared" ca="1" si="2"/>
        <v>-7.900000000000011</v>
      </c>
      <c r="E52" s="37">
        <f t="shared" ca="1" si="3"/>
        <v>-7.900000000000011</v>
      </c>
      <c r="F52">
        <f ca="1"/>
        <v>0</v>
      </c>
      <c r="G52">
        <f ca="1"/>
        <v>0.81666666666666854</v>
      </c>
      <c r="H52">
        <f ca="1"/>
        <v>0.18333333333333149</v>
      </c>
      <c r="I52">
        <f ca="1"/>
        <v>0</v>
      </c>
      <c r="J52">
        <f ca="1"/>
        <v>0</v>
      </c>
      <c r="K52">
        <f ca="1"/>
        <v>0</v>
      </c>
      <c r="L52">
        <f ca="1"/>
        <v>0</v>
      </c>
      <c r="R52">
        <f ca="1"/>
        <v>1</v>
      </c>
      <c r="S52">
        <f ca="1"/>
        <v>1.4317840631075307</v>
      </c>
      <c r="T52">
        <f ca="1"/>
        <v>-0.4443699629186828</v>
      </c>
      <c r="U52">
        <f ca="1"/>
        <v>1.5713677043803809</v>
      </c>
      <c r="V52">
        <f ca="1"/>
        <v>8.5789718640478796E-3</v>
      </c>
      <c r="X52" s="37">
        <f t="array" aca="1" ref="X52:AB52" ca="1">MMULT(F52:INDEX(F52:P52,$G$16),TRANSPOSE($R$3:INDEX($R$3:$Y$7,$R$1,$G$16)))</f>
        <v>1</v>
      </c>
      <c r="Y52" s="37">
        <f ca="1"/>
        <v>1.4317840631075307</v>
      </c>
      <c r="Z52" s="37">
        <f ca="1"/>
        <v>-0.4443699629186828</v>
      </c>
      <c r="AA52" s="37">
        <f ca="1"/>
        <v>1.5713677043803809</v>
      </c>
      <c r="AB52" s="37">
        <f ca="1"/>
        <v>8.5789718640478796E-3</v>
      </c>
      <c r="AD52">
        <f ca="1"/>
        <v>0</v>
      </c>
      <c r="AE52">
        <f ca="1"/>
        <v>0</v>
      </c>
      <c r="AF52">
        <f ca="1"/>
        <v>0</v>
      </c>
      <c r="AG52">
        <f ca="1"/>
        <v>0</v>
      </c>
      <c r="AH52">
        <f ca="1"/>
        <v>0</v>
      </c>
    </row>
    <row r="53" spans="1:34" x14ac:dyDescent="0.4">
      <c r="A53" s="37">
        <v>33</v>
      </c>
      <c r="B53" s="36">
        <v>-7.8000000000000114</v>
      </c>
      <c r="D53" s="37">
        <f t="shared" ca="1" si="2"/>
        <v>-7.8000000000000114</v>
      </c>
      <c r="E53" s="37">
        <f t="shared" ca="1" si="3"/>
        <v>-7.8000000000000114</v>
      </c>
      <c r="F53">
        <f ca="1"/>
        <v>0</v>
      </c>
      <c r="G53">
        <f ca="1"/>
        <v>0.80000000000000193</v>
      </c>
      <c r="H53">
        <f ca="1"/>
        <v>0.1999999999999981</v>
      </c>
      <c r="I53">
        <f ca="1"/>
        <v>0</v>
      </c>
      <c r="J53">
        <f ca="1"/>
        <v>0</v>
      </c>
      <c r="K53">
        <f ca="1"/>
        <v>0</v>
      </c>
      <c r="L53">
        <f ca="1"/>
        <v>0</v>
      </c>
      <c r="R53">
        <f ca="1"/>
        <v>1</v>
      </c>
      <c r="S53">
        <f ca="1"/>
        <v>1.4343605862530517</v>
      </c>
      <c r="T53">
        <f ca="1"/>
        <v>-0.43119729099950926</v>
      </c>
      <c r="U53">
        <f ca="1"/>
        <v>1.5449838133929084</v>
      </c>
      <c r="V53">
        <f ca="1"/>
        <v>-2.482371063690153E-2</v>
      </c>
      <c r="X53" s="37">
        <f t="array" aca="1" ref="X53:AB53" ca="1">MMULT(F53:INDEX(F53:P53,$G$16),TRANSPOSE($R$3:INDEX($R$3:$Y$7,$R$1,$G$16)))</f>
        <v>1</v>
      </c>
      <c r="Y53" s="37">
        <f ca="1"/>
        <v>1.4343605862530517</v>
      </c>
      <c r="Z53" s="37">
        <f ca="1"/>
        <v>-0.43119729099950926</v>
      </c>
      <c r="AA53" s="37">
        <f ca="1"/>
        <v>1.5449838133929084</v>
      </c>
      <c r="AB53" s="37">
        <f ca="1"/>
        <v>-2.482371063690153E-2</v>
      </c>
      <c r="AD53">
        <f ca="1"/>
        <v>0</v>
      </c>
      <c r="AE53">
        <f ca="1"/>
        <v>0</v>
      </c>
      <c r="AF53">
        <f ca="1"/>
        <v>0</v>
      </c>
      <c r="AG53">
        <f ca="1"/>
        <v>0</v>
      </c>
      <c r="AH53">
        <f ca="1"/>
        <v>0</v>
      </c>
    </row>
    <row r="54" spans="1:34" x14ac:dyDescent="0.4">
      <c r="A54" s="37">
        <v>34</v>
      </c>
      <c r="B54" s="36">
        <v>-7.7000000000000117</v>
      </c>
      <c r="D54" s="37">
        <f t="shared" ca="1" si="2"/>
        <v>-7.7000000000000117</v>
      </c>
      <c r="E54" s="37">
        <f t="shared" ca="1" si="3"/>
        <v>-7.7000000000000117</v>
      </c>
      <c r="F54">
        <f ca="1"/>
        <v>0</v>
      </c>
      <c r="G54">
        <f ca="1"/>
        <v>0.78333333333333532</v>
      </c>
      <c r="H54">
        <f ca="1"/>
        <v>0.2166666666666647</v>
      </c>
      <c r="I54">
        <f ca="1"/>
        <v>0</v>
      </c>
      <c r="J54">
        <f ca="1"/>
        <v>0</v>
      </c>
      <c r="K54">
        <f ca="1"/>
        <v>0</v>
      </c>
      <c r="L54">
        <f ca="1"/>
        <v>0</v>
      </c>
      <c r="R54">
        <f ca="1"/>
        <v>1</v>
      </c>
      <c r="S54">
        <f ca="1"/>
        <v>1.436937109398573</v>
      </c>
      <c r="T54">
        <f ca="1"/>
        <v>-0.41802461908033572</v>
      </c>
      <c r="U54">
        <f ca="1"/>
        <v>1.5185999224054356</v>
      </c>
      <c r="V54">
        <f ca="1"/>
        <v>-5.822639313785094E-2</v>
      </c>
      <c r="X54" s="37">
        <f t="array" aca="1" ref="X54:AB54" ca="1">MMULT(F54:INDEX(F54:P54,$G$16),TRANSPOSE($R$3:INDEX($R$3:$Y$7,$R$1,$G$16)))</f>
        <v>1</v>
      </c>
      <c r="Y54" s="37">
        <f ca="1"/>
        <v>1.436937109398573</v>
      </c>
      <c r="Z54" s="37">
        <f ca="1"/>
        <v>-0.41802461908033572</v>
      </c>
      <c r="AA54" s="37">
        <f ca="1"/>
        <v>1.5185999224054356</v>
      </c>
      <c r="AB54" s="37">
        <f ca="1"/>
        <v>-5.822639313785094E-2</v>
      </c>
      <c r="AD54">
        <f ca="1"/>
        <v>0</v>
      </c>
      <c r="AE54">
        <f ca="1"/>
        <v>0</v>
      </c>
      <c r="AF54">
        <f ca="1"/>
        <v>0</v>
      </c>
      <c r="AG54">
        <f ca="1"/>
        <v>0</v>
      </c>
      <c r="AH54">
        <f ca="1"/>
        <v>0</v>
      </c>
    </row>
    <row r="55" spans="1:34" x14ac:dyDescent="0.4">
      <c r="A55" s="37">
        <v>35</v>
      </c>
      <c r="B55" s="36">
        <v>-7.6000000000000121</v>
      </c>
      <c r="D55" s="37">
        <f t="shared" ca="1" si="2"/>
        <v>-7.6000000000000121</v>
      </c>
      <c r="E55" s="37">
        <f t="shared" ca="1" si="3"/>
        <v>-7.6000000000000121</v>
      </c>
      <c r="F55">
        <f ca="1"/>
        <v>0</v>
      </c>
      <c r="G55">
        <f ca="1"/>
        <v>0.76666666666666872</v>
      </c>
      <c r="H55">
        <f ca="1"/>
        <v>0.23333333333333131</v>
      </c>
      <c r="I55">
        <f ca="1"/>
        <v>0</v>
      </c>
      <c r="J55">
        <f ca="1"/>
        <v>0</v>
      </c>
      <c r="K55">
        <f ca="1"/>
        <v>0</v>
      </c>
      <c r="L55">
        <f ca="1"/>
        <v>0</v>
      </c>
      <c r="R55">
        <f ca="1"/>
        <v>1</v>
      </c>
      <c r="S55">
        <f ca="1"/>
        <v>1.439513632544094</v>
      </c>
      <c r="T55">
        <f ca="1"/>
        <v>-0.40485194716116218</v>
      </c>
      <c r="U55">
        <f ca="1"/>
        <v>1.4922160314179633</v>
      </c>
      <c r="V55">
        <f ca="1"/>
        <v>-9.1629075638800295E-2</v>
      </c>
      <c r="X55" s="37">
        <f t="array" aca="1" ref="X55:AB55" ca="1">MMULT(F55:INDEX(F55:P55,$G$16),TRANSPOSE($R$3:INDEX($R$3:$Y$7,$R$1,$G$16)))</f>
        <v>1</v>
      </c>
      <c r="Y55" s="37">
        <f ca="1"/>
        <v>1.439513632544094</v>
      </c>
      <c r="Z55" s="37">
        <f ca="1"/>
        <v>-0.40485194716116218</v>
      </c>
      <c r="AA55" s="37">
        <f ca="1"/>
        <v>1.4922160314179633</v>
      </c>
      <c r="AB55" s="37">
        <f ca="1"/>
        <v>-9.1629075638800295E-2</v>
      </c>
      <c r="AD55">
        <f ca="1"/>
        <v>0</v>
      </c>
      <c r="AE55">
        <f ca="1"/>
        <v>0</v>
      </c>
      <c r="AF55">
        <f ca="1"/>
        <v>0</v>
      </c>
      <c r="AG55">
        <f ca="1"/>
        <v>0</v>
      </c>
      <c r="AH55">
        <f ca="1"/>
        <v>0</v>
      </c>
    </row>
    <row r="56" spans="1:34" x14ac:dyDescent="0.4">
      <c r="A56" s="37">
        <v>36</v>
      </c>
      <c r="B56" s="36">
        <v>-7.5000000000000124</v>
      </c>
      <c r="D56" s="37">
        <f t="shared" ca="1" si="2"/>
        <v>-7.5000000000000124</v>
      </c>
      <c r="E56" s="37">
        <f t="shared" ca="1" si="3"/>
        <v>-7.5000000000000124</v>
      </c>
      <c r="F56">
        <f ca="1"/>
        <v>0</v>
      </c>
      <c r="G56">
        <f ca="1"/>
        <v>0.75000000000000211</v>
      </c>
      <c r="H56">
        <f ca="1"/>
        <v>0.24999999999999792</v>
      </c>
      <c r="I56">
        <f ca="1"/>
        <v>0</v>
      </c>
      <c r="J56">
        <f ca="1"/>
        <v>0</v>
      </c>
      <c r="K56">
        <f ca="1"/>
        <v>0</v>
      </c>
      <c r="L56">
        <f ca="1"/>
        <v>0</v>
      </c>
      <c r="R56">
        <f ca="1"/>
        <v>1</v>
      </c>
      <c r="S56">
        <f ca="1"/>
        <v>1.4420901556896153</v>
      </c>
      <c r="T56">
        <f ca="1"/>
        <v>-0.39167927524198864</v>
      </c>
      <c r="U56">
        <f ca="1"/>
        <v>1.4658321404304908</v>
      </c>
      <c r="V56">
        <f ca="1"/>
        <v>-0.1250317581397497</v>
      </c>
      <c r="X56" s="37">
        <f t="array" aca="1" ref="X56:AB56" ca="1">MMULT(F56:INDEX(F56:P56,$G$16),TRANSPOSE($R$3:INDEX($R$3:$Y$7,$R$1,$G$16)))</f>
        <v>1</v>
      </c>
      <c r="Y56" s="37">
        <f ca="1"/>
        <v>1.4420901556896153</v>
      </c>
      <c r="Z56" s="37">
        <f ca="1"/>
        <v>-0.39167927524198864</v>
      </c>
      <c r="AA56" s="37">
        <f ca="1"/>
        <v>1.4658321404304908</v>
      </c>
      <c r="AB56" s="37">
        <f ca="1"/>
        <v>-0.1250317581397497</v>
      </c>
      <c r="AD56">
        <f ca="1"/>
        <v>0</v>
      </c>
      <c r="AE56">
        <f ca="1"/>
        <v>0</v>
      </c>
      <c r="AF56">
        <f ca="1"/>
        <v>0</v>
      </c>
      <c r="AG56">
        <f ca="1"/>
        <v>0</v>
      </c>
      <c r="AH56">
        <f ca="1"/>
        <v>0</v>
      </c>
    </row>
    <row r="57" spans="1:34" x14ac:dyDescent="0.4">
      <c r="A57" s="37">
        <v>37</v>
      </c>
      <c r="B57" s="36">
        <v>-7.4000000000000128</v>
      </c>
      <c r="D57" s="37">
        <f t="shared" ca="1" si="2"/>
        <v>-7.4000000000000128</v>
      </c>
      <c r="E57" s="37">
        <f t="shared" ca="1" si="3"/>
        <v>-7.4000000000000128</v>
      </c>
      <c r="F57">
        <f ca="1"/>
        <v>0</v>
      </c>
      <c r="G57">
        <f ca="1"/>
        <v>0.73333333333333539</v>
      </c>
      <c r="H57">
        <f ca="1"/>
        <v>0.26666666666666455</v>
      </c>
      <c r="I57">
        <f ca="1"/>
        <v>0</v>
      </c>
      <c r="J57">
        <f ca="1"/>
        <v>0</v>
      </c>
      <c r="K57">
        <f ca="1"/>
        <v>0</v>
      </c>
      <c r="L57">
        <f ca="1"/>
        <v>0</v>
      </c>
      <c r="R57">
        <f ca="1"/>
        <v>1</v>
      </c>
      <c r="S57">
        <f ca="1"/>
        <v>1.4446666788351366</v>
      </c>
      <c r="T57">
        <f ca="1"/>
        <v>-0.37850660332281499</v>
      </c>
      <c r="U57">
        <f ca="1"/>
        <v>1.4394482494430181</v>
      </c>
      <c r="V57">
        <f ca="1"/>
        <v>-0.15843444064069911</v>
      </c>
      <c r="X57" s="37">
        <f t="array" aca="1" ref="X57:AB57" ca="1">MMULT(F57:INDEX(F57:P57,$G$16),TRANSPOSE($R$3:INDEX($R$3:$Y$7,$R$1,$G$16)))</f>
        <v>1</v>
      </c>
      <c r="Y57" s="37">
        <f ca="1"/>
        <v>1.4446666788351366</v>
      </c>
      <c r="Z57" s="37">
        <f ca="1"/>
        <v>-0.37850660332281499</v>
      </c>
      <c r="AA57" s="37">
        <f ca="1"/>
        <v>1.4394482494430181</v>
      </c>
      <c r="AB57" s="37">
        <f ca="1"/>
        <v>-0.15843444064069911</v>
      </c>
      <c r="AD57">
        <f ca="1"/>
        <v>0</v>
      </c>
      <c r="AE57">
        <f ca="1"/>
        <v>0</v>
      </c>
      <c r="AF57">
        <f ca="1"/>
        <v>0</v>
      </c>
      <c r="AG57">
        <f ca="1"/>
        <v>0</v>
      </c>
      <c r="AH57">
        <f ca="1"/>
        <v>0</v>
      </c>
    </row>
    <row r="58" spans="1:34" x14ac:dyDescent="0.4">
      <c r="A58" s="37">
        <v>38</v>
      </c>
      <c r="B58" s="36">
        <v>-7.3000000000000131</v>
      </c>
      <c r="D58" s="37">
        <f t="shared" ca="1" si="2"/>
        <v>-7.3000000000000131</v>
      </c>
      <c r="E58" s="37">
        <f t="shared" ca="1" si="3"/>
        <v>-7.3000000000000131</v>
      </c>
      <c r="F58">
        <f ca="1"/>
        <v>0</v>
      </c>
      <c r="G58">
        <f ca="1"/>
        <v>0.71666666666666878</v>
      </c>
      <c r="H58">
        <f ca="1"/>
        <v>0.28333333333333116</v>
      </c>
      <c r="I58">
        <f ca="1"/>
        <v>0</v>
      </c>
      <c r="J58">
        <f ca="1"/>
        <v>0</v>
      </c>
      <c r="K58">
        <f ca="1"/>
        <v>0</v>
      </c>
      <c r="L58">
        <f ca="1"/>
        <v>0</v>
      </c>
      <c r="R58">
        <f ca="1"/>
        <v>1</v>
      </c>
      <c r="S58">
        <f ca="1"/>
        <v>1.4472432019806576</v>
      </c>
      <c r="T58">
        <f ca="1"/>
        <v>-0.36533393140364145</v>
      </c>
      <c r="U58">
        <f ca="1"/>
        <v>1.4130643584555453</v>
      </c>
      <c r="V58">
        <f ca="1"/>
        <v>-0.19183712314164852</v>
      </c>
      <c r="X58" s="37">
        <f t="array" aca="1" ref="X58:AB58" ca="1">MMULT(F58:INDEX(F58:P58,$G$16),TRANSPOSE($R$3:INDEX($R$3:$Y$7,$R$1,$G$16)))</f>
        <v>1</v>
      </c>
      <c r="Y58" s="37">
        <f ca="1"/>
        <v>1.4472432019806576</v>
      </c>
      <c r="Z58" s="37">
        <f ca="1"/>
        <v>-0.36533393140364145</v>
      </c>
      <c r="AA58" s="37">
        <f ca="1"/>
        <v>1.4130643584555453</v>
      </c>
      <c r="AB58" s="37">
        <f ca="1"/>
        <v>-0.19183712314164852</v>
      </c>
      <c r="AD58">
        <f ca="1"/>
        <v>0</v>
      </c>
      <c r="AE58">
        <f ca="1"/>
        <v>0</v>
      </c>
      <c r="AF58">
        <f ca="1"/>
        <v>0</v>
      </c>
      <c r="AG58">
        <f ca="1"/>
        <v>0</v>
      </c>
      <c r="AH58">
        <f ca="1"/>
        <v>0</v>
      </c>
    </row>
    <row r="59" spans="1:34" x14ac:dyDescent="0.4">
      <c r="A59" s="37">
        <v>39</v>
      </c>
      <c r="B59" s="36">
        <v>-7.2000000000000135</v>
      </c>
      <c r="D59" s="37">
        <f t="shared" ca="1" si="2"/>
        <v>-7.2000000000000135</v>
      </c>
      <c r="E59" s="37">
        <f t="shared" ca="1" si="3"/>
        <v>-7.2000000000000135</v>
      </c>
      <c r="F59">
        <f ca="1"/>
        <v>0</v>
      </c>
      <c r="G59">
        <f ca="1"/>
        <v>0.70000000000000218</v>
      </c>
      <c r="H59">
        <f ca="1"/>
        <v>0.29999999999999777</v>
      </c>
      <c r="I59">
        <f ca="1"/>
        <v>0</v>
      </c>
      <c r="J59">
        <f ca="1"/>
        <v>0</v>
      </c>
      <c r="K59">
        <f ca="1"/>
        <v>0</v>
      </c>
      <c r="L59">
        <f ca="1"/>
        <v>0</v>
      </c>
      <c r="R59">
        <f ca="1"/>
        <v>1</v>
      </c>
      <c r="S59">
        <f ca="1"/>
        <v>1.4498197251261788</v>
      </c>
      <c r="T59">
        <f ca="1"/>
        <v>-0.35216125948446791</v>
      </c>
      <c r="U59">
        <f ca="1"/>
        <v>1.3866804674680728</v>
      </c>
      <c r="V59">
        <f ca="1"/>
        <v>-0.22523980564259793</v>
      </c>
      <c r="X59" s="37">
        <f t="array" aca="1" ref="X59:AB59" ca="1">MMULT(F59:INDEX(F59:P59,$G$16),TRANSPOSE($R$3:INDEX($R$3:$Y$7,$R$1,$G$16)))</f>
        <v>1</v>
      </c>
      <c r="Y59" s="37">
        <f ca="1"/>
        <v>1.4498197251261788</v>
      </c>
      <c r="Z59" s="37">
        <f ca="1"/>
        <v>-0.35216125948446791</v>
      </c>
      <c r="AA59" s="37">
        <f ca="1"/>
        <v>1.3866804674680728</v>
      </c>
      <c r="AB59" s="37">
        <f ca="1"/>
        <v>-0.22523980564259793</v>
      </c>
      <c r="AD59">
        <f ca="1"/>
        <v>0</v>
      </c>
      <c r="AE59">
        <f ca="1"/>
        <v>0</v>
      </c>
      <c r="AF59">
        <f ca="1"/>
        <v>0</v>
      </c>
      <c r="AG59">
        <f ca="1"/>
        <v>0</v>
      </c>
      <c r="AH59">
        <f ca="1"/>
        <v>0</v>
      </c>
    </row>
    <row r="60" spans="1:34" x14ac:dyDescent="0.4">
      <c r="A60" s="37">
        <v>40</v>
      </c>
      <c r="B60" s="36">
        <v>-7.1000000000000139</v>
      </c>
      <c r="D60" s="37">
        <f t="shared" ca="1" si="2"/>
        <v>-7.1000000000000139</v>
      </c>
      <c r="E60" s="37">
        <f t="shared" ca="1" si="3"/>
        <v>-7.1000000000000139</v>
      </c>
      <c r="F60">
        <f ca="1"/>
        <v>0</v>
      </c>
      <c r="G60">
        <f ca="1"/>
        <v>0.68333333333333557</v>
      </c>
      <c r="H60">
        <f ca="1"/>
        <v>0.31666666666666438</v>
      </c>
      <c r="I60">
        <f ca="1"/>
        <v>0</v>
      </c>
      <c r="J60">
        <f ca="1"/>
        <v>0</v>
      </c>
      <c r="K60">
        <f ca="1"/>
        <v>0</v>
      </c>
      <c r="L60">
        <f ca="1"/>
        <v>0</v>
      </c>
      <c r="R60">
        <f ca="1"/>
        <v>1</v>
      </c>
      <c r="S60">
        <f ca="1"/>
        <v>1.4523962482716999</v>
      </c>
      <c r="T60">
        <f ca="1"/>
        <v>-0.33898858756529443</v>
      </c>
      <c r="U60">
        <f ca="1"/>
        <v>1.3602965764806003</v>
      </c>
      <c r="V60">
        <f ca="1"/>
        <v>-0.25864248814354729</v>
      </c>
      <c r="X60" s="37">
        <f t="array" aca="1" ref="X60:AB60" ca="1">MMULT(F60:INDEX(F60:P60,$G$16),TRANSPOSE($R$3:INDEX($R$3:$Y$7,$R$1,$G$16)))</f>
        <v>1</v>
      </c>
      <c r="Y60" s="37">
        <f ca="1"/>
        <v>1.4523962482716999</v>
      </c>
      <c r="Z60" s="37">
        <f ca="1"/>
        <v>-0.33898858756529443</v>
      </c>
      <c r="AA60" s="37">
        <f ca="1"/>
        <v>1.3602965764806003</v>
      </c>
      <c r="AB60" s="37">
        <f ca="1"/>
        <v>-0.25864248814354729</v>
      </c>
      <c r="AD60">
        <f ca="1"/>
        <v>0</v>
      </c>
      <c r="AE60">
        <f ca="1"/>
        <v>0</v>
      </c>
      <c r="AF60">
        <f ca="1"/>
        <v>0</v>
      </c>
      <c r="AG60">
        <f ca="1"/>
        <v>0</v>
      </c>
      <c r="AH60">
        <f ca="1"/>
        <v>0</v>
      </c>
    </row>
    <row r="61" spans="1:34" x14ac:dyDescent="0.4">
      <c r="A61" s="37">
        <v>41</v>
      </c>
      <c r="B61" s="36">
        <v>-7.0000000000000142</v>
      </c>
      <c r="D61" s="37">
        <f t="shared" ca="1" si="2"/>
        <v>-7.0000000000000142</v>
      </c>
      <c r="E61" s="37">
        <f t="shared" ca="1" si="3"/>
        <v>-7.0000000000000142</v>
      </c>
      <c r="F61">
        <f ca="1"/>
        <v>0</v>
      </c>
      <c r="G61">
        <f ca="1"/>
        <v>0.66666666666666896</v>
      </c>
      <c r="H61">
        <f ca="1"/>
        <v>0.33333333333333098</v>
      </c>
      <c r="I61">
        <f ca="1"/>
        <v>0</v>
      </c>
      <c r="J61">
        <f ca="1"/>
        <v>0</v>
      </c>
      <c r="K61">
        <f ca="1"/>
        <v>0</v>
      </c>
      <c r="L61">
        <f ca="1"/>
        <v>0</v>
      </c>
      <c r="R61">
        <f ca="1"/>
        <v>1</v>
      </c>
      <c r="S61">
        <f ca="1"/>
        <v>1.4549727714172209</v>
      </c>
      <c r="T61">
        <f ca="1"/>
        <v>-0.32581591564612089</v>
      </c>
      <c r="U61">
        <f ca="1"/>
        <v>1.3339126854931276</v>
      </c>
      <c r="V61">
        <f ca="1"/>
        <v>-0.29204517064449675</v>
      </c>
      <c r="X61" s="37">
        <f t="array" aca="1" ref="X61:AB61" ca="1">MMULT(F61:INDEX(F61:P61,$G$16),TRANSPOSE($R$3:INDEX($R$3:$Y$7,$R$1,$G$16)))</f>
        <v>1</v>
      </c>
      <c r="Y61" s="37">
        <f ca="1"/>
        <v>1.4549727714172209</v>
      </c>
      <c r="Z61" s="37">
        <f ca="1"/>
        <v>-0.32581591564612089</v>
      </c>
      <c r="AA61" s="37">
        <f ca="1"/>
        <v>1.3339126854931276</v>
      </c>
      <c r="AB61" s="37">
        <f ca="1"/>
        <v>-0.29204517064449675</v>
      </c>
      <c r="AD61">
        <f ca="1"/>
        <v>0</v>
      </c>
      <c r="AE61">
        <f ca="1"/>
        <v>0</v>
      </c>
      <c r="AF61">
        <f ca="1"/>
        <v>0</v>
      </c>
      <c r="AG61">
        <f ca="1"/>
        <v>0</v>
      </c>
      <c r="AH61">
        <f ca="1"/>
        <v>0</v>
      </c>
    </row>
    <row r="62" spans="1:34" x14ac:dyDescent="0.4">
      <c r="A62" s="37">
        <v>42</v>
      </c>
      <c r="B62" s="36">
        <v>-6.9000000000000146</v>
      </c>
      <c r="D62" s="37">
        <f t="shared" ca="1" si="2"/>
        <v>-6.9000000000000146</v>
      </c>
      <c r="E62" s="37">
        <f t="shared" ca="1" si="3"/>
        <v>-6.9000000000000146</v>
      </c>
      <c r="F62">
        <f ca="1"/>
        <v>0</v>
      </c>
      <c r="G62">
        <f ca="1"/>
        <v>0.65000000000000235</v>
      </c>
      <c r="H62">
        <f ca="1"/>
        <v>0.34999999999999759</v>
      </c>
      <c r="I62">
        <f ca="1"/>
        <v>0</v>
      </c>
      <c r="J62">
        <f ca="1"/>
        <v>0</v>
      </c>
      <c r="K62">
        <f ca="1"/>
        <v>0</v>
      </c>
      <c r="L62">
        <f ca="1"/>
        <v>0</v>
      </c>
      <c r="R62">
        <f ca="1"/>
        <v>1</v>
      </c>
      <c r="S62">
        <f ca="1"/>
        <v>1.4575492945627424</v>
      </c>
      <c r="T62">
        <f ca="1"/>
        <v>-0.31264324372694735</v>
      </c>
      <c r="U62">
        <f ca="1"/>
        <v>1.3075287945056551</v>
      </c>
      <c r="V62">
        <f ca="1"/>
        <v>-0.32544785314544611</v>
      </c>
      <c r="X62" s="37">
        <f t="array" aca="1" ref="X62:AB62" ca="1">MMULT(F62:INDEX(F62:P62,$G$16),TRANSPOSE($R$3:INDEX($R$3:$Y$7,$R$1,$G$16)))</f>
        <v>1</v>
      </c>
      <c r="Y62" s="37">
        <f ca="1"/>
        <v>1.4575492945627424</v>
      </c>
      <c r="Z62" s="37">
        <f ca="1"/>
        <v>-0.31264324372694735</v>
      </c>
      <c r="AA62" s="37">
        <f ca="1"/>
        <v>1.3075287945056551</v>
      </c>
      <c r="AB62" s="37">
        <f ca="1"/>
        <v>-0.32544785314544611</v>
      </c>
      <c r="AD62">
        <f ca="1"/>
        <v>0</v>
      </c>
      <c r="AE62">
        <f ca="1"/>
        <v>0</v>
      </c>
      <c r="AF62">
        <f ca="1"/>
        <v>0</v>
      </c>
      <c r="AG62">
        <f ca="1"/>
        <v>0</v>
      </c>
      <c r="AH62">
        <f ca="1"/>
        <v>0</v>
      </c>
    </row>
    <row r="63" spans="1:34" x14ac:dyDescent="0.4">
      <c r="A63" s="37">
        <v>43</v>
      </c>
      <c r="B63" s="36">
        <v>-6.8000000000000149</v>
      </c>
      <c r="D63" s="37">
        <f t="shared" ca="1" si="2"/>
        <v>-6.8000000000000149</v>
      </c>
      <c r="E63" s="37">
        <f t="shared" ca="1" si="3"/>
        <v>-6.8000000000000149</v>
      </c>
      <c r="F63">
        <f ca="1"/>
        <v>0</v>
      </c>
      <c r="G63">
        <f ca="1"/>
        <v>0.63333333333333575</v>
      </c>
      <c r="H63">
        <f ca="1"/>
        <v>0.3666666666666642</v>
      </c>
      <c r="I63">
        <f ca="1"/>
        <v>0</v>
      </c>
      <c r="J63">
        <f ca="1"/>
        <v>0</v>
      </c>
      <c r="K63">
        <f ca="1"/>
        <v>0</v>
      </c>
      <c r="L63">
        <f ca="1"/>
        <v>0</v>
      </c>
      <c r="R63">
        <f ca="1"/>
        <v>1</v>
      </c>
      <c r="S63">
        <f ca="1"/>
        <v>1.4601258177082634</v>
      </c>
      <c r="T63">
        <f ca="1"/>
        <v>-0.29947057180777381</v>
      </c>
      <c r="U63">
        <f ca="1"/>
        <v>1.2811449035181826</v>
      </c>
      <c r="V63">
        <f ca="1"/>
        <v>-0.35885053564639546</v>
      </c>
      <c r="X63" s="37">
        <f t="array" aca="1" ref="X63:AB63" ca="1">MMULT(F63:INDEX(F63:P63,$G$16),TRANSPOSE($R$3:INDEX($R$3:$Y$7,$R$1,$G$16)))</f>
        <v>1</v>
      </c>
      <c r="Y63" s="37">
        <f ca="1"/>
        <v>1.4601258177082634</v>
      </c>
      <c r="Z63" s="37">
        <f ca="1"/>
        <v>-0.29947057180777381</v>
      </c>
      <c r="AA63" s="37">
        <f ca="1"/>
        <v>1.2811449035181826</v>
      </c>
      <c r="AB63" s="37">
        <f ca="1"/>
        <v>-0.35885053564639546</v>
      </c>
      <c r="AD63">
        <f ca="1"/>
        <v>0</v>
      </c>
      <c r="AE63">
        <f ca="1"/>
        <v>0</v>
      </c>
      <c r="AF63">
        <f ca="1"/>
        <v>0</v>
      </c>
      <c r="AG63">
        <f ca="1"/>
        <v>0</v>
      </c>
      <c r="AH63">
        <f ca="1"/>
        <v>0</v>
      </c>
    </row>
    <row r="64" spans="1:34" x14ac:dyDescent="0.4">
      <c r="A64" s="37">
        <v>44</v>
      </c>
      <c r="B64" s="36">
        <v>-6.7000000000000153</v>
      </c>
      <c r="D64" s="37">
        <f t="shared" ca="1" si="2"/>
        <v>-6.7000000000000153</v>
      </c>
      <c r="E64" s="37">
        <f t="shared" ca="1" si="3"/>
        <v>-6.7000000000000153</v>
      </c>
      <c r="F64">
        <f ca="1"/>
        <v>0</v>
      </c>
      <c r="G64">
        <f ca="1"/>
        <v>0.61666666666666914</v>
      </c>
      <c r="H64">
        <f ca="1"/>
        <v>0.38333333333333081</v>
      </c>
      <c r="I64">
        <f ca="1"/>
        <v>0</v>
      </c>
      <c r="J64">
        <f ca="1"/>
        <v>0</v>
      </c>
      <c r="K64">
        <f ca="1"/>
        <v>0</v>
      </c>
      <c r="L64">
        <f ca="1"/>
        <v>0</v>
      </c>
      <c r="R64">
        <f ca="1"/>
        <v>1</v>
      </c>
      <c r="S64">
        <f ca="1"/>
        <v>1.4627023408537845</v>
      </c>
      <c r="T64">
        <f ca="1"/>
        <v>-0.28629789988860022</v>
      </c>
      <c r="U64">
        <f ca="1"/>
        <v>1.25476101253071</v>
      </c>
      <c r="V64">
        <f ca="1"/>
        <v>-0.39225321814734493</v>
      </c>
      <c r="X64" s="37">
        <f t="array" aca="1" ref="X64:AB64" ca="1">MMULT(F64:INDEX(F64:P64,$G$16),TRANSPOSE($R$3:INDEX($R$3:$Y$7,$R$1,$G$16)))</f>
        <v>1</v>
      </c>
      <c r="Y64" s="37">
        <f ca="1"/>
        <v>1.4627023408537845</v>
      </c>
      <c r="Z64" s="37">
        <f ca="1"/>
        <v>-0.28629789988860022</v>
      </c>
      <c r="AA64" s="37">
        <f ca="1"/>
        <v>1.25476101253071</v>
      </c>
      <c r="AB64" s="37">
        <f ca="1"/>
        <v>-0.39225321814734493</v>
      </c>
      <c r="AD64">
        <f ca="1"/>
        <v>0</v>
      </c>
      <c r="AE64">
        <f ca="1"/>
        <v>0</v>
      </c>
      <c r="AF64">
        <f ca="1"/>
        <v>0</v>
      </c>
      <c r="AG64">
        <f ca="1"/>
        <v>0</v>
      </c>
      <c r="AH64">
        <f ca="1"/>
        <v>0</v>
      </c>
    </row>
    <row r="65" spans="1:34" x14ac:dyDescent="0.4">
      <c r="A65" s="37">
        <v>45</v>
      </c>
      <c r="B65" s="36">
        <v>-6.6000000000000156</v>
      </c>
      <c r="D65" s="37">
        <f t="shared" ca="1" si="2"/>
        <v>-6.6000000000000156</v>
      </c>
      <c r="E65" s="37">
        <f t="shared" ca="1" si="3"/>
        <v>-6.6000000000000156</v>
      </c>
      <c r="F65">
        <f ca="1"/>
        <v>0</v>
      </c>
      <c r="G65">
        <f ca="1"/>
        <v>0.60000000000000253</v>
      </c>
      <c r="H65">
        <f ca="1"/>
        <v>0.39999999999999741</v>
      </c>
      <c r="I65">
        <f ca="1"/>
        <v>0</v>
      </c>
      <c r="J65">
        <f ca="1"/>
        <v>0</v>
      </c>
      <c r="K65">
        <f ca="1"/>
        <v>0</v>
      </c>
      <c r="L65">
        <f ca="1"/>
        <v>0</v>
      </c>
      <c r="R65">
        <f ca="1"/>
        <v>1</v>
      </c>
      <c r="S65">
        <f ca="1"/>
        <v>1.4652788639993057</v>
      </c>
      <c r="T65">
        <f ca="1"/>
        <v>-0.27312522796942668</v>
      </c>
      <c r="U65">
        <f ca="1"/>
        <v>1.2283771215432375</v>
      </c>
      <c r="V65">
        <f ca="1"/>
        <v>-0.42565590064829428</v>
      </c>
      <c r="X65" s="37">
        <f t="array" aca="1" ref="X65:AB65" ca="1">MMULT(F65:INDEX(F65:P65,$G$16),TRANSPOSE($R$3:INDEX($R$3:$Y$7,$R$1,$G$16)))</f>
        <v>1</v>
      </c>
      <c r="Y65" s="37">
        <f ca="1"/>
        <v>1.4652788639993057</v>
      </c>
      <c r="Z65" s="37">
        <f ca="1"/>
        <v>-0.27312522796942668</v>
      </c>
      <c r="AA65" s="37">
        <f ca="1"/>
        <v>1.2283771215432375</v>
      </c>
      <c r="AB65" s="37">
        <f ca="1"/>
        <v>-0.42565590064829428</v>
      </c>
      <c r="AD65">
        <f ca="1"/>
        <v>0</v>
      </c>
      <c r="AE65">
        <f ca="1"/>
        <v>0</v>
      </c>
      <c r="AF65">
        <f ca="1"/>
        <v>0</v>
      </c>
      <c r="AG65">
        <f ca="1"/>
        <v>0</v>
      </c>
      <c r="AH65">
        <f ca="1"/>
        <v>0</v>
      </c>
    </row>
    <row r="66" spans="1:34" x14ac:dyDescent="0.4">
      <c r="A66" s="37">
        <v>46</v>
      </c>
      <c r="B66" s="36">
        <v>-6.500000000000016</v>
      </c>
      <c r="D66" s="37">
        <f t="shared" ca="1" si="2"/>
        <v>-6.500000000000016</v>
      </c>
      <c r="E66" s="37">
        <f t="shared" ca="1" si="3"/>
        <v>-6.500000000000016</v>
      </c>
      <c r="F66">
        <f ca="1"/>
        <v>0</v>
      </c>
      <c r="G66">
        <f ca="1"/>
        <v>0.58333333333333592</v>
      </c>
      <c r="H66">
        <f ca="1"/>
        <v>0.41666666666666402</v>
      </c>
      <c r="I66">
        <f ca="1"/>
        <v>0</v>
      </c>
      <c r="J66">
        <f ca="1"/>
        <v>0</v>
      </c>
      <c r="K66">
        <f ca="1"/>
        <v>0</v>
      </c>
      <c r="L66">
        <f ca="1"/>
        <v>0</v>
      </c>
      <c r="R66">
        <f ca="1"/>
        <v>1</v>
      </c>
      <c r="S66">
        <f ca="1"/>
        <v>1.467855387144827</v>
      </c>
      <c r="T66">
        <f ca="1"/>
        <v>-0.25995255605025314</v>
      </c>
      <c r="U66">
        <f ca="1"/>
        <v>1.201993230555765</v>
      </c>
      <c r="V66">
        <f ca="1"/>
        <v>-0.45905858314924358</v>
      </c>
      <c r="X66" s="37">
        <f t="array" aca="1" ref="X66:AB66" ca="1">MMULT(F66:INDEX(F66:P66,$G$16),TRANSPOSE($R$3:INDEX($R$3:$Y$7,$R$1,$G$16)))</f>
        <v>1</v>
      </c>
      <c r="Y66" s="37">
        <f ca="1"/>
        <v>1.467855387144827</v>
      </c>
      <c r="Z66" s="37">
        <f ca="1"/>
        <v>-0.25995255605025314</v>
      </c>
      <c r="AA66" s="37">
        <f ca="1"/>
        <v>1.201993230555765</v>
      </c>
      <c r="AB66" s="37">
        <f ca="1"/>
        <v>-0.45905858314924358</v>
      </c>
      <c r="AD66">
        <f ca="1"/>
        <v>0</v>
      </c>
      <c r="AE66">
        <f ca="1"/>
        <v>0</v>
      </c>
      <c r="AF66">
        <f ca="1"/>
        <v>0</v>
      </c>
      <c r="AG66">
        <f ca="1"/>
        <v>0</v>
      </c>
      <c r="AH66">
        <f ca="1"/>
        <v>0</v>
      </c>
    </row>
    <row r="67" spans="1:34" x14ac:dyDescent="0.4">
      <c r="A67" s="37">
        <v>47</v>
      </c>
      <c r="B67" s="36">
        <v>-6.4000000000000163</v>
      </c>
      <c r="D67" s="37">
        <f t="shared" ca="1" si="2"/>
        <v>-6.4000000000000163</v>
      </c>
      <c r="E67" s="37">
        <f t="shared" ca="1" si="3"/>
        <v>-6.4000000000000163</v>
      </c>
      <c r="F67">
        <f ca="1"/>
        <v>0</v>
      </c>
      <c r="G67">
        <f ca="1"/>
        <v>0.56666666666666932</v>
      </c>
      <c r="H67">
        <f ca="1"/>
        <v>0.43333333333333063</v>
      </c>
      <c r="I67">
        <f ca="1"/>
        <v>0</v>
      </c>
      <c r="J67">
        <f ca="1"/>
        <v>0</v>
      </c>
      <c r="K67">
        <f ca="1"/>
        <v>0</v>
      </c>
      <c r="L67">
        <f ca="1"/>
        <v>0</v>
      </c>
      <c r="R67">
        <f ca="1"/>
        <v>1</v>
      </c>
      <c r="S67">
        <f ca="1"/>
        <v>1.470431910290348</v>
      </c>
      <c r="T67">
        <f ca="1"/>
        <v>-0.2467798841310796</v>
      </c>
      <c r="U67">
        <f ca="1"/>
        <v>1.1756093395682925</v>
      </c>
      <c r="V67">
        <f ca="1"/>
        <v>-0.49246126565019305</v>
      </c>
      <c r="X67" s="37">
        <f t="array" aca="1" ref="X67:AB67" ca="1">MMULT(F67:INDEX(F67:P67,$G$16),TRANSPOSE($R$3:INDEX($R$3:$Y$7,$R$1,$G$16)))</f>
        <v>1</v>
      </c>
      <c r="Y67" s="37">
        <f ca="1"/>
        <v>1.470431910290348</v>
      </c>
      <c r="Z67" s="37">
        <f ca="1"/>
        <v>-0.2467798841310796</v>
      </c>
      <c r="AA67" s="37">
        <f ca="1"/>
        <v>1.1756093395682925</v>
      </c>
      <c r="AB67" s="37">
        <f ca="1"/>
        <v>-0.49246126565019305</v>
      </c>
      <c r="AD67">
        <f ca="1"/>
        <v>0</v>
      </c>
      <c r="AE67">
        <f ca="1"/>
        <v>0</v>
      </c>
      <c r="AF67">
        <f ca="1"/>
        <v>0</v>
      </c>
      <c r="AG67">
        <f ca="1"/>
        <v>0</v>
      </c>
      <c r="AH67">
        <f ca="1"/>
        <v>0</v>
      </c>
    </row>
    <row r="68" spans="1:34" x14ac:dyDescent="0.4">
      <c r="A68" s="37">
        <v>48</v>
      </c>
      <c r="B68" s="36">
        <v>-6.3000000000000167</v>
      </c>
      <c r="D68" s="37">
        <f t="shared" ca="1" si="2"/>
        <v>-6.3000000000000167</v>
      </c>
      <c r="E68" s="37">
        <f t="shared" ca="1" si="3"/>
        <v>-6.3000000000000167</v>
      </c>
      <c r="F68">
        <f ca="1"/>
        <v>0</v>
      </c>
      <c r="G68">
        <f ca="1"/>
        <v>0.55000000000000271</v>
      </c>
      <c r="H68">
        <f ca="1"/>
        <v>0.44999999999999724</v>
      </c>
      <c r="I68">
        <f ca="1"/>
        <v>0</v>
      </c>
      <c r="J68">
        <f ca="1"/>
        <v>0</v>
      </c>
      <c r="K68">
        <f ca="1"/>
        <v>0</v>
      </c>
      <c r="L68">
        <f ca="1"/>
        <v>0</v>
      </c>
      <c r="R68">
        <f ca="1"/>
        <v>1</v>
      </c>
      <c r="S68">
        <f ca="1"/>
        <v>1.4730084334358693</v>
      </c>
      <c r="T68">
        <f ca="1"/>
        <v>-0.23360721221190606</v>
      </c>
      <c r="U68">
        <f ca="1"/>
        <v>1.1492254485808198</v>
      </c>
      <c r="V68">
        <f ca="1"/>
        <v>-0.52586394815114246</v>
      </c>
      <c r="X68" s="37">
        <f t="array" aca="1" ref="X68:AB68" ca="1">MMULT(F68:INDEX(F68:P68,$G$16),TRANSPOSE($R$3:INDEX($R$3:$Y$7,$R$1,$G$16)))</f>
        <v>1</v>
      </c>
      <c r="Y68" s="37">
        <f ca="1"/>
        <v>1.4730084334358693</v>
      </c>
      <c r="Z68" s="37">
        <f ca="1"/>
        <v>-0.23360721221190606</v>
      </c>
      <c r="AA68" s="37">
        <f ca="1"/>
        <v>1.1492254485808198</v>
      </c>
      <c r="AB68" s="37">
        <f ca="1"/>
        <v>-0.52586394815114246</v>
      </c>
      <c r="AD68">
        <f ca="1"/>
        <v>0</v>
      </c>
      <c r="AE68">
        <f ca="1"/>
        <v>0</v>
      </c>
      <c r="AF68">
        <f ca="1"/>
        <v>0</v>
      </c>
      <c r="AG68">
        <f ca="1"/>
        <v>0</v>
      </c>
      <c r="AH68">
        <f ca="1"/>
        <v>0</v>
      </c>
    </row>
    <row r="69" spans="1:34" x14ac:dyDescent="0.4">
      <c r="A69" s="37">
        <v>49</v>
      </c>
      <c r="B69" s="36">
        <v>-6.2000000000000171</v>
      </c>
      <c r="D69" s="37">
        <f t="shared" ca="1" si="2"/>
        <v>-6.2000000000000171</v>
      </c>
      <c r="E69" s="37">
        <f t="shared" ca="1" si="3"/>
        <v>-6.2000000000000171</v>
      </c>
      <c r="F69">
        <f ca="1"/>
        <v>0</v>
      </c>
      <c r="G69">
        <f ca="1"/>
        <v>0.5333333333333361</v>
      </c>
      <c r="H69">
        <f ca="1"/>
        <v>0.46666666666666384</v>
      </c>
      <c r="I69">
        <f ca="1"/>
        <v>0</v>
      </c>
      <c r="J69">
        <f ca="1"/>
        <v>0</v>
      </c>
      <c r="K69">
        <f ca="1"/>
        <v>0</v>
      </c>
      <c r="L69">
        <f ca="1"/>
        <v>0</v>
      </c>
      <c r="R69">
        <f ca="1"/>
        <v>1</v>
      </c>
      <c r="S69">
        <f ca="1"/>
        <v>1.4755849565813905</v>
      </c>
      <c r="T69">
        <f ca="1"/>
        <v>-0.22043454029273252</v>
      </c>
      <c r="U69">
        <f ca="1"/>
        <v>1.1228415575933473</v>
      </c>
      <c r="V69">
        <f ca="1"/>
        <v>-0.5592666306520917</v>
      </c>
      <c r="X69" s="37">
        <f t="array" aca="1" ref="X69:AB69" ca="1">MMULT(F69:INDEX(F69:P69,$G$16),TRANSPOSE($R$3:INDEX($R$3:$Y$7,$R$1,$G$16)))</f>
        <v>1</v>
      </c>
      <c r="Y69" s="37">
        <f ca="1"/>
        <v>1.4755849565813905</v>
      </c>
      <c r="Z69" s="37">
        <f ca="1"/>
        <v>-0.22043454029273252</v>
      </c>
      <c r="AA69" s="37">
        <f ca="1"/>
        <v>1.1228415575933473</v>
      </c>
      <c r="AB69" s="37">
        <f ca="1"/>
        <v>-0.5592666306520917</v>
      </c>
      <c r="AD69">
        <f ca="1"/>
        <v>0</v>
      </c>
      <c r="AE69">
        <f ca="1"/>
        <v>0</v>
      </c>
      <c r="AF69">
        <f ca="1"/>
        <v>0</v>
      </c>
      <c r="AG69">
        <f ca="1"/>
        <v>0</v>
      </c>
      <c r="AH69">
        <f ca="1"/>
        <v>0</v>
      </c>
    </row>
    <row r="70" spans="1:34" x14ac:dyDescent="0.4">
      <c r="A70" s="37">
        <v>50</v>
      </c>
      <c r="B70" s="36">
        <v>-6.1000000000000174</v>
      </c>
      <c r="D70" s="37">
        <f t="shared" ca="1" si="2"/>
        <v>-6.1000000000000174</v>
      </c>
      <c r="E70" s="37">
        <f t="shared" ca="1" si="3"/>
        <v>-6.1000000000000174</v>
      </c>
      <c r="F70">
        <f ca="1"/>
        <v>0</v>
      </c>
      <c r="G70">
        <f ca="1"/>
        <v>0.51666666666666949</v>
      </c>
      <c r="H70">
        <f ca="1"/>
        <v>0.48333333333333045</v>
      </c>
      <c r="I70">
        <f ca="1"/>
        <v>0</v>
      </c>
      <c r="J70">
        <f ca="1"/>
        <v>0</v>
      </c>
      <c r="K70">
        <f ca="1"/>
        <v>0</v>
      </c>
      <c r="L70">
        <f ca="1"/>
        <v>0</v>
      </c>
      <c r="R70">
        <f ca="1"/>
        <v>1</v>
      </c>
      <c r="S70">
        <f ca="1"/>
        <v>1.4781614797269116</v>
      </c>
      <c r="T70">
        <f ca="1"/>
        <v>-0.20726186837355903</v>
      </c>
      <c r="U70">
        <f ca="1"/>
        <v>1.0964576666058747</v>
      </c>
      <c r="V70">
        <f ca="1"/>
        <v>-0.59266931315304117</v>
      </c>
      <c r="X70" s="37">
        <f t="array" aca="1" ref="X70:AB70" ca="1">MMULT(F70:INDEX(F70:P70,$G$16),TRANSPOSE($R$3:INDEX($R$3:$Y$7,$R$1,$G$16)))</f>
        <v>1</v>
      </c>
      <c r="Y70" s="37">
        <f ca="1"/>
        <v>1.4781614797269116</v>
      </c>
      <c r="Z70" s="37">
        <f ca="1"/>
        <v>-0.20726186837355903</v>
      </c>
      <c r="AA70" s="37">
        <f ca="1"/>
        <v>1.0964576666058747</v>
      </c>
      <c r="AB70" s="37">
        <f ca="1"/>
        <v>-0.59266931315304117</v>
      </c>
      <c r="AD70">
        <f ca="1"/>
        <v>0</v>
      </c>
      <c r="AE70">
        <f ca="1"/>
        <v>0</v>
      </c>
      <c r="AF70">
        <f ca="1"/>
        <v>0</v>
      </c>
      <c r="AG70">
        <f ca="1"/>
        <v>0</v>
      </c>
      <c r="AH70">
        <f ca="1"/>
        <v>0</v>
      </c>
    </row>
    <row r="71" spans="1:34" x14ac:dyDescent="0.4">
      <c r="A71" s="37">
        <v>51</v>
      </c>
      <c r="B71" s="36">
        <v>-6.0000000000000178</v>
      </c>
      <c r="D71" s="37">
        <f t="shared" ca="1" si="2"/>
        <v>-6.0000000000000178</v>
      </c>
      <c r="E71" s="37">
        <f t="shared" ca="1" si="3"/>
        <v>-6.0000000000000178</v>
      </c>
      <c r="F71">
        <f ca="1"/>
        <v>0</v>
      </c>
      <c r="G71">
        <f ca="1"/>
        <v>0.50000000000000289</v>
      </c>
      <c r="H71">
        <f ca="1"/>
        <v>0.49999999999999706</v>
      </c>
      <c r="I71">
        <f ca="1"/>
        <v>0</v>
      </c>
      <c r="J71">
        <f ca="1"/>
        <v>0</v>
      </c>
      <c r="K71">
        <f ca="1"/>
        <v>0</v>
      </c>
      <c r="L71">
        <f ca="1"/>
        <v>0</v>
      </c>
      <c r="R71">
        <f ca="1"/>
        <v>1</v>
      </c>
      <c r="S71">
        <f ca="1"/>
        <v>1.4807380028724326</v>
      </c>
      <c r="T71">
        <f ca="1"/>
        <v>-0.19408919645438549</v>
      </c>
      <c r="U71">
        <f ca="1"/>
        <v>1.070073775618402</v>
      </c>
      <c r="V71">
        <f ca="1"/>
        <v>-0.62607199565399052</v>
      </c>
      <c r="X71" s="37">
        <f t="array" aca="1" ref="X71:AB71" ca="1">MMULT(F71:INDEX(F71:P71,$G$16),TRANSPOSE($R$3:INDEX($R$3:$Y$7,$R$1,$G$16)))</f>
        <v>1</v>
      </c>
      <c r="Y71" s="37">
        <f ca="1"/>
        <v>1.4807380028724326</v>
      </c>
      <c r="Z71" s="37">
        <f ca="1"/>
        <v>-0.19408919645438549</v>
      </c>
      <c r="AA71" s="37">
        <f ca="1"/>
        <v>1.070073775618402</v>
      </c>
      <c r="AB71" s="37">
        <f ca="1"/>
        <v>-0.62607199565399052</v>
      </c>
      <c r="AD71">
        <f ca="1"/>
        <v>0</v>
      </c>
      <c r="AE71">
        <f ca="1"/>
        <v>0</v>
      </c>
      <c r="AF71">
        <f ca="1"/>
        <v>0</v>
      </c>
      <c r="AG71">
        <f ca="1"/>
        <v>0</v>
      </c>
      <c r="AH71">
        <f ca="1"/>
        <v>0</v>
      </c>
    </row>
    <row r="72" spans="1:34" x14ac:dyDescent="0.4">
      <c r="A72" s="37">
        <v>52</v>
      </c>
      <c r="B72" s="36">
        <v>-5.9000000000000181</v>
      </c>
      <c r="D72" s="37">
        <f t="shared" ca="1" si="2"/>
        <v>-5.9000000000000181</v>
      </c>
      <c r="E72" s="37">
        <f t="shared" ca="1" si="3"/>
        <v>-5.9000000000000181</v>
      </c>
      <c r="F72">
        <f ca="1"/>
        <v>0</v>
      </c>
      <c r="G72">
        <f ca="1"/>
        <v>0.48333333333333639</v>
      </c>
      <c r="H72">
        <f ca="1"/>
        <v>0.51666666666666361</v>
      </c>
      <c r="I72">
        <f ca="1"/>
        <v>0</v>
      </c>
      <c r="J72">
        <f ca="1"/>
        <v>0</v>
      </c>
      <c r="K72">
        <f ca="1"/>
        <v>0</v>
      </c>
      <c r="L72">
        <f ca="1"/>
        <v>0</v>
      </c>
      <c r="R72">
        <f ca="1"/>
        <v>1</v>
      </c>
      <c r="S72">
        <f ca="1"/>
        <v>1.4833145260179541</v>
      </c>
      <c r="T72">
        <f ca="1"/>
        <v>-0.18091652453521201</v>
      </c>
      <c r="U72">
        <f ca="1"/>
        <v>1.0436898846309297</v>
      </c>
      <c r="V72">
        <f ca="1"/>
        <v>-0.65947467815493976</v>
      </c>
      <c r="X72" s="37">
        <f t="array" aca="1" ref="X72:AB72" ca="1">MMULT(F72:INDEX(F72:P72,$G$16),TRANSPOSE($R$3:INDEX($R$3:$Y$7,$R$1,$G$16)))</f>
        <v>1</v>
      </c>
      <c r="Y72" s="37">
        <f ca="1"/>
        <v>1.4833145260179541</v>
      </c>
      <c r="Z72" s="37">
        <f ca="1"/>
        <v>-0.18091652453521201</v>
      </c>
      <c r="AA72" s="37">
        <f ca="1"/>
        <v>1.0436898846309297</v>
      </c>
      <c r="AB72" s="37">
        <f ca="1"/>
        <v>-0.65947467815493976</v>
      </c>
      <c r="AD72">
        <f ca="1"/>
        <v>0</v>
      </c>
      <c r="AE72">
        <f ca="1"/>
        <v>0</v>
      </c>
      <c r="AF72">
        <f ca="1"/>
        <v>0</v>
      </c>
      <c r="AG72">
        <f ca="1"/>
        <v>0</v>
      </c>
      <c r="AH72">
        <f ca="1"/>
        <v>0</v>
      </c>
    </row>
    <row r="73" spans="1:34" x14ac:dyDescent="0.4">
      <c r="A73" s="37">
        <v>53</v>
      </c>
      <c r="B73" s="36">
        <v>-5.8000000000000185</v>
      </c>
      <c r="D73" s="37">
        <f t="shared" ca="1" si="2"/>
        <v>-5.8000000000000185</v>
      </c>
      <c r="E73" s="37">
        <f t="shared" ca="1" si="3"/>
        <v>-5.8000000000000185</v>
      </c>
      <c r="F73">
        <f ca="1"/>
        <v>0</v>
      </c>
      <c r="G73">
        <f ca="1"/>
        <v>0.46666666666666978</v>
      </c>
      <c r="H73">
        <f ca="1"/>
        <v>0.53333333333333022</v>
      </c>
      <c r="I73">
        <f ca="1"/>
        <v>0</v>
      </c>
      <c r="J73">
        <f ca="1"/>
        <v>0</v>
      </c>
      <c r="K73">
        <f ca="1"/>
        <v>0</v>
      </c>
      <c r="L73">
        <f ca="1"/>
        <v>0</v>
      </c>
      <c r="R73">
        <f ca="1"/>
        <v>1</v>
      </c>
      <c r="S73">
        <f ca="1"/>
        <v>1.4858910491634751</v>
      </c>
      <c r="T73">
        <f ca="1"/>
        <v>-0.16774385261603844</v>
      </c>
      <c r="U73">
        <f ca="1"/>
        <v>1.0173059936434572</v>
      </c>
      <c r="V73">
        <f ca="1"/>
        <v>-0.69287736065588923</v>
      </c>
      <c r="X73" s="37">
        <f t="array" aca="1" ref="X73:AB73" ca="1">MMULT(F73:INDEX(F73:P73,$G$16),TRANSPOSE($R$3:INDEX($R$3:$Y$7,$R$1,$G$16)))</f>
        <v>1</v>
      </c>
      <c r="Y73" s="37">
        <f ca="1"/>
        <v>1.4858910491634751</v>
      </c>
      <c r="Z73" s="37">
        <f ca="1"/>
        <v>-0.16774385261603844</v>
      </c>
      <c r="AA73" s="37">
        <f ca="1"/>
        <v>1.0173059936434572</v>
      </c>
      <c r="AB73" s="37">
        <f ca="1"/>
        <v>-0.69287736065588923</v>
      </c>
      <c r="AD73">
        <f ca="1"/>
        <v>0</v>
      </c>
      <c r="AE73">
        <f ca="1"/>
        <v>0</v>
      </c>
      <c r="AF73">
        <f ca="1"/>
        <v>0</v>
      </c>
      <c r="AG73">
        <f ca="1"/>
        <v>0</v>
      </c>
      <c r="AH73">
        <f ca="1"/>
        <v>0</v>
      </c>
    </row>
    <row r="74" spans="1:34" x14ac:dyDescent="0.4">
      <c r="A74" s="37">
        <v>54</v>
      </c>
      <c r="B74" s="36">
        <v>-5.7000000000000188</v>
      </c>
      <c r="D74" s="37">
        <f t="shared" ca="1" si="2"/>
        <v>-5.7000000000000188</v>
      </c>
      <c r="E74" s="37">
        <f t="shared" ca="1" si="3"/>
        <v>-5.7000000000000188</v>
      </c>
      <c r="F74">
        <f ca="1"/>
        <v>0</v>
      </c>
      <c r="G74">
        <f ca="1"/>
        <v>0.45000000000000318</v>
      </c>
      <c r="H74">
        <f ca="1"/>
        <v>0.54999999999999682</v>
      </c>
      <c r="I74">
        <f ca="1"/>
        <v>0</v>
      </c>
      <c r="J74">
        <f ca="1"/>
        <v>0</v>
      </c>
      <c r="K74">
        <f ca="1"/>
        <v>0</v>
      </c>
      <c r="L74">
        <f ca="1"/>
        <v>0</v>
      </c>
      <c r="R74">
        <f ca="1"/>
        <v>1</v>
      </c>
      <c r="S74">
        <f ca="1"/>
        <v>1.4884675723089964</v>
      </c>
      <c r="T74">
        <f ca="1"/>
        <v>-0.1545711806968649</v>
      </c>
      <c r="U74">
        <f ca="1"/>
        <v>0.99092210265598468</v>
      </c>
      <c r="V74">
        <f ca="1"/>
        <v>-0.72628004315683858</v>
      </c>
      <c r="X74" s="37">
        <f t="array" aca="1" ref="X74:AB74" ca="1">MMULT(F74:INDEX(F74:P74,$G$16),TRANSPOSE($R$3:INDEX($R$3:$Y$7,$R$1,$G$16)))</f>
        <v>1</v>
      </c>
      <c r="Y74" s="37">
        <f ca="1"/>
        <v>1.4884675723089964</v>
      </c>
      <c r="Z74" s="37">
        <f ca="1"/>
        <v>-0.1545711806968649</v>
      </c>
      <c r="AA74" s="37">
        <f ca="1"/>
        <v>0.99092210265598468</v>
      </c>
      <c r="AB74" s="37">
        <f ca="1"/>
        <v>-0.72628004315683858</v>
      </c>
      <c r="AD74">
        <f ca="1"/>
        <v>0</v>
      </c>
      <c r="AE74">
        <f ca="1"/>
        <v>0</v>
      </c>
      <c r="AF74">
        <f ca="1"/>
        <v>0</v>
      </c>
      <c r="AG74">
        <f ca="1"/>
        <v>0</v>
      </c>
      <c r="AH74">
        <f ca="1"/>
        <v>0</v>
      </c>
    </row>
    <row r="75" spans="1:34" x14ac:dyDescent="0.4">
      <c r="A75" s="37">
        <v>55</v>
      </c>
      <c r="B75" s="36">
        <v>-5.6000000000000192</v>
      </c>
      <c r="D75" s="37">
        <f t="shared" ca="1" si="2"/>
        <v>-5.6000000000000192</v>
      </c>
      <c r="E75" s="37">
        <f t="shared" ca="1" si="3"/>
        <v>-5.6000000000000192</v>
      </c>
      <c r="F75">
        <f ca="1"/>
        <v>0</v>
      </c>
      <c r="G75">
        <f ca="1"/>
        <v>0.43333333333333657</v>
      </c>
      <c r="H75">
        <f ca="1"/>
        <v>0.56666666666666343</v>
      </c>
      <c r="I75">
        <f ca="1"/>
        <v>0</v>
      </c>
      <c r="J75">
        <f ca="1"/>
        <v>0</v>
      </c>
      <c r="K75">
        <f ca="1"/>
        <v>0</v>
      </c>
      <c r="L75">
        <f ca="1"/>
        <v>0</v>
      </c>
      <c r="R75">
        <f ca="1"/>
        <v>1</v>
      </c>
      <c r="S75">
        <f ca="1"/>
        <v>1.4910440954545177</v>
      </c>
      <c r="T75">
        <f ca="1"/>
        <v>-0.14139850877769136</v>
      </c>
      <c r="U75">
        <f ca="1"/>
        <v>0.96453821166851206</v>
      </c>
      <c r="V75">
        <f ca="1"/>
        <v>-0.75968272565778783</v>
      </c>
      <c r="X75" s="37">
        <f t="array" aca="1" ref="X75:AB75" ca="1">MMULT(F75:INDEX(F75:P75,$G$16),TRANSPOSE($R$3:INDEX($R$3:$Y$7,$R$1,$G$16)))</f>
        <v>1</v>
      </c>
      <c r="Y75" s="37">
        <f ca="1"/>
        <v>1.4910440954545177</v>
      </c>
      <c r="Z75" s="37">
        <f ca="1"/>
        <v>-0.14139850877769136</v>
      </c>
      <c r="AA75" s="37">
        <f ca="1"/>
        <v>0.96453821166851206</v>
      </c>
      <c r="AB75" s="37">
        <f ca="1"/>
        <v>-0.75968272565778783</v>
      </c>
      <c r="AD75">
        <f ca="1"/>
        <v>0</v>
      </c>
      <c r="AE75">
        <f ca="1"/>
        <v>0</v>
      </c>
      <c r="AF75">
        <f ca="1"/>
        <v>0</v>
      </c>
      <c r="AG75">
        <f ca="1"/>
        <v>0</v>
      </c>
      <c r="AH75">
        <f ca="1"/>
        <v>0</v>
      </c>
    </row>
    <row r="76" spans="1:34" x14ac:dyDescent="0.4">
      <c r="A76" s="37">
        <v>56</v>
      </c>
      <c r="B76" s="36">
        <v>-5.5000000000000195</v>
      </c>
      <c r="D76" s="37">
        <f t="shared" ca="1" si="2"/>
        <v>-5.5000000000000195</v>
      </c>
      <c r="E76" s="37">
        <f t="shared" ca="1" si="3"/>
        <v>-5.5000000000000195</v>
      </c>
      <c r="F76">
        <f ca="1"/>
        <v>0</v>
      </c>
      <c r="G76">
        <f ca="1"/>
        <v>0.41666666666666996</v>
      </c>
      <c r="H76">
        <f ca="1"/>
        <v>0.58333333333333004</v>
      </c>
      <c r="I76">
        <f ca="1"/>
        <v>0</v>
      </c>
      <c r="J76">
        <f ca="1"/>
        <v>0</v>
      </c>
      <c r="K76">
        <f ca="1"/>
        <v>0</v>
      </c>
      <c r="L76">
        <f ca="1"/>
        <v>0</v>
      </c>
      <c r="R76">
        <f ca="1"/>
        <v>1</v>
      </c>
      <c r="S76">
        <f ca="1"/>
        <v>1.4936206186000387</v>
      </c>
      <c r="T76">
        <f ca="1"/>
        <v>-0.12822583685851785</v>
      </c>
      <c r="U76">
        <f ca="1"/>
        <v>0.93815432068103943</v>
      </c>
      <c r="V76">
        <f ca="1"/>
        <v>-0.79308540815873729</v>
      </c>
      <c r="X76" s="37">
        <f t="array" aca="1" ref="X76:AB76" ca="1">MMULT(F76:INDEX(F76:P76,$G$16),TRANSPOSE($R$3:INDEX($R$3:$Y$7,$R$1,$G$16)))</f>
        <v>1</v>
      </c>
      <c r="Y76" s="37">
        <f ca="1"/>
        <v>1.4936206186000387</v>
      </c>
      <c r="Z76" s="37">
        <f ca="1"/>
        <v>-0.12822583685851785</v>
      </c>
      <c r="AA76" s="37">
        <f ca="1"/>
        <v>0.93815432068103943</v>
      </c>
      <c r="AB76" s="37">
        <f ca="1"/>
        <v>-0.79308540815873729</v>
      </c>
      <c r="AD76">
        <f ca="1"/>
        <v>0</v>
      </c>
      <c r="AE76">
        <f ca="1"/>
        <v>0</v>
      </c>
      <c r="AF76">
        <f ca="1"/>
        <v>0</v>
      </c>
      <c r="AG76">
        <f ca="1"/>
        <v>0</v>
      </c>
      <c r="AH76">
        <f ca="1"/>
        <v>0</v>
      </c>
    </row>
    <row r="77" spans="1:34" x14ac:dyDescent="0.4">
      <c r="A77" s="37">
        <v>57</v>
      </c>
      <c r="B77" s="36">
        <v>-5.4000000000000199</v>
      </c>
      <c r="C77">
        <v>1</v>
      </c>
      <c r="D77" s="37">
        <f t="shared" ca="1" si="2"/>
        <v>-5.4000000000000199</v>
      </c>
      <c r="E77" s="37" t="e">
        <f t="shared" si="3"/>
        <v>#N/A</v>
      </c>
      <c r="F77">
        <f ca="1"/>
        <v>1</v>
      </c>
      <c r="G77">
        <f ca="1"/>
        <v>0</v>
      </c>
      <c r="H77">
        <f ca="1"/>
        <v>0</v>
      </c>
      <c r="I77">
        <f ca="1"/>
        <v>0</v>
      </c>
      <c r="J77">
        <f ca="1"/>
        <v>0</v>
      </c>
      <c r="K77">
        <f ca="1"/>
        <v>0</v>
      </c>
      <c r="L77">
        <f ca="1"/>
        <v>0</v>
      </c>
      <c r="R77">
        <f ca="1"/>
        <v>1</v>
      </c>
      <c r="S77">
        <f ca="1"/>
        <v>1.9187624212949141</v>
      </c>
      <c r="T77">
        <f ca="1"/>
        <v>-1.690452959566124</v>
      </c>
      <c r="U77">
        <f ca="1"/>
        <v>-1.5661622548268799</v>
      </c>
      <c r="V77">
        <f ca="1"/>
        <v>-0.12137743319983585</v>
      </c>
      <c r="X77" s="37">
        <f t="array" aca="1" ref="X77:AB77" ca="1">MMULT(F77:INDEX(F77:P77,$G$16),TRANSPOSE($R$3:INDEX($R$3:$Y$7,$R$1,$G$16)))</f>
        <v>1</v>
      </c>
      <c r="Y77" s="37">
        <f ca="1"/>
        <v>1.9187624212949141</v>
      </c>
      <c r="Z77" s="37">
        <f ca="1"/>
        <v>-1.690452959566124</v>
      </c>
      <c r="AA77" s="37">
        <f ca="1"/>
        <v>-1.5661622548268799</v>
      </c>
      <c r="AB77" s="37">
        <f ca="1"/>
        <v>-0.12137743319983585</v>
      </c>
      <c r="AD77">
        <f ca="1"/>
        <v>0</v>
      </c>
      <c r="AE77">
        <f ca="1"/>
        <v>0</v>
      </c>
      <c r="AF77">
        <f ca="1"/>
        <v>0</v>
      </c>
      <c r="AG77">
        <f ca="1"/>
        <v>0</v>
      </c>
      <c r="AH77">
        <f ca="1"/>
        <v>0</v>
      </c>
    </row>
    <row r="78" spans="1:34" x14ac:dyDescent="0.4">
      <c r="A78" s="37">
        <v>58</v>
      </c>
      <c r="B78" s="36">
        <v>-5.3000000000000203</v>
      </c>
      <c r="D78" s="37">
        <f t="shared" ca="1" si="2"/>
        <v>-5.3000000000000203</v>
      </c>
      <c r="E78" s="37">
        <f t="shared" ca="1" si="3"/>
        <v>-5.3000000000000203</v>
      </c>
      <c r="F78">
        <f ca="1"/>
        <v>0</v>
      </c>
      <c r="G78">
        <f ca="1"/>
        <v>0.38333333333333675</v>
      </c>
      <c r="H78">
        <f ca="1"/>
        <v>0.61666666666666325</v>
      </c>
      <c r="I78">
        <f ca="1"/>
        <v>0</v>
      </c>
      <c r="J78">
        <f ca="1"/>
        <v>0</v>
      </c>
      <c r="K78">
        <f ca="1"/>
        <v>0</v>
      </c>
      <c r="L78">
        <f ca="1"/>
        <v>0</v>
      </c>
      <c r="R78">
        <f ca="1"/>
        <v>1</v>
      </c>
      <c r="S78">
        <f ca="1"/>
        <v>1.4987736648910812</v>
      </c>
      <c r="T78">
        <f ca="1"/>
        <v>-0.10188049302017074</v>
      </c>
      <c r="U78">
        <f ca="1"/>
        <v>0.88538653870609441</v>
      </c>
      <c r="V78">
        <f ca="1"/>
        <v>-0.859890773160636</v>
      </c>
      <c r="X78" s="37">
        <f t="array" aca="1" ref="X78:AB78" ca="1">MMULT(F78:INDEX(F78:P78,$G$16),TRANSPOSE($R$3:INDEX($R$3:$Y$7,$R$1,$G$16)))</f>
        <v>1</v>
      </c>
      <c r="Y78" s="37">
        <f ca="1"/>
        <v>1.4987736648910812</v>
      </c>
      <c r="Z78" s="37">
        <f ca="1"/>
        <v>-0.10188049302017074</v>
      </c>
      <c r="AA78" s="37">
        <f ca="1"/>
        <v>0.88538653870609441</v>
      </c>
      <c r="AB78" s="37">
        <f ca="1"/>
        <v>-0.859890773160636</v>
      </c>
      <c r="AD78">
        <f ca="1"/>
        <v>0</v>
      </c>
      <c r="AE78">
        <f ca="1"/>
        <v>0</v>
      </c>
      <c r="AF78">
        <f ca="1"/>
        <v>0</v>
      </c>
      <c r="AG78">
        <f ca="1"/>
        <v>0</v>
      </c>
      <c r="AH78">
        <f ca="1"/>
        <v>0</v>
      </c>
    </row>
    <row r="79" spans="1:34" x14ac:dyDescent="0.4">
      <c r="A79" s="37">
        <v>59</v>
      </c>
      <c r="B79" s="36">
        <v>-5.2000000000000206</v>
      </c>
      <c r="D79" s="37">
        <f t="shared" ca="1" si="2"/>
        <v>-5.2000000000000206</v>
      </c>
      <c r="E79" s="37">
        <f t="shared" ca="1" si="3"/>
        <v>-5.2000000000000206</v>
      </c>
      <c r="F79">
        <f ca="1"/>
        <v>0</v>
      </c>
      <c r="G79">
        <f ca="1"/>
        <v>0.36666666666667014</v>
      </c>
      <c r="H79">
        <f ca="1"/>
        <v>0.63333333333332986</v>
      </c>
      <c r="I79">
        <f ca="1"/>
        <v>0</v>
      </c>
      <c r="J79">
        <f ca="1"/>
        <v>0</v>
      </c>
      <c r="K79">
        <f ca="1"/>
        <v>0</v>
      </c>
      <c r="L79">
        <f ca="1"/>
        <v>0</v>
      </c>
      <c r="R79">
        <f ca="1"/>
        <v>1</v>
      </c>
      <c r="S79">
        <f ca="1"/>
        <v>1.5013501880366023</v>
      </c>
      <c r="T79">
        <f ca="1"/>
        <v>-8.8707821100997203E-2</v>
      </c>
      <c r="U79">
        <f ca="1"/>
        <v>0.85900264771862189</v>
      </c>
      <c r="V79">
        <f ca="1"/>
        <v>-0.89329345566158536</v>
      </c>
      <c r="X79" s="37">
        <f t="array" aca="1" ref="X79:AB79" ca="1">MMULT(F79:INDEX(F79:P79,$G$16),TRANSPOSE($R$3:INDEX($R$3:$Y$7,$R$1,$G$16)))</f>
        <v>1</v>
      </c>
      <c r="Y79" s="37">
        <f ca="1"/>
        <v>1.5013501880366023</v>
      </c>
      <c r="Z79" s="37">
        <f ca="1"/>
        <v>-8.8707821100997203E-2</v>
      </c>
      <c r="AA79" s="37">
        <f ca="1"/>
        <v>0.85900264771862189</v>
      </c>
      <c r="AB79" s="37">
        <f ca="1"/>
        <v>-0.89329345566158536</v>
      </c>
      <c r="AD79">
        <f ca="1"/>
        <v>0</v>
      </c>
      <c r="AE79">
        <f ca="1"/>
        <v>0</v>
      </c>
      <c r="AF79">
        <f ca="1"/>
        <v>0</v>
      </c>
      <c r="AG79">
        <f ca="1"/>
        <v>0</v>
      </c>
      <c r="AH79">
        <f ca="1"/>
        <v>0</v>
      </c>
    </row>
    <row r="80" spans="1:34" x14ac:dyDescent="0.4">
      <c r="A80" s="37">
        <v>60</v>
      </c>
      <c r="B80" s="36">
        <v>-5.100000000000021</v>
      </c>
      <c r="D80" s="37">
        <f t="shared" ca="1" si="2"/>
        <v>-5.100000000000021</v>
      </c>
      <c r="E80" s="37">
        <f t="shared" ca="1" si="3"/>
        <v>-5.100000000000021</v>
      </c>
      <c r="F80">
        <f ca="1"/>
        <v>0</v>
      </c>
      <c r="G80">
        <f ca="1"/>
        <v>0.35000000000000353</v>
      </c>
      <c r="H80">
        <f ca="1"/>
        <v>0.64999999999999647</v>
      </c>
      <c r="I80">
        <f ca="1"/>
        <v>0</v>
      </c>
      <c r="J80">
        <f ca="1"/>
        <v>0</v>
      </c>
      <c r="K80">
        <f ca="1"/>
        <v>0</v>
      </c>
      <c r="L80">
        <f ca="1"/>
        <v>0</v>
      </c>
      <c r="R80">
        <f ca="1"/>
        <v>1</v>
      </c>
      <c r="S80">
        <f ca="1"/>
        <v>1.5039267111821235</v>
      </c>
      <c r="T80">
        <f ca="1"/>
        <v>-7.5535149181823663E-2</v>
      </c>
      <c r="U80">
        <f ca="1"/>
        <v>0.83261875673114927</v>
      </c>
      <c r="V80">
        <f ca="1"/>
        <v>-0.92669613816253493</v>
      </c>
      <c r="X80" s="37">
        <f t="array" aca="1" ref="X80:AB80" ca="1">MMULT(F80:INDEX(F80:P80,$G$16),TRANSPOSE($R$3:INDEX($R$3:$Y$7,$R$1,$G$16)))</f>
        <v>1</v>
      </c>
      <c r="Y80" s="37">
        <f ca="1"/>
        <v>1.5039267111821235</v>
      </c>
      <c r="Z80" s="37">
        <f ca="1"/>
        <v>-7.5535149181823663E-2</v>
      </c>
      <c r="AA80" s="37">
        <f ca="1"/>
        <v>0.83261875673114927</v>
      </c>
      <c r="AB80" s="37">
        <f ca="1"/>
        <v>-0.92669613816253493</v>
      </c>
      <c r="AD80">
        <f ca="1"/>
        <v>0</v>
      </c>
      <c r="AE80">
        <f ca="1"/>
        <v>0</v>
      </c>
      <c r="AF80">
        <f ca="1"/>
        <v>0</v>
      </c>
      <c r="AG80">
        <f ca="1"/>
        <v>0</v>
      </c>
      <c r="AH80">
        <f ca="1"/>
        <v>0</v>
      </c>
    </row>
    <row r="81" spans="1:34" x14ac:dyDescent="0.4">
      <c r="A81" s="37">
        <v>61</v>
      </c>
      <c r="B81" s="36">
        <v>-5.0000000000000213</v>
      </c>
      <c r="D81" s="37">
        <f t="shared" ca="1" si="2"/>
        <v>-5.0000000000000213</v>
      </c>
      <c r="E81" s="37">
        <f t="shared" ca="1" si="3"/>
        <v>-5.0000000000000213</v>
      </c>
      <c r="F81">
        <f ca="1"/>
        <v>0</v>
      </c>
      <c r="G81">
        <f ca="1"/>
        <v>0.33333333333333692</v>
      </c>
      <c r="H81">
        <f ca="1"/>
        <v>0.66666666666666308</v>
      </c>
      <c r="I81">
        <f ca="1"/>
        <v>0</v>
      </c>
      <c r="J81">
        <f ca="1"/>
        <v>0</v>
      </c>
      <c r="K81">
        <f ca="1"/>
        <v>0</v>
      </c>
      <c r="L81">
        <f ca="1"/>
        <v>0</v>
      </c>
      <c r="R81">
        <f ca="1"/>
        <v>1</v>
      </c>
      <c r="S81">
        <f ca="1"/>
        <v>1.5065032343276445</v>
      </c>
      <c r="T81">
        <f ca="1"/>
        <v>-6.2362477262650123E-2</v>
      </c>
      <c r="U81">
        <f ca="1"/>
        <v>0.80623486574367664</v>
      </c>
      <c r="V81">
        <f ca="1"/>
        <v>-0.96009882066348429</v>
      </c>
      <c r="X81" s="37">
        <f t="array" aca="1" ref="X81:AB81" ca="1">MMULT(F81:INDEX(F81:P81,$G$16),TRANSPOSE($R$3:INDEX($R$3:$Y$7,$R$1,$G$16)))</f>
        <v>1</v>
      </c>
      <c r="Y81" s="37">
        <f ca="1"/>
        <v>1.5065032343276445</v>
      </c>
      <c r="Z81" s="37">
        <f ca="1"/>
        <v>-6.2362477262650123E-2</v>
      </c>
      <c r="AA81" s="37">
        <f ca="1"/>
        <v>0.80623486574367664</v>
      </c>
      <c r="AB81" s="37">
        <f ca="1"/>
        <v>-0.96009882066348429</v>
      </c>
      <c r="AD81">
        <f ca="1"/>
        <v>0</v>
      </c>
      <c r="AE81">
        <f ca="1"/>
        <v>0</v>
      </c>
      <c r="AF81">
        <f ca="1"/>
        <v>0</v>
      </c>
      <c r="AG81">
        <f ca="1"/>
        <v>0</v>
      </c>
      <c r="AH81">
        <f ca="1"/>
        <v>0</v>
      </c>
    </row>
    <row r="82" spans="1:34" x14ac:dyDescent="0.4">
      <c r="A82" s="37">
        <v>62</v>
      </c>
      <c r="B82" s="36">
        <v>-4.9000000000000217</v>
      </c>
      <c r="D82" s="37">
        <f t="shared" ca="1" si="2"/>
        <v>-4.9000000000000217</v>
      </c>
      <c r="E82" s="37">
        <f t="shared" ca="1" si="3"/>
        <v>-4.9000000000000217</v>
      </c>
      <c r="F82">
        <f ca="1"/>
        <v>0</v>
      </c>
      <c r="G82">
        <f ca="1"/>
        <v>0.31666666666667032</v>
      </c>
      <c r="H82">
        <f ca="1"/>
        <v>0.68333333333332968</v>
      </c>
      <c r="I82">
        <f ca="1"/>
        <v>0</v>
      </c>
      <c r="J82">
        <f ca="1"/>
        <v>0</v>
      </c>
      <c r="K82">
        <f ca="1"/>
        <v>0</v>
      </c>
      <c r="L82">
        <f ca="1"/>
        <v>0</v>
      </c>
      <c r="R82">
        <f ca="1"/>
        <v>1</v>
      </c>
      <c r="S82">
        <f ca="1"/>
        <v>1.5090797574731658</v>
      </c>
      <c r="T82">
        <f ca="1"/>
        <v>-4.9189805343476584E-2</v>
      </c>
      <c r="U82">
        <f ca="1"/>
        <v>0.77985097475620413</v>
      </c>
      <c r="V82">
        <f ca="1"/>
        <v>-0.99350150316443364</v>
      </c>
      <c r="X82" s="37">
        <f t="array" aca="1" ref="X82:AB82" ca="1">MMULT(F82:INDEX(F82:P82,$G$16),TRANSPOSE($R$3:INDEX($R$3:$Y$7,$R$1,$G$16)))</f>
        <v>1</v>
      </c>
      <c r="Y82" s="37">
        <f ca="1"/>
        <v>1.5090797574731658</v>
      </c>
      <c r="Z82" s="37">
        <f ca="1"/>
        <v>-4.9189805343476584E-2</v>
      </c>
      <c r="AA82" s="37">
        <f ca="1"/>
        <v>0.77985097475620413</v>
      </c>
      <c r="AB82" s="37">
        <f ca="1"/>
        <v>-0.99350150316443364</v>
      </c>
      <c r="AD82">
        <f ca="1"/>
        <v>0</v>
      </c>
      <c r="AE82">
        <f ca="1"/>
        <v>0</v>
      </c>
      <c r="AF82">
        <f ca="1"/>
        <v>0</v>
      </c>
      <c r="AG82">
        <f ca="1"/>
        <v>0</v>
      </c>
      <c r="AH82">
        <f ca="1"/>
        <v>0</v>
      </c>
    </row>
    <row r="83" spans="1:34" x14ac:dyDescent="0.4">
      <c r="A83" s="37">
        <v>63</v>
      </c>
      <c r="B83" s="36">
        <v>-4.800000000000022</v>
      </c>
      <c r="D83" s="37">
        <f t="shared" ca="1" si="2"/>
        <v>-4.800000000000022</v>
      </c>
      <c r="E83" s="37">
        <f t="shared" ca="1" si="3"/>
        <v>-4.800000000000022</v>
      </c>
      <c r="F83">
        <f ca="1"/>
        <v>0</v>
      </c>
      <c r="G83">
        <f ca="1"/>
        <v>0.30000000000000371</v>
      </c>
      <c r="H83">
        <f ca="1"/>
        <v>0.69999999999999629</v>
      </c>
      <c r="I83">
        <f ca="1"/>
        <v>0</v>
      </c>
      <c r="J83">
        <f ca="1"/>
        <v>0</v>
      </c>
      <c r="K83">
        <f ca="1"/>
        <v>0</v>
      </c>
      <c r="L83">
        <f ca="1"/>
        <v>0</v>
      </c>
      <c r="R83">
        <f ca="1"/>
        <v>1</v>
      </c>
      <c r="S83">
        <f ca="1"/>
        <v>1.5116562806186868</v>
      </c>
      <c r="T83">
        <f ca="1"/>
        <v>-3.6017133424303044E-2</v>
      </c>
      <c r="U83">
        <f ca="1"/>
        <v>0.75346708376873162</v>
      </c>
      <c r="V83">
        <f ca="1"/>
        <v>-1.0269041856653831</v>
      </c>
      <c r="X83" s="37">
        <f t="array" aca="1" ref="X83:AB83" ca="1">MMULT(F83:INDEX(F83:P83,$G$16),TRANSPOSE($R$3:INDEX($R$3:$Y$7,$R$1,$G$16)))</f>
        <v>1</v>
      </c>
      <c r="Y83" s="37">
        <f ca="1"/>
        <v>1.5116562806186868</v>
      </c>
      <c r="Z83" s="37">
        <f ca="1"/>
        <v>-3.6017133424303044E-2</v>
      </c>
      <c r="AA83" s="37">
        <f ca="1"/>
        <v>0.75346708376873162</v>
      </c>
      <c r="AB83" s="37">
        <f ca="1"/>
        <v>-1.0269041856653831</v>
      </c>
      <c r="AD83">
        <f ca="1"/>
        <v>0</v>
      </c>
      <c r="AE83">
        <f ca="1"/>
        <v>0</v>
      </c>
      <c r="AF83">
        <f ca="1"/>
        <v>0</v>
      </c>
      <c r="AG83">
        <f ca="1"/>
        <v>0</v>
      </c>
      <c r="AH83">
        <f ca="1"/>
        <v>0</v>
      </c>
    </row>
    <row r="84" spans="1:34" x14ac:dyDescent="0.4">
      <c r="A84" s="37">
        <v>64</v>
      </c>
      <c r="B84" s="36">
        <v>-4.7000000000000224</v>
      </c>
      <c r="D84" s="37">
        <f t="shared" ca="1" si="2"/>
        <v>-4.7000000000000224</v>
      </c>
      <c r="E84" s="37">
        <f t="shared" ca="1" si="3"/>
        <v>-4.7000000000000224</v>
      </c>
      <c r="F84">
        <f ca="1"/>
        <v>0</v>
      </c>
      <c r="G84">
        <f ca="1"/>
        <v>0.2833333333333371</v>
      </c>
      <c r="H84">
        <f ca="1"/>
        <v>0.7166666666666629</v>
      </c>
      <c r="I84">
        <f ca="1"/>
        <v>0</v>
      </c>
      <c r="J84">
        <f ca="1"/>
        <v>0</v>
      </c>
      <c r="K84">
        <f ca="1"/>
        <v>0</v>
      </c>
      <c r="L84">
        <f ca="1"/>
        <v>0</v>
      </c>
      <c r="R84">
        <f ca="1"/>
        <v>1</v>
      </c>
      <c r="S84">
        <f ca="1"/>
        <v>1.5142328037642079</v>
      </c>
      <c r="T84">
        <f ca="1"/>
        <v>-2.2844461505129504E-2</v>
      </c>
      <c r="U84">
        <f ca="1"/>
        <v>0.7270831927812591</v>
      </c>
      <c r="V84">
        <f ca="1"/>
        <v>-1.0603068681663324</v>
      </c>
      <c r="X84" s="37">
        <f t="array" aca="1" ref="X84:AB84" ca="1">MMULT(F84:INDEX(F84:P84,$G$16),TRANSPOSE($R$3:INDEX($R$3:$Y$7,$R$1,$G$16)))</f>
        <v>1</v>
      </c>
      <c r="Y84" s="37">
        <f ca="1"/>
        <v>1.5142328037642079</v>
      </c>
      <c r="Z84" s="37">
        <f ca="1"/>
        <v>-2.2844461505129504E-2</v>
      </c>
      <c r="AA84" s="37">
        <f ca="1"/>
        <v>0.7270831927812591</v>
      </c>
      <c r="AB84" s="37">
        <f ca="1"/>
        <v>-1.0603068681663324</v>
      </c>
      <c r="AD84">
        <f ca="1"/>
        <v>0</v>
      </c>
      <c r="AE84">
        <f ca="1"/>
        <v>0</v>
      </c>
      <c r="AF84">
        <f ca="1"/>
        <v>0</v>
      </c>
      <c r="AG84">
        <f ca="1"/>
        <v>0</v>
      </c>
      <c r="AH84">
        <f ca="1"/>
        <v>0</v>
      </c>
    </row>
    <row r="85" spans="1:34" x14ac:dyDescent="0.4">
      <c r="A85" s="37">
        <v>65</v>
      </c>
      <c r="B85" s="36">
        <v>-4.6000000000000227</v>
      </c>
      <c r="D85" s="37">
        <f t="shared" ca="1" si="2"/>
        <v>-4.6000000000000227</v>
      </c>
      <c r="E85" s="37">
        <f t="shared" ca="1" si="3"/>
        <v>-4.6000000000000227</v>
      </c>
      <c r="F85">
        <f ca="1"/>
        <v>0</v>
      </c>
      <c r="G85">
        <f ca="1"/>
        <v>0.26666666666667049</v>
      </c>
      <c r="H85">
        <f ca="1"/>
        <v>0.73333333333332951</v>
      </c>
      <c r="I85">
        <f ca="1"/>
        <v>0</v>
      </c>
      <c r="J85">
        <f ca="1"/>
        <v>0</v>
      </c>
      <c r="K85">
        <f ca="1"/>
        <v>0</v>
      </c>
      <c r="L85">
        <f ca="1"/>
        <v>0</v>
      </c>
      <c r="R85">
        <f ca="1"/>
        <v>1</v>
      </c>
      <c r="S85">
        <f ca="1"/>
        <v>1.5168093269097294</v>
      </c>
      <c r="T85">
        <f ca="1"/>
        <v>-9.6717895859559366E-3</v>
      </c>
      <c r="U85">
        <f ca="1"/>
        <v>0.70069930179378648</v>
      </c>
      <c r="V85">
        <f ca="1"/>
        <v>-1.0937095506672816</v>
      </c>
      <c r="X85" s="37">
        <f t="array" aca="1" ref="X85:AB85" ca="1">MMULT(F85:INDEX(F85:P85,$G$16),TRANSPOSE($R$3:INDEX($R$3:$Y$7,$R$1,$G$16)))</f>
        <v>1</v>
      </c>
      <c r="Y85" s="37">
        <f ca="1"/>
        <v>1.5168093269097294</v>
      </c>
      <c r="Z85" s="37">
        <f ca="1"/>
        <v>-9.6717895859559366E-3</v>
      </c>
      <c r="AA85" s="37">
        <f ca="1"/>
        <v>0.70069930179378648</v>
      </c>
      <c r="AB85" s="37">
        <f ca="1"/>
        <v>-1.0937095506672816</v>
      </c>
      <c r="AD85">
        <f ca="1"/>
        <v>0</v>
      </c>
      <c r="AE85">
        <f ca="1"/>
        <v>0</v>
      </c>
      <c r="AF85">
        <f ca="1"/>
        <v>0</v>
      </c>
      <c r="AG85">
        <f ca="1"/>
        <v>0</v>
      </c>
      <c r="AH85">
        <f ca="1"/>
        <v>0</v>
      </c>
    </row>
    <row r="86" spans="1:34" x14ac:dyDescent="0.4">
      <c r="A86" s="37">
        <v>66</v>
      </c>
      <c r="B86" s="36">
        <v>-4.5000000000000231</v>
      </c>
      <c r="D86" s="37">
        <f t="shared" ref="D86:D149" ca="1" si="4">IF($C$2="Categorical",IF(A86&lt;=26,CHAR(64+A86),CHAR(RANDBETWEEN(65,90))),B86)</f>
        <v>-4.5000000000000231</v>
      </c>
      <c r="E86" s="37">
        <f t="shared" ref="E86:E149" ca="1" si="5">IF(ISBLANK(B86),NA(),IF(C86,NA(),D86))</f>
        <v>-4.5000000000000231</v>
      </c>
      <c r="F86">
        <f ca="1"/>
        <v>0</v>
      </c>
      <c r="G86">
        <f ca="1"/>
        <v>0.25000000000000389</v>
      </c>
      <c r="H86">
        <f ca="1"/>
        <v>0.74999999999999611</v>
      </c>
      <c r="I86">
        <f ca="1"/>
        <v>0</v>
      </c>
      <c r="J86">
        <f ca="1"/>
        <v>0</v>
      </c>
      <c r="K86">
        <f ca="1"/>
        <v>0</v>
      </c>
      <c r="L86">
        <f ca="1"/>
        <v>0</v>
      </c>
      <c r="R86">
        <f ca="1"/>
        <v>1</v>
      </c>
      <c r="S86">
        <f ca="1"/>
        <v>1.5193858500552504</v>
      </c>
      <c r="T86">
        <f ca="1"/>
        <v>3.5008823332176031E-3</v>
      </c>
      <c r="U86">
        <f ca="1"/>
        <v>0.67431541080631385</v>
      </c>
      <c r="V86">
        <f ca="1"/>
        <v>-1.1271122331682313</v>
      </c>
      <c r="X86" s="37">
        <f t="array" aca="1" ref="X86:AB86" ca="1">MMULT(F86:INDEX(F86:P86,$G$16),TRANSPOSE($R$3:INDEX($R$3:$Y$7,$R$1,$G$16)))</f>
        <v>1</v>
      </c>
      <c r="Y86" s="37">
        <f ca="1"/>
        <v>1.5193858500552504</v>
      </c>
      <c r="Z86" s="37">
        <f ca="1"/>
        <v>3.5008823332176031E-3</v>
      </c>
      <c r="AA86" s="37">
        <f ca="1"/>
        <v>0.67431541080631385</v>
      </c>
      <c r="AB86" s="37">
        <f ca="1"/>
        <v>-1.1271122331682313</v>
      </c>
      <c r="AD86">
        <f ca="1"/>
        <v>0</v>
      </c>
      <c r="AE86">
        <f ca="1"/>
        <v>0</v>
      </c>
      <c r="AF86">
        <f ca="1"/>
        <v>0</v>
      </c>
      <c r="AG86">
        <f ca="1"/>
        <v>0</v>
      </c>
      <c r="AH86">
        <f ca="1"/>
        <v>0</v>
      </c>
    </row>
    <row r="87" spans="1:34" x14ac:dyDescent="0.4">
      <c r="A87" s="37">
        <v>67</v>
      </c>
      <c r="B87" s="36">
        <v>-4.4000000000000234</v>
      </c>
      <c r="D87" s="37">
        <f t="shared" ca="1" si="4"/>
        <v>-4.4000000000000234</v>
      </c>
      <c r="E87" s="37">
        <f t="shared" ca="1" si="5"/>
        <v>-4.4000000000000234</v>
      </c>
      <c r="F87">
        <f ca="1"/>
        <v>0</v>
      </c>
      <c r="G87">
        <f ca="1"/>
        <v>0.23333333333333728</v>
      </c>
      <c r="H87">
        <f ca="1"/>
        <v>0.76666666666666272</v>
      </c>
      <c r="I87">
        <f ca="1"/>
        <v>0</v>
      </c>
      <c r="J87">
        <f ca="1"/>
        <v>0</v>
      </c>
      <c r="K87">
        <f ca="1"/>
        <v>0</v>
      </c>
      <c r="L87">
        <f ca="1"/>
        <v>0</v>
      </c>
      <c r="R87">
        <f ca="1"/>
        <v>1</v>
      </c>
      <c r="S87">
        <f ca="1"/>
        <v>1.5219623732007714</v>
      </c>
      <c r="T87">
        <f ca="1"/>
        <v>1.6673554252391115E-2</v>
      </c>
      <c r="U87">
        <f ca="1"/>
        <v>0.64793151981884134</v>
      </c>
      <c r="V87">
        <f ca="1"/>
        <v>-1.1605149156691805</v>
      </c>
      <c r="X87" s="37">
        <f t="array" aca="1" ref="X87:AB87" ca="1">MMULT(F87:INDEX(F87:P87,$G$16),TRANSPOSE($R$3:INDEX($R$3:$Y$7,$R$1,$G$16)))</f>
        <v>1</v>
      </c>
      <c r="Y87" s="37">
        <f ca="1"/>
        <v>1.5219623732007714</v>
      </c>
      <c r="Z87" s="37">
        <f ca="1"/>
        <v>1.6673554252391115E-2</v>
      </c>
      <c r="AA87" s="37">
        <f ca="1"/>
        <v>0.64793151981884134</v>
      </c>
      <c r="AB87" s="37">
        <f ca="1"/>
        <v>-1.1605149156691805</v>
      </c>
      <c r="AD87">
        <f ca="1"/>
        <v>0</v>
      </c>
      <c r="AE87">
        <f ca="1"/>
        <v>0</v>
      </c>
      <c r="AF87">
        <f ca="1"/>
        <v>0</v>
      </c>
      <c r="AG87">
        <f ca="1"/>
        <v>0</v>
      </c>
      <c r="AH87">
        <f ca="1"/>
        <v>0</v>
      </c>
    </row>
    <row r="88" spans="1:34" x14ac:dyDescent="0.4">
      <c r="A88" s="37">
        <v>68</v>
      </c>
      <c r="B88" s="36">
        <v>-4.3000000000000238</v>
      </c>
      <c r="D88" s="37">
        <f t="shared" ca="1" si="4"/>
        <v>-4.3000000000000238</v>
      </c>
      <c r="E88" s="37">
        <f t="shared" ca="1" si="5"/>
        <v>-4.3000000000000238</v>
      </c>
      <c r="F88">
        <f ca="1"/>
        <v>0</v>
      </c>
      <c r="G88">
        <f ca="1"/>
        <v>0.21666666666667067</v>
      </c>
      <c r="H88">
        <f ca="1"/>
        <v>0.78333333333332933</v>
      </c>
      <c r="I88">
        <f ca="1"/>
        <v>0</v>
      </c>
      <c r="J88">
        <f ca="1"/>
        <v>0</v>
      </c>
      <c r="K88">
        <f ca="1"/>
        <v>0</v>
      </c>
      <c r="L88">
        <f ca="1"/>
        <v>0</v>
      </c>
      <c r="R88">
        <f ca="1"/>
        <v>1</v>
      </c>
      <c r="S88">
        <f ca="1"/>
        <v>1.5245388963462925</v>
      </c>
      <c r="T88">
        <f ca="1"/>
        <v>2.9846226171564655E-2</v>
      </c>
      <c r="U88">
        <f ca="1"/>
        <v>0.62154762883136883</v>
      </c>
      <c r="V88">
        <f ca="1"/>
        <v>-1.19391759817013</v>
      </c>
      <c r="X88" s="37">
        <f t="array" aca="1" ref="X88:AB88" ca="1">MMULT(F88:INDEX(F88:P88,$G$16),TRANSPOSE($R$3:INDEX($R$3:$Y$7,$R$1,$G$16)))</f>
        <v>1</v>
      </c>
      <c r="Y88" s="37">
        <f ca="1"/>
        <v>1.5245388963462925</v>
      </c>
      <c r="Z88" s="37">
        <f ca="1"/>
        <v>2.9846226171564655E-2</v>
      </c>
      <c r="AA88" s="37">
        <f ca="1"/>
        <v>0.62154762883136883</v>
      </c>
      <c r="AB88" s="37">
        <f ca="1"/>
        <v>-1.19391759817013</v>
      </c>
      <c r="AD88">
        <f ca="1"/>
        <v>0</v>
      </c>
      <c r="AE88">
        <f ca="1"/>
        <v>0</v>
      </c>
      <c r="AF88">
        <f ca="1"/>
        <v>0</v>
      </c>
      <c r="AG88">
        <f ca="1"/>
        <v>0</v>
      </c>
      <c r="AH88">
        <f ca="1"/>
        <v>0</v>
      </c>
    </row>
    <row r="89" spans="1:34" x14ac:dyDescent="0.4">
      <c r="A89" s="37">
        <v>69</v>
      </c>
      <c r="B89" s="36">
        <v>-4.2000000000000242</v>
      </c>
      <c r="D89" s="37">
        <f t="shared" ca="1" si="4"/>
        <v>-4.2000000000000242</v>
      </c>
      <c r="E89" s="37">
        <f t="shared" ca="1" si="5"/>
        <v>-4.2000000000000242</v>
      </c>
      <c r="F89">
        <f ca="1"/>
        <v>0</v>
      </c>
      <c r="G89">
        <f ca="1"/>
        <v>0.20000000000000406</v>
      </c>
      <c r="H89">
        <f ca="1"/>
        <v>0.79999999999999594</v>
      </c>
      <c r="I89">
        <f ca="1"/>
        <v>0</v>
      </c>
      <c r="J89">
        <f ca="1"/>
        <v>0</v>
      </c>
      <c r="K89">
        <f ca="1"/>
        <v>0</v>
      </c>
      <c r="L89">
        <f ca="1"/>
        <v>0</v>
      </c>
      <c r="R89">
        <f ca="1"/>
        <v>1</v>
      </c>
      <c r="S89">
        <f ca="1"/>
        <v>1.527115419491814</v>
      </c>
      <c r="T89">
        <f ca="1"/>
        <v>4.3018898090738222E-2</v>
      </c>
      <c r="U89">
        <f ca="1"/>
        <v>0.5951637378438962</v>
      </c>
      <c r="V89">
        <f ca="1"/>
        <v>-1.2273202806710792</v>
      </c>
      <c r="X89" s="37">
        <f t="array" aca="1" ref="X89:AB89" ca="1">MMULT(F89:INDEX(F89:P89,$G$16),TRANSPOSE($R$3:INDEX($R$3:$Y$7,$R$1,$G$16)))</f>
        <v>1</v>
      </c>
      <c r="Y89" s="37">
        <f ca="1"/>
        <v>1.527115419491814</v>
      </c>
      <c r="Z89" s="37">
        <f ca="1"/>
        <v>4.3018898090738222E-2</v>
      </c>
      <c r="AA89" s="37">
        <f ca="1"/>
        <v>0.5951637378438962</v>
      </c>
      <c r="AB89" s="37">
        <f ca="1"/>
        <v>-1.2273202806710792</v>
      </c>
      <c r="AD89">
        <f ca="1"/>
        <v>0</v>
      </c>
      <c r="AE89">
        <f ca="1"/>
        <v>0</v>
      </c>
      <c r="AF89">
        <f ca="1"/>
        <v>0</v>
      </c>
      <c r="AG89">
        <f ca="1"/>
        <v>0</v>
      </c>
      <c r="AH89">
        <f ca="1"/>
        <v>0</v>
      </c>
    </row>
    <row r="90" spans="1:34" x14ac:dyDescent="0.4">
      <c r="A90" s="37">
        <v>70</v>
      </c>
      <c r="B90" s="36">
        <v>-4.1000000000000245</v>
      </c>
      <c r="D90" s="37">
        <f t="shared" ca="1" si="4"/>
        <v>-4.1000000000000245</v>
      </c>
      <c r="E90" s="37">
        <f t="shared" ca="1" si="5"/>
        <v>-4.1000000000000245</v>
      </c>
      <c r="F90">
        <f ca="1"/>
        <v>0</v>
      </c>
      <c r="G90">
        <f ca="1"/>
        <v>0.18333333333333746</v>
      </c>
      <c r="H90">
        <f ca="1"/>
        <v>0.81666666666666254</v>
      </c>
      <c r="I90">
        <f ca="1"/>
        <v>0</v>
      </c>
      <c r="J90">
        <f ca="1"/>
        <v>0</v>
      </c>
      <c r="K90">
        <f ca="1"/>
        <v>0</v>
      </c>
      <c r="L90">
        <f ca="1"/>
        <v>0</v>
      </c>
      <c r="R90">
        <f ca="1"/>
        <v>1</v>
      </c>
      <c r="S90">
        <f ca="1"/>
        <v>1.529691942637335</v>
      </c>
      <c r="T90">
        <f ca="1"/>
        <v>5.6191570009911748E-2</v>
      </c>
      <c r="U90">
        <f ca="1"/>
        <v>0.56877984685642369</v>
      </c>
      <c r="V90">
        <f ca="1"/>
        <v>-1.2607229631720287</v>
      </c>
      <c r="X90" s="37">
        <f t="array" aca="1" ref="X90:AB90" ca="1">MMULT(F90:INDEX(F90:P90,$G$16),TRANSPOSE($R$3:INDEX($R$3:$Y$7,$R$1,$G$16)))</f>
        <v>1</v>
      </c>
      <c r="Y90" s="37">
        <f ca="1"/>
        <v>1.529691942637335</v>
      </c>
      <c r="Z90" s="37">
        <f ca="1"/>
        <v>5.6191570009911748E-2</v>
      </c>
      <c r="AA90" s="37">
        <f ca="1"/>
        <v>0.56877984685642369</v>
      </c>
      <c r="AB90" s="37">
        <f ca="1"/>
        <v>-1.2607229631720287</v>
      </c>
      <c r="AD90">
        <f ca="1"/>
        <v>0</v>
      </c>
      <c r="AE90">
        <f ca="1"/>
        <v>0</v>
      </c>
      <c r="AF90">
        <f ca="1"/>
        <v>0</v>
      </c>
      <c r="AG90">
        <f ca="1"/>
        <v>0</v>
      </c>
      <c r="AH90">
        <f ca="1"/>
        <v>0</v>
      </c>
    </row>
    <row r="91" spans="1:34" x14ac:dyDescent="0.4">
      <c r="A91" s="37">
        <v>71</v>
      </c>
      <c r="B91" s="36">
        <v>-4.0000000000000249</v>
      </c>
      <c r="D91" s="37">
        <f t="shared" ca="1" si="4"/>
        <v>-4.0000000000000249</v>
      </c>
      <c r="E91" s="37">
        <f t="shared" ca="1" si="5"/>
        <v>-4.0000000000000249</v>
      </c>
      <c r="F91">
        <f ca="1"/>
        <v>0</v>
      </c>
      <c r="G91">
        <f ca="1"/>
        <v>0.16666666666667085</v>
      </c>
      <c r="H91">
        <f ca="1"/>
        <v>0.83333333333332915</v>
      </c>
      <c r="I91">
        <f ca="1"/>
        <v>0</v>
      </c>
      <c r="J91">
        <f ca="1"/>
        <v>0</v>
      </c>
      <c r="K91">
        <f ca="1"/>
        <v>0</v>
      </c>
      <c r="L91">
        <f ca="1"/>
        <v>0</v>
      </c>
      <c r="R91">
        <f ca="1"/>
        <v>1</v>
      </c>
      <c r="S91">
        <f ca="1"/>
        <v>1.532268465782856</v>
      </c>
      <c r="T91">
        <f ca="1"/>
        <v>6.9364241929085288E-2</v>
      </c>
      <c r="U91">
        <f ca="1"/>
        <v>0.54239595586895106</v>
      </c>
      <c r="V91">
        <f ca="1"/>
        <v>-1.2941256456729779</v>
      </c>
      <c r="X91" s="37">
        <f t="array" aca="1" ref="X91:AB91" ca="1">MMULT(F91:INDEX(F91:P91,$G$16),TRANSPOSE($R$3:INDEX($R$3:$Y$7,$R$1,$G$16)))</f>
        <v>1</v>
      </c>
      <c r="Y91" s="37">
        <f ca="1"/>
        <v>1.532268465782856</v>
      </c>
      <c r="Z91" s="37">
        <f ca="1"/>
        <v>6.9364241929085288E-2</v>
      </c>
      <c r="AA91" s="37">
        <f ca="1"/>
        <v>0.54239595586895106</v>
      </c>
      <c r="AB91" s="37">
        <f ca="1"/>
        <v>-1.2941256456729779</v>
      </c>
      <c r="AD91">
        <f ca="1"/>
        <v>0</v>
      </c>
      <c r="AE91">
        <f ca="1"/>
        <v>0</v>
      </c>
      <c r="AF91">
        <f ca="1"/>
        <v>0</v>
      </c>
      <c r="AG91">
        <f ca="1"/>
        <v>0</v>
      </c>
      <c r="AH91">
        <f ca="1"/>
        <v>0</v>
      </c>
    </row>
    <row r="92" spans="1:34" x14ac:dyDescent="0.4">
      <c r="A92" s="37">
        <v>72</v>
      </c>
      <c r="B92" s="36">
        <v>-3.9000000000000248</v>
      </c>
      <c r="D92" s="37">
        <f t="shared" ca="1" si="4"/>
        <v>-3.9000000000000248</v>
      </c>
      <c r="E92" s="37">
        <f t="shared" ca="1" si="5"/>
        <v>-3.9000000000000248</v>
      </c>
      <c r="F92">
        <f ca="1"/>
        <v>0</v>
      </c>
      <c r="G92">
        <f ca="1"/>
        <v>0.15000000000000424</v>
      </c>
      <c r="H92">
        <f ca="1"/>
        <v>0.84999999999999576</v>
      </c>
      <c r="I92">
        <f ca="1"/>
        <v>0</v>
      </c>
      <c r="J92">
        <f ca="1"/>
        <v>0</v>
      </c>
      <c r="K92">
        <f ca="1"/>
        <v>0</v>
      </c>
      <c r="L92">
        <f ca="1"/>
        <v>0</v>
      </c>
      <c r="R92">
        <f ca="1"/>
        <v>1</v>
      </c>
      <c r="S92">
        <f ca="1"/>
        <v>1.5348449889283773</v>
      </c>
      <c r="T92">
        <f ca="1"/>
        <v>8.2536913848258828E-2</v>
      </c>
      <c r="U92">
        <f ca="1"/>
        <v>0.51601206488147855</v>
      </c>
      <c r="V92">
        <f ca="1"/>
        <v>-1.3275283281739276</v>
      </c>
      <c r="X92" s="37">
        <f t="array" aca="1" ref="X92:AB92" ca="1">MMULT(F92:INDEX(F92:P92,$G$16),TRANSPOSE($R$3:INDEX($R$3:$Y$7,$R$1,$G$16)))</f>
        <v>1</v>
      </c>
      <c r="Y92" s="37">
        <f ca="1"/>
        <v>1.5348449889283773</v>
      </c>
      <c r="Z92" s="37">
        <f ca="1"/>
        <v>8.2536913848258828E-2</v>
      </c>
      <c r="AA92" s="37">
        <f ca="1"/>
        <v>0.51601206488147855</v>
      </c>
      <c r="AB92" s="37">
        <f ca="1"/>
        <v>-1.3275283281739276</v>
      </c>
      <c r="AD92">
        <f ca="1"/>
        <v>0</v>
      </c>
      <c r="AE92">
        <f ca="1"/>
        <v>0</v>
      </c>
      <c r="AF92">
        <f ca="1"/>
        <v>0</v>
      </c>
      <c r="AG92">
        <f ca="1"/>
        <v>0</v>
      </c>
      <c r="AH92">
        <f ca="1"/>
        <v>0</v>
      </c>
    </row>
    <row r="93" spans="1:34" x14ac:dyDescent="0.4">
      <c r="A93" s="37">
        <v>73</v>
      </c>
      <c r="B93" s="36">
        <v>-3.8000000000000247</v>
      </c>
      <c r="D93" s="37">
        <f t="shared" ca="1" si="4"/>
        <v>-3.8000000000000247</v>
      </c>
      <c r="E93" s="37">
        <f t="shared" ca="1" si="5"/>
        <v>-3.8000000000000247</v>
      </c>
      <c r="F93">
        <f ca="1"/>
        <v>0</v>
      </c>
      <c r="G93">
        <f ca="1"/>
        <v>0.13333333333333741</v>
      </c>
      <c r="H93">
        <f ca="1"/>
        <v>0.86666666666666259</v>
      </c>
      <c r="I93">
        <f ca="1"/>
        <v>0</v>
      </c>
      <c r="J93">
        <f ca="1"/>
        <v>0</v>
      </c>
      <c r="K93">
        <f ca="1"/>
        <v>0</v>
      </c>
      <c r="L93">
        <f ca="1"/>
        <v>0</v>
      </c>
      <c r="R93">
        <f ca="1"/>
        <v>1</v>
      </c>
      <c r="S93">
        <f ca="1"/>
        <v>1.5374215120738985</v>
      </c>
      <c r="T93">
        <f ca="1"/>
        <v>9.5709585767432548E-2</v>
      </c>
      <c r="U93">
        <f ca="1"/>
        <v>0.48962817389400559</v>
      </c>
      <c r="V93">
        <f ca="1"/>
        <v>-1.3609310106748773</v>
      </c>
      <c r="X93" s="37">
        <f t="array" aca="1" ref="X93:AB93" ca="1">MMULT(F93:INDEX(F93:P93,$G$16),TRANSPOSE($R$3:INDEX($R$3:$Y$7,$R$1,$G$16)))</f>
        <v>1</v>
      </c>
      <c r="Y93" s="37">
        <f ca="1"/>
        <v>1.5374215120738985</v>
      </c>
      <c r="Z93" s="37">
        <f ca="1"/>
        <v>9.5709585767432548E-2</v>
      </c>
      <c r="AA93" s="37">
        <f ca="1"/>
        <v>0.48962817389400559</v>
      </c>
      <c r="AB93" s="37">
        <f ca="1"/>
        <v>-1.3609310106748773</v>
      </c>
      <c r="AD93">
        <f ca="1"/>
        <v>0</v>
      </c>
      <c r="AE93">
        <f ca="1"/>
        <v>0</v>
      </c>
      <c r="AF93">
        <f ca="1"/>
        <v>0</v>
      </c>
      <c r="AG93">
        <f ca="1"/>
        <v>0</v>
      </c>
      <c r="AH93">
        <f ca="1"/>
        <v>0</v>
      </c>
    </row>
    <row r="94" spans="1:34" x14ac:dyDescent="0.4">
      <c r="A94" s="37">
        <v>74</v>
      </c>
      <c r="B94" s="36">
        <v>-3.7000000000000246</v>
      </c>
      <c r="D94" s="37">
        <f t="shared" ca="1" si="4"/>
        <v>-3.7000000000000246</v>
      </c>
      <c r="E94" s="37">
        <f t="shared" ca="1" si="5"/>
        <v>-3.7000000000000246</v>
      </c>
      <c r="F94">
        <f ca="1"/>
        <v>0</v>
      </c>
      <c r="G94">
        <f ca="1"/>
        <v>0.11666666666667069</v>
      </c>
      <c r="H94">
        <f ca="1"/>
        <v>0.88333333333332931</v>
      </c>
      <c r="I94">
        <f ca="1"/>
        <v>0</v>
      </c>
      <c r="J94">
        <f ca="1"/>
        <v>0</v>
      </c>
      <c r="K94">
        <f ca="1"/>
        <v>0</v>
      </c>
      <c r="L94">
        <f ca="1"/>
        <v>0</v>
      </c>
      <c r="R94">
        <f ca="1"/>
        <v>1</v>
      </c>
      <c r="S94">
        <f ca="1"/>
        <v>1.5399980352194198</v>
      </c>
      <c r="T94">
        <f ca="1"/>
        <v>0.10888225768660617</v>
      </c>
      <c r="U94">
        <f ca="1"/>
        <v>0.46324428290653286</v>
      </c>
      <c r="V94">
        <f ca="1"/>
        <v>-1.3943336931758268</v>
      </c>
      <c r="X94" s="37">
        <f t="array" aca="1" ref="X94:AB94" ca="1">MMULT(F94:INDEX(F94:P94,$G$16),TRANSPOSE($R$3:INDEX($R$3:$Y$7,$R$1,$G$16)))</f>
        <v>1</v>
      </c>
      <c r="Y94" s="37">
        <f ca="1"/>
        <v>1.5399980352194198</v>
      </c>
      <c r="Z94" s="37">
        <f ca="1"/>
        <v>0.10888225768660617</v>
      </c>
      <c r="AA94" s="37">
        <f ca="1"/>
        <v>0.46324428290653286</v>
      </c>
      <c r="AB94" s="37">
        <f ca="1"/>
        <v>-1.3943336931758268</v>
      </c>
      <c r="AD94">
        <f ca="1"/>
        <v>0</v>
      </c>
      <c r="AE94">
        <f ca="1"/>
        <v>0</v>
      </c>
      <c r="AF94">
        <f ca="1"/>
        <v>0</v>
      </c>
      <c r="AG94">
        <f ca="1"/>
        <v>0</v>
      </c>
      <c r="AH94">
        <f ca="1"/>
        <v>0</v>
      </c>
    </row>
    <row r="95" spans="1:34" x14ac:dyDescent="0.4">
      <c r="A95" s="37">
        <v>75</v>
      </c>
      <c r="B95" s="36">
        <v>-3.6000000000000245</v>
      </c>
      <c r="D95" s="37">
        <f t="shared" ca="1" si="4"/>
        <v>-3.6000000000000245</v>
      </c>
      <c r="E95" s="37">
        <f t="shared" ca="1" si="5"/>
        <v>-3.6000000000000245</v>
      </c>
      <c r="F95">
        <f ca="1"/>
        <v>0</v>
      </c>
      <c r="G95">
        <f ca="1"/>
        <v>0.10000000000000409</v>
      </c>
      <c r="H95">
        <f ca="1"/>
        <v>0.89999999999999591</v>
      </c>
      <c r="I95">
        <f ca="1"/>
        <v>0</v>
      </c>
      <c r="J95">
        <f ca="1"/>
        <v>0</v>
      </c>
      <c r="K95">
        <f ca="1"/>
        <v>0</v>
      </c>
      <c r="L95">
        <f ca="1"/>
        <v>0</v>
      </c>
      <c r="R95">
        <f ca="1"/>
        <v>1</v>
      </c>
      <c r="S95">
        <f ca="1"/>
        <v>1.5425745583649408</v>
      </c>
      <c r="T95">
        <f ca="1"/>
        <v>0.12205492960577971</v>
      </c>
      <c r="U95">
        <f ca="1"/>
        <v>0.43686039191906034</v>
      </c>
      <c r="V95">
        <f ca="1"/>
        <v>-1.4277363756767762</v>
      </c>
      <c r="X95" s="37">
        <f t="array" aca="1" ref="X95:AB95" ca="1">MMULT(F95:INDEX(F95:P95,$G$16),TRANSPOSE($R$3:INDEX($R$3:$Y$7,$R$1,$G$16)))</f>
        <v>1</v>
      </c>
      <c r="Y95" s="37">
        <f ca="1"/>
        <v>1.5425745583649408</v>
      </c>
      <c r="Z95" s="37">
        <f ca="1"/>
        <v>0.12205492960577971</v>
      </c>
      <c r="AA95" s="37">
        <f ca="1"/>
        <v>0.43686039191906034</v>
      </c>
      <c r="AB95" s="37">
        <f ca="1"/>
        <v>-1.4277363756767762</v>
      </c>
      <c r="AD95">
        <f ca="1"/>
        <v>0</v>
      </c>
      <c r="AE95">
        <f ca="1"/>
        <v>0</v>
      </c>
      <c r="AF95">
        <f ca="1"/>
        <v>0</v>
      </c>
      <c r="AG95">
        <f ca="1"/>
        <v>0</v>
      </c>
      <c r="AH95">
        <f ca="1"/>
        <v>0</v>
      </c>
    </row>
    <row r="96" spans="1:34" x14ac:dyDescent="0.4">
      <c r="A96" s="37">
        <v>76</v>
      </c>
      <c r="B96" s="36">
        <v>-3.5000000000000244</v>
      </c>
      <c r="D96" s="37">
        <f t="shared" ca="1" si="4"/>
        <v>-3.5000000000000244</v>
      </c>
      <c r="E96" s="37">
        <f t="shared" ca="1" si="5"/>
        <v>-3.5000000000000244</v>
      </c>
      <c r="F96">
        <f ca="1"/>
        <v>0</v>
      </c>
      <c r="G96">
        <f ca="1"/>
        <v>8.3333333333337478E-2</v>
      </c>
      <c r="H96">
        <f ca="1"/>
        <v>0.91666666666666252</v>
      </c>
      <c r="I96">
        <f ca="1"/>
        <v>0</v>
      </c>
      <c r="J96">
        <f ca="1"/>
        <v>0</v>
      </c>
      <c r="K96">
        <f ca="1"/>
        <v>0</v>
      </c>
      <c r="L96">
        <f ca="1"/>
        <v>0</v>
      </c>
      <c r="R96">
        <f ca="1"/>
        <v>1</v>
      </c>
      <c r="S96">
        <f ca="1"/>
        <v>1.5451510815104621</v>
      </c>
      <c r="T96">
        <f ca="1"/>
        <v>0.13522760152495328</v>
      </c>
      <c r="U96">
        <f ca="1"/>
        <v>0.41047650093158777</v>
      </c>
      <c r="V96">
        <f ca="1"/>
        <v>-1.4611390581777257</v>
      </c>
      <c r="X96" s="37">
        <f t="array" aca="1" ref="X96:AB96" ca="1">MMULT(F96:INDEX(F96:P96,$G$16),TRANSPOSE($R$3:INDEX($R$3:$Y$7,$R$1,$G$16)))</f>
        <v>1</v>
      </c>
      <c r="Y96" s="37">
        <f ca="1"/>
        <v>1.5451510815104621</v>
      </c>
      <c r="Z96" s="37">
        <f ca="1"/>
        <v>0.13522760152495328</v>
      </c>
      <c r="AA96" s="37">
        <f ca="1"/>
        <v>0.41047650093158777</v>
      </c>
      <c r="AB96" s="37">
        <f ca="1"/>
        <v>-1.4611390581777257</v>
      </c>
      <c r="AD96">
        <f ca="1"/>
        <v>0</v>
      </c>
      <c r="AE96">
        <f ca="1"/>
        <v>0</v>
      </c>
      <c r="AF96">
        <f ca="1"/>
        <v>0</v>
      </c>
      <c r="AG96">
        <f ca="1"/>
        <v>0</v>
      </c>
      <c r="AH96">
        <f ca="1"/>
        <v>0</v>
      </c>
    </row>
    <row r="97" spans="1:34" x14ac:dyDescent="0.4">
      <c r="A97" s="37">
        <v>77</v>
      </c>
      <c r="B97" s="36">
        <v>-3.4000000000000243</v>
      </c>
      <c r="D97" s="37">
        <f t="shared" ca="1" si="4"/>
        <v>-3.4000000000000243</v>
      </c>
      <c r="E97" s="37">
        <f t="shared" ca="1" si="5"/>
        <v>-3.4000000000000243</v>
      </c>
      <c r="F97">
        <f ca="1"/>
        <v>0</v>
      </c>
      <c r="G97">
        <f ca="1"/>
        <v>6.666666666667076E-2</v>
      </c>
      <c r="H97">
        <f ca="1"/>
        <v>0.93333333333332924</v>
      </c>
      <c r="I97">
        <f ca="1"/>
        <v>0</v>
      </c>
      <c r="J97">
        <f ca="1"/>
        <v>0</v>
      </c>
      <c r="K97">
        <f ca="1"/>
        <v>0</v>
      </c>
      <c r="L97">
        <f ca="1"/>
        <v>0</v>
      </c>
      <c r="R97">
        <f ca="1"/>
        <v>1</v>
      </c>
      <c r="S97">
        <f ca="1"/>
        <v>1.5477276046559831</v>
      </c>
      <c r="T97">
        <f ca="1"/>
        <v>0.1484002734441269</v>
      </c>
      <c r="U97">
        <f ca="1"/>
        <v>0.38409260994411504</v>
      </c>
      <c r="V97">
        <f ca="1"/>
        <v>-1.4945417406786754</v>
      </c>
      <c r="X97" s="37">
        <f t="array" aca="1" ref="X97:AB97" ca="1">MMULT(F97:INDEX(F97:P97,$G$16),TRANSPOSE($R$3:INDEX($R$3:$Y$7,$R$1,$G$16)))</f>
        <v>1</v>
      </c>
      <c r="Y97" s="37">
        <f ca="1"/>
        <v>1.5477276046559831</v>
      </c>
      <c r="Z97" s="37">
        <f ca="1"/>
        <v>0.1484002734441269</v>
      </c>
      <c r="AA97" s="37">
        <f ca="1"/>
        <v>0.38409260994411504</v>
      </c>
      <c r="AB97" s="37">
        <f ca="1"/>
        <v>-1.4945417406786754</v>
      </c>
      <c r="AD97">
        <f ca="1"/>
        <v>0</v>
      </c>
      <c r="AE97">
        <f ca="1"/>
        <v>0</v>
      </c>
      <c r="AF97">
        <f ca="1"/>
        <v>0</v>
      </c>
      <c r="AG97">
        <f ca="1"/>
        <v>0</v>
      </c>
      <c r="AH97">
        <f ca="1"/>
        <v>0</v>
      </c>
    </row>
    <row r="98" spans="1:34" x14ac:dyDescent="0.4">
      <c r="A98" s="37">
        <v>78</v>
      </c>
      <c r="B98" s="36">
        <v>-3.3000000000000242</v>
      </c>
      <c r="D98" s="37">
        <f t="shared" ca="1" si="4"/>
        <v>-3.3000000000000242</v>
      </c>
      <c r="E98" s="37">
        <f t="shared" ca="1" si="5"/>
        <v>-3.3000000000000242</v>
      </c>
      <c r="F98">
        <f ca="1"/>
        <v>0</v>
      </c>
      <c r="G98">
        <f ca="1"/>
        <v>5.000000000000393E-2</v>
      </c>
      <c r="H98">
        <f ca="1"/>
        <v>0.94999999999999607</v>
      </c>
      <c r="I98">
        <f ca="1"/>
        <v>0</v>
      </c>
      <c r="J98">
        <f ca="1"/>
        <v>0</v>
      </c>
      <c r="K98">
        <f ca="1"/>
        <v>0</v>
      </c>
      <c r="L98">
        <f ca="1"/>
        <v>0</v>
      </c>
      <c r="R98">
        <f ca="1"/>
        <v>1</v>
      </c>
      <c r="S98">
        <f ca="1"/>
        <v>1.5503041278015044</v>
      </c>
      <c r="T98">
        <f ca="1"/>
        <v>0.16157294536330061</v>
      </c>
      <c r="U98">
        <f ca="1"/>
        <v>0.35770871895664214</v>
      </c>
      <c r="V98">
        <f ca="1"/>
        <v>-1.5279444231796251</v>
      </c>
      <c r="X98" s="37">
        <f t="array" aca="1" ref="X98:AB98" ca="1">MMULT(F98:INDEX(F98:P98,$G$16),TRANSPOSE($R$3:INDEX($R$3:$Y$7,$R$1,$G$16)))</f>
        <v>1</v>
      </c>
      <c r="Y98" s="37">
        <f ca="1"/>
        <v>1.5503041278015044</v>
      </c>
      <c r="Z98" s="37">
        <f ca="1"/>
        <v>0.16157294536330061</v>
      </c>
      <c r="AA98" s="37">
        <f ca="1"/>
        <v>0.35770871895664214</v>
      </c>
      <c r="AB98" s="37">
        <f ca="1"/>
        <v>-1.5279444231796251</v>
      </c>
      <c r="AD98">
        <f ca="1"/>
        <v>0</v>
      </c>
      <c r="AE98">
        <f ca="1"/>
        <v>0</v>
      </c>
      <c r="AF98">
        <f ca="1"/>
        <v>0</v>
      </c>
      <c r="AG98">
        <f ca="1"/>
        <v>0</v>
      </c>
      <c r="AH98">
        <f ca="1"/>
        <v>0</v>
      </c>
    </row>
    <row r="99" spans="1:34" x14ac:dyDescent="0.4">
      <c r="A99" s="37">
        <v>79</v>
      </c>
      <c r="B99" s="36">
        <v>-3.2000000000000242</v>
      </c>
      <c r="D99" s="37">
        <f t="shared" ca="1" si="4"/>
        <v>-3.2000000000000242</v>
      </c>
      <c r="E99" s="37">
        <f t="shared" ca="1" si="5"/>
        <v>-3.2000000000000242</v>
      </c>
      <c r="F99">
        <f ca="1"/>
        <v>0</v>
      </c>
      <c r="G99">
        <f ca="1"/>
        <v>3.3333333333337323E-2</v>
      </c>
      <c r="H99">
        <f ca="1"/>
        <v>0.96666666666666268</v>
      </c>
      <c r="I99">
        <f ca="1"/>
        <v>0</v>
      </c>
      <c r="J99">
        <f ca="1"/>
        <v>0</v>
      </c>
      <c r="K99">
        <f ca="1"/>
        <v>0</v>
      </c>
      <c r="L99">
        <f ca="1"/>
        <v>0</v>
      </c>
      <c r="R99">
        <f ca="1"/>
        <v>1</v>
      </c>
      <c r="S99">
        <f ca="1"/>
        <v>1.5528806509470257</v>
      </c>
      <c r="T99">
        <f ca="1"/>
        <v>0.17474561728247415</v>
      </c>
      <c r="U99">
        <f ca="1"/>
        <v>0.33132482796916957</v>
      </c>
      <c r="V99">
        <f ca="1"/>
        <v>-1.5613471056805746</v>
      </c>
      <c r="X99" s="37">
        <f t="array" aca="1" ref="X99:AB99" ca="1">MMULT(F99:INDEX(F99:P99,$G$16),TRANSPOSE($R$3:INDEX($R$3:$Y$7,$R$1,$G$16)))</f>
        <v>1</v>
      </c>
      <c r="Y99" s="37">
        <f ca="1"/>
        <v>1.5528806509470257</v>
      </c>
      <c r="Z99" s="37">
        <f ca="1"/>
        <v>0.17474561728247415</v>
      </c>
      <c r="AA99" s="37">
        <f ca="1"/>
        <v>0.33132482796916957</v>
      </c>
      <c r="AB99" s="37">
        <f ca="1"/>
        <v>-1.5613471056805746</v>
      </c>
      <c r="AD99">
        <f ca="1"/>
        <v>0</v>
      </c>
      <c r="AE99">
        <f ca="1"/>
        <v>0</v>
      </c>
      <c r="AF99">
        <f ca="1"/>
        <v>0</v>
      </c>
      <c r="AG99">
        <f ca="1"/>
        <v>0</v>
      </c>
      <c r="AH99">
        <f ca="1"/>
        <v>0</v>
      </c>
    </row>
    <row r="100" spans="1:34" x14ac:dyDescent="0.4">
      <c r="A100" s="37">
        <v>80</v>
      </c>
      <c r="B100" s="36">
        <v>-3.1000000000000241</v>
      </c>
      <c r="D100" s="37">
        <f t="shared" ca="1" si="4"/>
        <v>-3.1000000000000241</v>
      </c>
      <c r="E100" s="37">
        <f t="shared" ca="1" si="5"/>
        <v>-3.1000000000000241</v>
      </c>
      <c r="F100">
        <f ca="1"/>
        <v>0</v>
      </c>
      <c r="G100">
        <f ca="1"/>
        <v>1.6666666666670715E-2</v>
      </c>
      <c r="H100">
        <f ca="1"/>
        <v>0.98333333333332928</v>
      </c>
      <c r="I100">
        <f ca="1"/>
        <v>0</v>
      </c>
      <c r="J100">
        <f ca="1"/>
        <v>0</v>
      </c>
      <c r="K100">
        <f ca="1"/>
        <v>0</v>
      </c>
      <c r="L100">
        <f ca="1"/>
        <v>0</v>
      </c>
      <c r="R100">
        <f ca="1"/>
        <v>1</v>
      </c>
      <c r="S100">
        <f ca="1"/>
        <v>1.5554571740925469</v>
      </c>
      <c r="T100">
        <f ca="1"/>
        <v>0.18791828920164769</v>
      </c>
      <c r="U100">
        <f ca="1"/>
        <v>0.304940936981697</v>
      </c>
      <c r="V100">
        <f ca="1"/>
        <v>-1.594749788181524</v>
      </c>
      <c r="X100" s="37">
        <f t="array" aca="1" ref="X100:AB100" ca="1">MMULT(F100:INDEX(F100:P100,$G$16),TRANSPOSE($R$3:INDEX($R$3:$Y$7,$R$1,$G$16)))</f>
        <v>1</v>
      </c>
      <c r="Y100" s="37">
        <f ca="1"/>
        <v>1.5554571740925469</v>
      </c>
      <c r="Z100" s="37">
        <f ca="1"/>
        <v>0.18791828920164769</v>
      </c>
      <c r="AA100" s="37">
        <f ca="1"/>
        <v>0.304940936981697</v>
      </c>
      <c r="AB100" s="37">
        <f ca="1"/>
        <v>-1.594749788181524</v>
      </c>
      <c r="AD100">
        <f ca="1"/>
        <v>0</v>
      </c>
      <c r="AE100">
        <f ca="1"/>
        <v>0</v>
      </c>
      <c r="AF100">
        <f ca="1"/>
        <v>0</v>
      </c>
      <c r="AG100">
        <f ca="1"/>
        <v>0</v>
      </c>
      <c r="AH100">
        <f ca="1"/>
        <v>0</v>
      </c>
    </row>
    <row r="101" spans="1:34" x14ac:dyDescent="0.4">
      <c r="A101" s="37">
        <v>81</v>
      </c>
      <c r="B101" s="36">
        <v>-3.000000000000024</v>
      </c>
      <c r="D101" s="37">
        <f t="shared" ca="1" si="4"/>
        <v>-3.000000000000024</v>
      </c>
      <c r="E101" s="37">
        <f t="shared" ca="1" si="5"/>
        <v>-3.000000000000024</v>
      </c>
      <c r="F101">
        <f ca="1"/>
        <v>0</v>
      </c>
      <c r="G101">
        <f ca="1"/>
        <v>3.9968028886505635E-15</v>
      </c>
      <c r="H101">
        <f ca="1"/>
        <v>0.999999999999996</v>
      </c>
      <c r="I101">
        <f ca="1"/>
        <v>0</v>
      </c>
      <c r="J101">
        <f ca="1"/>
        <v>0</v>
      </c>
      <c r="K101">
        <f ca="1"/>
        <v>0</v>
      </c>
      <c r="L101">
        <f ca="1"/>
        <v>0</v>
      </c>
      <c r="R101">
        <f ca="1"/>
        <v>1</v>
      </c>
      <c r="S101">
        <f ca="1"/>
        <v>1.5580336972380679</v>
      </c>
      <c r="T101">
        <f ca="1"/>
        <v>0.20109096112082131</v>
      </c>
      <c r="U101">
        <f ca="1"/>
        <v>0.27855704599422426</v>
      </c>
      <c r="V101">
        <f ca="1"/>
        <v>-1.6281524706824735</v>
      </c>
      <c r="X101" s="37">
        <f t="array" aca="1" ref="X101:AB101" ca="1">MMULT(F101:INDEX(F101:P101,$G$16),TRANSPOSE($R$3:INDEX($R$3:$Y$7,$R$1,$G$16)))</f>
        <v>1</v>
      </c>
      <c r="Y101" s="37">
        <f ca="1"/>
        <v>1.5580336972380679</v>
      </c>
      <c r="Z101" s="37">
        <f ca="1"/>
        <v>0.20109096112082131</v>
      </c>
      <c r="AA101" s="37">
        <f ca="1"/>
        <v>0.27855704599422426</v>
      </c>
      <c r="AB101" s="37">
        <f ca="1"/>
        <v>-1.6281524706824735</v>
      </c>
      <c r="AD101">
        <f ca="1"/>
        <v>0</v>
      </c>
      <c r="AE101">
        <f ca="1"/>
        <v>0</v>
      </c>
      <c r="AF101">
        <f ca="1"/>
        <v>0</v>
      </c>
      <c r="AG101">
        <f ca="1"/>
        <v>0</v>
      </c>
      <c r="AH101">
        <f ca="1"/>
        <v>0</v>
      </c>
    </row>
    <row r="102" spans="1:34" x14ac:dyDescent="0.4">
      <c r="A102" s="37">
        <v>82</v>
      </c>
      <c r="B102" s="36">
        <v>-2.9000000000000239</v>
      </c>
      <c r="D102" s="37">
        <f t="shared" ca="1" si="4"/>
        <v>-2.9000000000000239</v>
      </c>
      <c r="E102" s="37">
        <f t="shared" ca="1" si="5"/>
        <v>-2.9000000000000239</v>
      </c>
      <c r="F102">
        <f ca="1"/>
        <v>0</v>
      </c>
      <c r="G102">
        <f ca="1"/>
        <v>0</v>
      </c>
      <c r="H102">
        <f ca="1"/>
        <v>0.98333333333333728</v>
      </c>
      <c r="I102">
        <f ca="1"/>
        <v>1.6666666666662684E-2</v>
      </c>
      <c r="J102">
        <f ca="1"/>
        <v>0</v>
      </c>
      <c r="K102">
        <f ca="1"/>
        <v>0</v>
      </c>
      <c r="L102">
        <f ca="1"/>
        <v>0</v>
      </c>
      <c r="R102">
        <f ca="1"/>
        <v>1</v>
      </c>
      <c r="S102">
        <f ca="1"/>
        <v>1.504443062886881</v>
      </c>
      <c r="T102">
        <f ca="1"/>
        <v>0.22065331789429243</v>
      </c>
      <c r="U102">
        <f ca="1"/>
        <v>0.26794187868631042</v>
      </c>
      <c r="V102">
        <f ca="1"/>
        <v>-1.5695465013334462</v>
      </c>
      <c r="X102" s="37">
        <f t="array" aca="1" ref="X102:AB102" ca="1">MMULT(F102:INDEX(F102:P102,$G$16),TRANSPOSE($R$3:INDEX($R$3:$Y$7,$R$1,$G$16)))</f>
        <v>1</v>
      </c>
      <c r="Y102" s="37">
        <f ca="1"/>
        <v>1.504443062886881</v>
      </c>
      <c r="Z102" s="37">
        <f ca="1"/>
        <v>0.22065331789429243</v>
      </c>
      <c r="AA102" s="37">
        <f ca="1"/>
        <v>0.26794187868631042</v>
      </c>
      <c r="AB102" s="37">
        <f ca="1"/>
        <v>-1.5695465013334462</v>
      </c>
      <c r="AD102">
        <f ca="1"/>
        <v>0</v>
      </c>
      <c r="AE102">
        <f ca="1"/>
        <v>0</v>
      </c>
      <c r="AF102">
        <f ca="1"/>
        <v>0</v>
      </c>
      <c r="AG102">
        <f ca="1"/>
        <v>0</v>
      </c>
      <c r="AH102">
        <f ca="1"/>
        <v>0</v>
      </c>
    </row>
    <row r="103" spans="1:34" x14ac:dyDescent="0.4">
      <c r="A103" s="37">
        <v>83</v>
      </c>
      <c r="B103" s="36">
        <v>-2.8000000000000238</v>
      </c>
      <c r="D103" s="37">
        <f t="shared" ca="1" si="4"/>
        <v>-2.8000000000000238</v>
      </c>
      <c r="E103" s="37">
        <f t="shared" ca="1" si="5"/>
        <v>-2.8000000000000238</v>
      </c>
      <c r="F103">
        <f ca="1"/>
        <v>0</v>
      </c>
      <c r="G103">
        <f ca="1"/>
        <v>0</v>
      </c>
      <c r="H103">
        <f ca="1"/>
        <v>0.96666666666667067</v>
      </c>
      <c r="I103">
        <f ca="1"/>
        <v>3.3333333333329364E-2</v>
      </c>
      <c r="J103">
        <f ca="1"/>
        <v>0</v>
      </c>
      <c r="K103">
        <f ca="1"/>
        <v>0</v>
      </c>
      <c r="L103">
        <f ca="1"/>
        <v>0</v>
      </c>
      <c r="R103">
        <f ca="1"/>
        <v>1</v>
      </c>
      <c r="S103">
        <f ca="1"/>
        <v>1.4508524285356807</v>
      </c>
      <c r="T103">
        <f ca="1"/>
        <v>0.24021567466776511</v>
      </c>
      <c r="U103">
        <f ca="1"/>
        <v>0.25732671137840035</v>
      </c>
      <c r="V103">
        <f ca="1"/>
        <v>-1.5109405319843972</v>
      </c>
      <c r="X103" s="37">
        <f t="array" aca="1" ref="X103:AB103" ca="1">MMULT(F103:INDEX(F103:P103,$G$16),TRANSPOSE($R$3:INDEX($R$3:$Y$7,$R$1,$G$16)))</f>
        <v>1</v>
      </c>
      <c r="Y103" s="37">
        <f ca="1"/>
        <v>1.4508524285356807</v>
      </c>
      <c r="Z103" s="37">
        <f ca="1"/>
        <v>0.24021567466776511</v>
      </c>
      <c r="AA103" s="37">
        <f ca="1"/>
        <v>0.25732671137840035</v>
      </c>
      <c r="AB103" s="37">
        <f ca="1"/>
        <v>-1.5109405319843972</v>
      </c>
      <c r="AD103">
        <f ca="1"/>
        <v>0</v>
      </c>
      <c r="AE103">
        <f ca="1"/>
        <v>0</v>
      </c>
      <c r="AF103">
        <f ca="1"/>
        <v>0</v>
      </c>
      <c r="AG103">
        <f ca="1"/>
        <v>0</v>
      </c>
      <c r="AH103">
        <f ca="1"/>
        <v>0</v>
      </c>
    </row>
    <row r="104" spans="1:34" x14ac:dyDescent="0.4">
      <c r="A104" s="37">
        <v>84</v>
      </c>
      <c r="B104" s="36">
        <v>-2.7000000000000237</v>
      </c>
      <c r="D104" s="37">
        <f t="shared" ca="1" si="4"/>
        <v>-2.7000000000000237</v>
      </c>
      <c r="E104" s="37">
        <f t="shared" ca="1" si="5"/>
        <v>-2.7000000000000237</v>
      </c>
      <c r="F104">
        <f ca="1"/>
        <v>0</v>
      </c>
      <c r="G104">
        <f ca="1"/>
        <v>0</v>
      </c>
      <c r="H104">
        <f ca="1"/>
        <v>0.95000000000000395</v>
      </c>
      <c r="I104">
        <f ca="1"/>
        <v>4.9999999999996048E-2</v>
      </c>
      <c r="J104">
        <f ca="1"/>
        <v>0</v>
      </c>
      <c r="K104">
        <f ca="1"/>
        <v>0</v>
      </c>
      <c r="L104">
        <f ca="1"/>
        <v>0</v>
      </c>
      <c r="R104">
        <f ca="1"/>
        <v>1</v>
      </c>
      <c r="S104">
        <f ca="1"/>
        <v>1.3972617941844803</v>
      </c>
      <c r="T104">
        <f ca="1"/>
        <v>0.25977803144123779</v>
      </c>
      <c r="U104">
        <f ca="1"/>
        <v>0.24671154407049026</v>
      </c>
      <c r="V104">
        <f ca="1"/>
        <v>-1.4523345626353479</v>
      </c>
      <c r="X104" s="37">
        <f t="array" aca="1" ref="X104:AB104" ca="1">MMULT(F104:INDEX(F104:P104,$G$16),TRANSPOSE($R$3:INDEX($R$3:$Y$7,$R$1,$G$16)))</f>
        <v>1</v>
      </c>
      <c r="Y104" s="37">
        <f ca="1"/>
        <v>1.3972617941844803</v>
      </c>
      <c r="Z104" s="37">
        <f ca="1"/>
        <v>0.25977803144123779</v>
      </c>
      <c r="AA104" s="37">
        <f ca="1"/>
        <v>0.24671154407049026</v>
      </c>
      <c r="AB104" s="37">
        <f ca="1"/>
        <v>-1.4523345626353479</v>
      </c>
      <c r="AD104">
        <f ca="1"/>
        <v>0</v>
      </c>
      <c r="AE104">
        <f ca="1"/>
        <v>0</v>
      </c>
      <c r="AF104">
        <f ca="1"/>
        <v>0</v>
      </c>
      <c r="AG104">
        <f ca="1"/>
        <v>0</v>
      </c>
      <c r="AH104">
        <f ca="1"/>
        <v>0</v>
      </c>
    </row>
    <row r="105" spans="1:34" x14ac:dyDescent="0.4">
      <c r="A105" s="37">
        <v>85</v>
      </c>
      <c r="B105" s="36">
        <v>-2.6000000000000236</v>
      </c>
      <c r="D105" s="37">
        <f t="shared" ca="1" si="4"/>
        <v>-2.6000000000000236</v>
      </c>
      <c r="E105" s="37">
        <f t="shared" ca="1" si="5"/>
        <v>-2.6000000000000236</v>
      </c>
      <c r="F105">
        <f ca="1"/>
        <v>0</v>
      </c>
      <c r="G105">
        <f ca="1"/>
        <v>0</v>
      </c>
      <c r="H105">
        <f ca="1"/>
        <v>0.93333333333333723</v>
      </c>
      <c r="I105">
        <f ca="1"/>
        <v>6.6666666666662724E-2</v>
      </c>
      <c r="J105">
        <f ca="1"/>
        <v>0</v>
      </c>
      <c r="K105">
        <f ca="1"/>
        <v>0</v>
      </c>
      <c r="L105">
        <f ca="1"/>
        <v>0</v>
      </c>
      <c r="R105">
        <f ca="1"/>
        <v>1</v>
      </c>
      <c r="S105">
        <f ca="1"/>
        <v>1.3436711598332798</v>
      </c>
      <c r="T105">
        <f ca="1"/>
        <v>0.27934038821471041</v>
      </c>
      <c r="U105">
        <f ca="1"/>
        <v>0.23609637676258013</v>
      </c>
      <c r="V105">
        <f ca="1"/>
        <v>-1.3937285932862986</v>
      </c>
      <c r="X105" s="37">
        <f t="array" aca="1" ref="X105:AB105" ca="1">MMULT(F105:INDEX(F105:P105,$G$16),TRANSPOSE($R$3:INDEX($R$3:$Y$7,$R$1,$G$16)))</f>
        <v>1</v>
      </c>
      <c r="Y105" s="37">
        <f ca="1"/>
        <v>1.3436711598332798</v>
      </c>
      <c r="Z105" s="37">
        <f ca="1"/>
        <v>0.27934038821471041</v>
      </c>
      <c r="AA105" s="37">
        <f ca="1"/>
        <v>0.23609637676258013</v>
      </c>
      <c r="AB105" s="37">
        <f ca="1"/>
        <v>-1.3937285932862986</v>
      </c>
      <c r="AD105">
        <f ca="1"/>
        <v>0</v>
      </c>
      <c r="AE105">
        <f ca="1"/>
        <v>0</v>
      </c>
      <c r="AF105">
        <f ca="1"/>
        <v>0</v>
      </c>
      <c r="AG105">
        <f ca="1"/>
        <v>0</v>
      </c>
      <c r="AH105">
        <f ca="1"/>
        <v>0</v>
      </c>
    </row>
    <row r="106" spans="1:34" x14ac:dyDescent="0.4">
      <c r="A106" s="37">
        <v>86</v>
      </c>
      <c r="B106" s="36">
        <v>-2.5000000000000235</v>
      </c>
      <c r="D106" s="37">
        <f t="shared" ca="1" si="4"/>
        <v>-2.5000000000000235</v>
      </c>
      <c r="E106" s="37">
        <f t="shared" ca="1" si="5"/>
        <v>-2.5000000000000235</v>
      </c>
      <c r="F106">
        <f ca="1"/>
        <v>0</v>
      </c>
      <c r="G106">
        <f ca="1"/>
        <v>0</v>
      </c>
      <c r="H106">
        <f ca="1"/>
        <v>0.91666666666667063</v>
      </c>
      <c r="I106">
        <f ca="1"/>
        <v>8.3333333333329415E-2</v>
      </c>
      <c r="J106">
        <f ca="1"/>
        <v>0</v>
      </c>
      <c r="K106">
        <f ca="1"/>
        <v>0</v>
      </c>
      <c r="L106">
        <f ca="1"/>
        <v>0</v>
      </c>
      <c r="R106">
        <f ca="1"/>
        <v>1</v>
      </c>
      <c r="S106">
        <f ca="1"/>
        <v>1.2900805254820795</v>
      </c>
      <c r="T106">
        <f ca="1"/>
        <v>0.29890274498818303</v>
      </c>
      <c r="U106">
        <f ca="1"/>
        <v>0.22548120945467012</v>
      </c>
      <c r="V106">
        <f ca="1"/>
        <v>-1.3351226239372496</v>
      </c>
      <c r="X106" s="37">
        <f t="array" aca="1" ref="X106:AB106" ca="1">MMULT(F106:INDEX(F106:P106,$G$16),TRANSPOSE($R$3:INDEX($R$3:$Y$7,$R$1,$G$16)))</f>
        <v>1</v>
      </c>
      <c r="Y106" s="37">
        <f ca="1"/>
        <v>1.2900805254820795</v>
      </c>
      <c r="Z106" s="37">
        <f ca="1"/>
        <v>0.29890274498818303</v>
      </c>
      <c r="AA106" s="37">
        <f ca="1"/>
        <v>0.22548120945467012</v>
      </c>
      <c r="AB106" s="37">
        <f ca="1"/>
        <v>-1.3351226239372496</v>
      </c>
      <c r="AD106">
        <f ca="1"/>
        <v>0</v>
      </c>
      <c r="AE106">
        <f ca="1"/>
        <v>0</v>
      </c>
      <c r="AF106">
        <f ca="1"/>
        <v>0</v>
      </c>
      <c r="AG106">
        <f ca="1"/>
        <v>0</v>
      </c>
      <c r="AH106">
        <f ca="1"/>
        <v>0</v>
      </c>
    </row>
    <row r="107" spans="1:34" x14ac:dyDescent="0.4">
      <c r="A107" s="37">
        <v>87</v>
      </c>
      <c r="B107" s="36">
        <v>-2.4000000000000234</v>
      </c>
      <c r="D107" s="37">
        <f t="shared" ca="1" si="4"/>
        <v>-2.4000000000000234</v>
      </c>
      <c r="E107" s="37">
        <f t="shared" ca="1" si="5"/>
        <v>-2.4000000000000234</v>
      </c>
      <c r="F107">
        <f ca="1"/>
        <v>0</v>
      </c>
      <c r="G107">
        <f ca="1"/>
        <v>0</v>
      </c>
      <c r="H107">
        <f ca="1"/>
        <v>0.90000000000000391</v>
      </c>
      <c r="I107">
        <f ca="1"/>
        <v>9.9999999999996092E-2</v>
      </c>
      <c r="J107">
        <f ca="1"/>
        <v>0</v>
      </c>
      <c r="K107">
        <f ca="1"/>
        <v>0</v>
      </c>
      <c r="L107">
        <f ca="1"/>
        <v>0</v>
      </c>
      <c r="R107">
        <f ca="1"/>
        <v>1</v>
      </c>
      <c r="S107">
        <f ca="1"/>
        <v>1.236489891130879</v>
      </c>
      <c r="T107">
        <f ca="1"/>
        <v>0.31846510176165571</v>
      </c>
      <c r="U107">
        <f ca="1"/>
        <v>0.21486604214675997</v>
      </c>
      <c r="V107">
        <f ca="1"/>
        <v>-1.2765166545882003</v>
      </c>
      <c r="X107" s="37">
        <f t="array" aca="1" ref="X107:AB107" ca="1">MMULT(F107:INDEX(F107:P107,$G$16),TRANSPOSE($R$3:INDEX($R$3:$Y$7,$R$1,$G$16)))</f>
        <v>1</v>
      </c>
      <c r="Y107" s="37">
        <f ca="1"/>
        <v>1.236489891130879</v>
      </c>
      <c r="Z107" s="37">
        <f ca="1"/>
        <v>0.31846510176165571</v>
      </c>
      <c r="AA107" s="37">
        <f ca="1"/>
        <v>0.21486604214675997</v>
      </c>
      <c r="AB107" s="37">
        <f ca="1"/>
        <v>-1.2765166545882003</v>
      </c>
      <c r="AD107">
        <f ca="1"/>
        <v>0</v>
      </c>
      <c r="AE107">
        <f ca="1"/>
        <v>0</v>
      </c>
      <c r="AF107">
        <f ca="1"/>
        <v>0</v>
      </c>
      <c r="AG107">
        <f ca="1"/>
        <v>0</v>
      </c>
      <c r="AH107">
        <f ca="1"/>
        <v>0</v>
      </c>
    </row>
    <row r="108" spans="1:34" x14ac:dyDescent="0.4">
      <c r="A108" s="37">
        <v>88</v>
      </c>
      <c r="B108" s="36">
        <v>-2.3000000000000234</v>
      </c>
      <c r="D108" s="37">
        <f t="shared" ca="1" si="4"/>
        <v>-2.3000000000000234</v>
      </c>
      <c r="E108" s="37">
        <f t="shared" ca="1" si="5"/>
        <v>-2.3000000000000234</v>
      </c>
      <c r="F108">
        <f ca="1"/>
        <v>0</v>
      </c>
      <c r="G108">
        <f ca="1"/>
        <v>0</v>
      </c>
      <c r="H108">
        <f ca="1"/>
        <v>0.88333333333333719</v>
      </c>
      <c r="I108">
        <f ca="1"/>
        <v>0.11666666666666277</v>
      </c>
      <c r="J108">
        <f ca="1"/>
        <v>0</v>
      </c>
      <c r="K108">
        <f ca="1"/>
        <v>0</v>
      </c>
      <c r="L108">
        <f ca="1"/>
        <v>0</v>
      </c>
      <c r="R108">
        <f ca="1"/>
        <v>1</v>
      </c>
      <c r="S108">
        <f ca="1"/>
        <v>1.1828992567796786</v>
      </c>
      <c r="T108">
        <f ca="1"/>
        <v>0.33802745853512833</v>
      </c>
      <c r="U108">
        <f ca="1"/>
        <v>0.20425087483884991</v>
      </c>
      <c r="V108">
        <f ca="1"/>
        <v>-1.217910685239151</v>
      </c>
      <c r="X108" s="37">
        <f t="array" aca="1" ref="X108:AB108" ca="1">MMULT(F108:INDEX(F108:P108,$G$16),TRANSPOSE($R$3:INDEX($R$3:$Y$7,$R$1,$G$16)))</f>
        <v>1</v>
      </c>
      <c r="Y108" s="37">
        <f ca="1"/>
        <v>1.1828992567796786</v>
      </c>
      <c r="Z108" s="37">
        <f ca="1"/>
        <v>0.33802745853512833</v>
      </c>
      <c r="AA108" s="37">
        <f ca="1"/>
        <v>0.20425087483884991</v>
      </c>
      <c r="AB108" s="37">
        <f ca="1"/>
        <v>-1.217910685239151</v>
      </c>
      <c r="AD108">
        <f ca="1"/>
        <v>0</v>
      </c>
      <c r="AE108">
        <f ca="1"/>
        <v>0</v>
      </c>
      <c r="AF108">
        <f ca="1"/>
        <v>0</v>
      </c>
      <c r="AG108">
        <f ca="1"/>
        <v>0</v>
      </c>
      <c r="AH108">
        <f ca="1"/>
        <v>0</v>
      </c>
    </row>
    <row r="109" spans="1:34" x14ac:dyDescent="0.4">
      <c r="A109" s="37">
        <v>89</v>
      </c>
      <c r="B109" s="36">
        <v>-2.2000000000000233</v>
      </c>
      <c r="D109" s="37">
        <f t="shared" ca="1" si="4"/>
        <v>-2.2000000000000233</v>
      </c>
      <c r="E109" s="37">
        <f t="shared" ca="1" si="5"/>
        <v>-2.2000000000000233</v>
      </c>
      <c r="F109">
        <f ca="1"/>
        <v>0</v>
      </c>
      <c r="G109">
        <f ca="1"/>
        <v>0</v>
      </c>
      <c r="H109">
        <f ca="1"/>
        <v>0.86666666666667058</v>
      </c>
      <c r="I109">
        <f ca="1"/>
        <v>0.13333333333332945</v>
      </c>
      <c r="J109">
        <f ca="1"/>
        <v>0</v>
      </c>
      <c r="K109">
        <f ca="1"/>
        <v>0</v>
      </c>
      <c r="L109">
        <f ca="1"/>
        <v>0</v>
      </c>
      <c r="R109">
        <f ca="1"/>
        <v>1</v>
      </c>
      <c r="S109">
        <f ca="1"/>
        <v>1.1293086224284781</v>
      </c>
      <c r="T109">
        <f ca="1"/>
        <v>0.35758981530860101</v>
      </c>
      <c r="U109">
        <f ca="1"/>
        <v>0.19363570753093984</v>
      </c>
      <c r="V109">
        <f ca="1"/>
        <v>-1.159304715890102</v>
      </c>
      <c r="X109" s="37">
        <f t="array" aca="1" ref="X109:AB109" ca="1">MMULT(F109:INDEX(F109:P109,$G$16),TRANSPOSE($R$3:INDEX($R$3:$Y$7,$R$1,$G$16)))</f>
        <v>1</v>
      </c>
      <c r="Y109" s="37">
        <f ca="1"/>
        <v>1.1293086224284781</v>
      </c>
      <c r="Z109" s="37">
        <f ca="1"/>
        <v>0.35758981530860101</v>
      </c>
      <c r="AA109" s="37">
        <f ca="1"/>
        <v>0.19363570753093984</v>
      </c>
      <c r="AB109" s="37">
        <f ca="1"/>
        <v>-1.159304715890102</v>
      </c>
      <c r="AD109">
        <f ca="1"/>
        <v>0</v>
      </c>
      <c r="AE109">
        <f ca="1"/>
        <v>0</v>
      </c>
      <c r="AF109">
        <f ca="1"/>
        <v>0</v>
      </c>
      <c r="AG109">
        <f ca="1"/>
        <v>0</v>
      </c>
      <c r="AH109">
        <f ca="1"/>
        <v>0</v>
      </c>
    </row>
    <row r="110" spans="1:34" x14ac:dyDescent="0.4">
      <c r="A110" s="37">
        <v>90</v>
      </c>
      <c r="B110" s="36">
        <v>-2.1000000000000232</v>
      </c>
      <c r="D110" s="37">
        <f t="shared" ca="1" si="4"/>
        <v>-2.1000000000000232</v>
      </c>
      <c r="E110" s="37">
        <f t="shared" ca="1" si="5"/>
        <v>-2.1000000000000232</v>
      </c>
      <c r="F110">
        <f ca="1"/>
        <v>0</v>
      </c>
      <c r="G110">
        <f ca="1"/>
        <v>0</v>
      </c>
      <c r="H110">
        <f ca="1"/>
        <v>0.85000000000000386</v>
      </c>
      <c r="I110">
        <f ca="1"/>
        <v>0.14999999999999614</v>
      </c>
      <c r="J110">
        <f ca="1"/>
        <v>0</v>
      </c>
      <c r="K110">
        <f ca="1"/>
        <v>0</v>
      </c>
      <c r="L110">
        <f ca="1"/>
        <v>0</v>
      </c>
      <c r="R110">
        <f ca="1"/>
        <v>1</v>
      </c>
      <c r="S110">
        <f ca="1"/>
        <v>1.0757179880772778</v>
      </c>
      <c r="T110">
        <f ca="1"/>
        <v>0.37715217208207363</v>
      </c>
      <c r="U110">
        <f ca="1"/>
        <v>0.18302054022302977</v>
      </c>
      <c r="V110">
        <f ca="1"/>
        <v>-1.1006987465410525</v>
      </c>
      <c r="X110" s="37">
        <f t="array" aca="1" ref="X110:AB110" ca="1">MMULT(F110:INDEX(F110:P110,$G$16),TRANSPOSE($R$3:INDEX($R$3:$Y$7,$R$1,$G$16)))</f>
        <v>1</v>
      </c>
      <c r="Y110" s="37">
        <f ca="1"/>
        <v>1.0757179880772778</v>
      </c>
      <c r="Z110" s="37">
        <f ca="1"/>
        <v>0.37715217208207363</v>
      </c>
      <c r="AA110" s="37">
        <f ca="1"/>
        <v>0.18302054022302977</v>
      </c>
      <c r="AB110" s="37">
        <f ca="1"/>
        <v>-1.1006987465410525</v>
      </c>
      <c r="AD110">
        <f ca="1"/>
        <v>0</v>
      </c>
      <c r="AE110">
        <f ca="1"/>
        <v>0</v>
      </c>
      <c r="AF110">
        <f ca="1"/>
        <v>0</v>
      </c>
      <c r="AG110">
        <f ca="1"/>
        <v>0</v>
      </c>
      <c r="AH110">
        <f ca="1"/>
        <v>0</v>
      </c>
    </row>
    <row r="111" spans="1:34" x14ac:dyDescent="0.4">
      <c r="A111" s="37">
        <v>91</v>
      </c>
      <c r="B111" s="36">
        <v>-2.0000000000000231</v>
      </c>
      <c r="D111" s="37">
        <f t="shared" ca="1" si="4"/>
        <v>-2.0000000000000231</v>
      </c>
      <c r="E111" s="37">
        <f t="shared" ca="1" si="5"/>
        <v>-2.0000000000000231</v>
      </c>
      <c r="F111">
        <f ca="1"/>
        <v>0</v>
      </c>
      <c r="G111">
        <f ca="1"/>
        <v>0</v>
      </c>
      <c r="H111">
        <f ca="1"/>
        <v>0.83333333333333715</v>
      </c>
      <c r="I111">
        <f ca="1"/>
        <v>0.16666666666666283</v>
      </c>
      <c r="J111">
        <f ca="1"/>
        <v>0</v>
      </c>
      <c r="K111">
        <f ca="1"/>
        <v>0</v>
      </c>
      <c r="L111">
        <f ca="1"/>
        <v>0</v>
      </c>
      <c r="R111">
        <f ca="1"/>
        <v>1</v>
      </c>
      <c r="S111">
        <f ca="1"/>
        <v>1.0221273537260771</v>
      </c>
      <c r="T111">
        <f ca="1"/>
        <v>0.39671452885554637</v>
      </c>
      <c r="U111">
        <f ca="1"/>
        <v>0.17240537291511965</v>
      </c>
      <c r="V111">
        <f ca="1"/>
        <v>-1.0420927771920032</v>
      </c>
      <c r="X111" s="37">
        <f t="array" aca="1" ref="X111:AB111" ca="1">MMULT(F111:INDEX(F111:P111,$G$16),TRANSPOSE($R$3:INDEX($R$3:$Y$7,$R$1,$G$16)))</f>
        <v>1</v>
      </c>
      <c r="Y111" s="37">
        <f ca="1"/>
        <v>1.0221273537260771</v>
      </c>
      <c r="Z111" s="37">
        <f ca="1"/>
        <v>0.39671452885554637</v>
      </c>
      <c r="AA111" s="37">
        <f ca="1"/>
        <v>0.17240537291511965</v>
      </c>
      <c r="AB111" s="37">
        <f ca="1"/>
        <v>-1.0420927771920032</v>
      </c>
      <c r="AD111">
        <f ca="1"/>
        <v>0</v>
      </c>
      <c r="AE111">
        <f ca="1"/>
        <v>0</v>
      </c>
      <c r="AF111">
        <f ca="1"/>
        <v>0</v>
      </c>
      <c r="AG111">
        <f ca="1"/>
        <v>0</v>
      </c>
      <c r="AH111">
        <f ca="1"/>
        <v>0</v>
      </c>
    </row>
    <row r="112" spans="1:34" x14ac:dyDescent="0.4">
      <c r="A112" s="37">
        <v>92</v>
      </c>
      <c r="B112" s="36">
        <v>-1.900000000000023</v>
      </c>
      <c r="D112" s="37">
        <f t="shared" ca="1" si="4"/>
        <v>-1.900000000000023</v>
      </c>
      <c r="E112" s="37">
        <f t="shared" ca="1" si="5"/>
        <v>-1.900000000000023</v>
      </c>
      <c r="F112">
        <f ca="1"/>
        <v>0</v>
      </c>
      <c r="G112">
        <f ca="1"/>
        <v>0</v>
      </c>
      <c r="H112">
        <f ca="1"/>
        <v>0.81666666666667054</v>
      </c>
      <c r="I112">
        <f ca="1"/>
        <v>0.18333333333332949</v>
      </c>
      <c r="J112">
        <f ca="1"/>
        <v>0</v>
      </c>
      <c r="K112">
        <f ca="1"/>
        <v>0</v>
      </c>
      <c r="L112">
        <f ca="1"/>
        <v>0</v>
      </c>
      <c r="R112">
        <f ca="1"/>
        <v>1</v>
      </c>
      <c r="S112">
        <f ca="1"/>
        <v>0.96853671937487706</v>
      </c>
      <c r="T112">
        <f ca="1"/>
        <v>0.41627688562901899</v>
      </c>
      <c r="U112">
        <f ca="1"/>
        <v>0.16179020560720958</v>
      </c>
      <c r="V112">
        <f ca="1"/>
        <v>-0.98348680784295428</v>
      </c>
      <c r="X112" s="37">
        <f t="array" aca="1" ref="X112:AB112" ca="1">MMULT(F112:INDEX(F112:P112,$G$16),TRANSPOSE($R$3:INDEX($R$3:$Y$7,$R$1,$G$16)))</f>
        <v>1</v>
      </c>
      <c r="Y112" s="37">
        <f ca="1"/>
        <v>0.96853671937487706</v>
      </c>
      <c r="Z112" s="37">
        <f ca="1"/>
        <v>0.41627688562901899</v>
      </c>
      <c r="AA112" s="37">
        <f ca="1"/>
        <v>0.16179020560720958</v>
      </c>
      <c r="AB112" s="37">
        <f ca="1"/>
        <v>-0.98348680784295428</v>
      </c>
      <c r="AD112">
        <f ca="1"/>
        <v>0</v>
      </c>
      <c r="AE112">
        <f ca="1"/>
        <v>0</v>
      </c>
      <c r="AF112">
        <f ca="1"/>
        <v>0</v>
      </c>
      <c r="AG112">
        <f ca="1"/>
        <v>0</v>
      </c>
      <c r="AH112">
        <f ca="1"/>
        <v>0</v>
      </c>
    </row>
    <row r="113" spans="1:34" x14ac:dyDescent="0.4">
      <c r="A113" s="37">
        <v>93</v>
      </c>
      <c r="B113" s="36">
        <v>-1.8000000000000229</v>
      </c>
      <c r="D113" s="37">
        <f t="shared" ca="1" si="4"/>
        <v>-1.8000000000000229</v>
      </c>
      <c r="E113" s="37">
        <f t="shared" ca="1" si="5"/>
        <v>-1.8000000000000229</v>
      </c>
      <c r="F113">
        <f ca="1"/>
        <v>0</v>
      </c>
      <c r="G113">
        <f ca="1"/>
        <v>0</v>
      </c>
      <c r="H113">
        <f ca="1"/>
        <v>0.80000000000000382</v>
      </c>
      <c r="I113">
        <f ca="1"/>
        <v>0.19999999999999618</v>
      </c>
      <c r="J113">
        <f ca="1"/>
        <v>0</v>
      </c>
      <c r="K113">
        <f ca="1"/>
        <v>0</v>
      </c>
      <c r="L113">
        <f ca="1"/>
        <v>0</v>
      </c>
      <c r="R113">
        <f ca="1"/>
        <v>1</v>
      </c>
      <c r="S113">
        <f ca="1"/>
        <v>0.91494608502367636</v>
      </c>
      <c r="T113">
        <f ca="1"/>
        <v>0.43583924240249167</v>
      </c>
      <c r="U113">
        <f ca="1"/>
        <v>0.15117503829929951</v>
      </c>
      <c r="V113">
        <f ca="1"/>
        <v>-0.9248808384939049</v>
      </c>
      <c r="X113" s="37">
        <f t="array" aca="1" ref="X113:AB113" ca="1">MMULT(F113:INDEX(F113:P113,$G$16),TRANSPOSE($R$3:INDEX($R$3:$Y$7,$R$1,$G$16)))</f>
        <v>1</v>
      </c>
      <c r="Y113" s="37">
        <f ca="1"/>
        <v>0.91494608502367636</v>
      </c>
      <c r="Z113" s="37">
        <f ca="1"/>
        <v>0.43583924240249167</v>
      </c>
      <c r="AA113" s="37">
        <f ca="1"/>
        <v>0.15117503829929951</v>
      </c>
      <c r="AB113" s="37">
        <f ca="1"/>
        <v>-0.9248808384939049</v>
      </c>
      <c r="AD113">
        <f ca="1"/>
        <v>0</v>
      </c>
      <c r="AE113">
        <f ca="1"/>
        <v>0</v>
      </c>
      <c r="AF113">
        <f ca="1"/>
        <v>0</v>
      </c>
      <c r="AG113">
        <f ca="1"/>
        <v>0</v>
      </c>
      <c r="AH113">
        <f ca="1"/>
        <v>0</v>
      </c>
    </row>
    <row r="114" spans="1:34" x14ac:dyDescent="0.4">
      <c r="A114" s="37">
        <v>94</v>
      </c>
      <c r="B114" s="36">
        <v>-1.7000000000000228</v>
      </c>
      <c r="D114" s="37">
        <f t="shared" ca="1" si="4"/>
        <v>-1.7000000000000228</v>
      </c>
      <c r="E114" s="37">
        <f t="shared" ca="1" si="5"/>
        <v>-1.7000000000000228</v>
      </c>
      <c r="F114">
        <f ca="1"/>
        <v>0</v>
      </c>
      <c r="G114">
        <f ca="1"/>
        <v>0</v>
      </c>
      <c r="H114">
        <f ca="1"/>
        <v>0.7833333333333371</v>
      </c>
      <c r="I114">
        <f ca="1"/>
        <v>0.21666666666666287</v>
      </c>
      <c r="J114">
        <f ca="1"/>
        <v>0</v>
      </c>
      <c r="K114">
        <f ca="1"/>
        <v>0</v>
      </c>
      <c r="L114">
        <f ca="1"/>
        <v>0</v>
      </c>
      <c r="R114">
        <f ca="1"/>
        <v>1</v>
      </c>
      <c r="S114">
        <f ca="1"/>
        <v>0.8613554506724761</v>
      </c>
      <c r="T114">
        <f ca="1"/>
        <v>0.45540159917596434</v>
      </c>
      <c r="U114">
        <f ca="1"/>
        <v>0.14055987099138942</v>
      </c>
      <c r="V114">
        <f ca="1"/>
        <v>-0.86627486914485563</v>
      </c>
      <c r="X114" s="37">
        <f t="array" aca="1" ref="X114:AB114" ca="1">MMULT(F114:INDEX(F114:P114,$G$16),TRANSPOSE($R$3:INDEX($R$3:$Y$7,$R$1,$G$16)))</f>
        <v>1</v>
      </c>
      <c r="Y114" s="37">
        <f ca="1"/>
        <v>0.8613554506724761</v>
      </c>
      <c r="Z114" s="37">
        <f ca="1"/>
        <v>0.45540159917596434</v>
      </c>
      <c r="AA114" s="37">
        <f ca="1"/>
        <v>0.14055987099138942</v>
      </c>
      <c r="AB114" s="37">
        <f ca="1"/>
        <v>-0.86627486914485563</v>
      </c>
      <c r="AD114">
        <f ca="1"/>
        <v>0</v>
      </c>
      <c r="AE114">
        <f ca="1"/>
        <v>0</v>
      </c>
      <c r="AF114">
        <f ca="1"/>
        <v>0</v>
      </c>
      <c r="AG114">
        <f ca="1"/>
        <v>0</v>
      </c>
      <c r="AH114">
        <f ca="1"/>
        <v>0</v>
      </c>
    </row>
    <row r="115" spans="1:34" x14ac:dyDescent="0.4">
      <c r="A115" s="37">
        <v>95</v>
      </c>
      <c r="B115" s="36">
        <v>-1.6000000000000227</v>
      </c>
      <c r="D115" s="37">
        <f t="shared" ca="1" si="4"/>
        <v>-1.6000000000000227</v>
      </c>
      <c r="E115" s="37">
        <f t="shared" ca="1" si="5"/>
        <v>-1.6000000000000227</v>
      </c>
      <c r="F115">
        <f ca="1"/>
        <v>0</v>
      </c>
      <c r="G115">
        <f ca="1"/>
        <v>0</v>
      </c>
      <c r="H115">
        <f ca="1"/>
        <v>0.76666666666667049</v>
      </c>
      <c r="I115">
        <f ca="1"/>
        <v>0.23333333333332953</v>
      </c>
      <c r="J115">
        <f ca="1"/>
        <v>0</v>
      </c>
      <c r="K115">
        <f ca="1"/>
        <v>0</v>
      </c>
      <c r="L115">
        <f ca="1"/>
        <v>0</v>
      </c>
      <c r="R115">
        <f ca="1"/>
        <v>1</v>
      </c>
      <c r="S115">
        <f ca="1"/>
        <v>0.80776481632127561</v>
      </c>
      <c r="T115">
        <f ca="1"/>
        <v>0.47496395594943691</v>
      </c>
      <c r="U115">
        <f ca="1"/>
        <v>0.12994470368347938</v>
      </c>
      <c r="V115">
        <f ca="1"/>
        <v>-0.80766889979580658</v>
      </c>
      <c r="X115" s="37">
        <f t="array" aca="1" ref="X115:AB115" ca="1">MMULT(F115:INDEX(F115:P115,$G$16),TRANSPOSE($R$3:INDEX($R$3:$Y$7,$R$1,$G$16)))</f>
        <v>1</v>
      </c>
      <c r="Y115" s="37">
        <f ca="1"/>
        <v>0.80776481632127561</v>
      </c>
      <c r="Z115" s="37">
        <f ca="1"/>
        <v>0.47496395594943691</v>
      </c>
      <c r="AA115" s="37">
        <f ca="1"/>
        <v>0.12994470368347938</v>
      </c>
      <c r="AB115" s="37">
        <f ca="1"/>
        <v>-0.80766889979580658</v>
      </c>
      <c r="AD115">
        <f ca="1"/>
        <v>0</v>
      </c>
      <c r="AE115">
        <f ca="1"/>
        <v>0</v>
      </c>
      <c r="AF115">
        <f ca="1"/>
        <v>0</v>
      </c>
      <c r="AG115">
        <f ca="1"/>
        <v>0</v>
      </c>
      <c r="AH115">
        <f ca="1"/>
        <v>0</v>
      </c>
    </row>
    <row r="116" spans="1:34" x14ac:dyDescent="0.4">
      <c r="A116" s="37">
        <v>96</v>
      </c>
      <c r="B116" s="36">
        <v>-1.5000000000000226</v>
      </c>
      <c r="D116" s="37">
        <f t="shared" ca="1" si="4"/>
        <v>-1.5000000000000226</v>
      </c>
      <c r="E116" s="37">
        <f t="shared" ca="1" si="5"/>
        <v>-1.5000000000000226</v>
      </c>
      <c r="F116">
        <f ca="1"/>
        <v>0</v>
      </c>
      <c r="G116">
        <f ca="1"/>
        <v>0</v>
      </c>
      <c r="H116">
        <f ca="1"/>
        <v>0.75000000000000377</v>
      </c>
      <c r="I116">
        <f ca="1"/>
        <v>0.24999999999999623</v>
      </c>
      <c r="J116">
        <f ca="1"/>
        <v>0</v>
      </c>
      <c r="K116">
        <f ca="1"/>
        <v>0</v>
      </c>
      <c r="L116">
        <f ca="1"/>
        <v>0</v>
      </c>
      <c r="R116">
        <f ca="1"/>
        <v>1</v>
      </c>
      <c r="S116">
        <f ca="1"/>
        <v>0.75417418197007535</v>
      </c>
      <c r="T116">
        <f ca="1"/>
        <v>0.49452631272290959</v>
      </c>
      <c r="U116">
        <f ca="1"/>
        <v>0.11932953637556927</v>
      </c>
      <c r="V116">
        <f ca="1"/>
        <v>-0.74906293044675731</v>
      </c>
      <c r="X116" s="37">
        <f t="array" aca="1" ref="X116:AB116" ca="1">MMULT(F116:INDEX(F116:P116,$G$16),TRANSPOSE($R$3:INDEX($R$3:$Y$7,$R$1,$G$16)))</f>
        <v>1</v>
      </c>
      <c r="Y116" s="37">
        <f ca="1"/>
        <v>0.75417418197007535</v>
      </c>
      <c r="Z116" s="37">
        <f ca="1"/>
        <v>0.49452631272290959</v>
      </c>
      <c r="AA116" s="37">
        <f ca="1"/>
        <v>0.11932953637556927</v>
      </c>
      <c r="AB116" s="37">
        <f ca="1"/>
        <v>-0.74906293044675731</v>
      </c>
      <c r="AD116">
        <f ca="1"/>
        <v>0</v>
      </c>
      <c r="AE116">
        <f ca="1"/>
        <v>0</v>
      </c>
      <c r="AF116">
        <f ca="1"/>
        <v>0</v>
      </c>
      <c r="AG116">
        <f ca="1"/>
        <v>0</v>
      </c>
      <c r="AH116">
        <f ca="1"/>
        <v>0</v>
      </c>
    </row>
    <row r="117" spans="1:34" x14ac:dyDescent="0.4">
      <c r="A117" s="37">
        <v>97</v>
      </c>
      <c r="B117" s="36">
        <v>-1.4000000000000226</v>
      </c>
      <c r="D117" s="37">
        <f t="shared" ca="1" si="4"/>
        <v>-1.4000000000000226</v>
      </c>
      <c r="E117" s="37">
        <f t="shared" ca="1" si="5"/>
        <v>-1.4000000000000226</v>
      </c>
      <c r="F117">
        <f ca="1"/>
        <v>0</v>
      </c>
      <c r="G117">
        <f ca="1"/>
        <v>0</v>
      </c>
      <c r="H117">
        <f ca="1"/>
        <v>0.73333333333333717</v>
      </c>
      <c r="I117">
        <f ca="1"/>
        <v>0.26666666666666289</v>
      </c>
      <c r="J117">
        <f ca="1"/>
        <v>0</v>
      </c>
      <c r="K117">
        <f ca="1"/>
        <v>0</v>
      </c>
      <c r="L117">
        <f ca="1"/>
        <v>0</v>
      </c>
      <c r="R117">
        <f ca="1"/>
        <v>1</v>
      </c>
      <c r="S117">
        <f ca="1"/>
        <v>0.70058354761887487</v>
      </c>
      <c r="T117">
        <f ca="1"/>
        <v>0.51408866949638221</v>
      </c>
      <c r="U117">
        <f ca="1"/>
        <v>0.10871436906765922</v>
      </c>
      <c r="V117">
        <f ca="1"/>
        <v>-0.69045696109770827</v>
      </c>
      <c r="X117" s="37">
        <f t="array" aca="1" ref="X117:AB117" ca="1">MMULT(F117:INDEX(F117:P117,$G$16),TRANSPOSE($R$3:INDEX($R$3:$Y$7,$R$1,$G$16)))</f>
        <v>1</v>
      </c>
      <c r="Y117" s="37">
        <f ca="1"/>
        <v>0.70058354761887487</v>
      </c>
      <c r="Z117" s="37">
        <f ca="1"/>
        <v>0.51408866949638221</v>
      </c>
      <c r="AA117" s="37">
        <f ca="1"/>
        <v>0.10871436906765922</v>
      </c>
      <c r="AB117" s="37">
        <f ca="1"/>
        <v>-0.69045696109770827</v>
      </c>
      <c r="AD117">
        <f ca="1"/>
        <v>0</v>
      </c>
      <c r="AE117">
        <f ca="1"/>
        <v>0</v>
      </c>
      <c r="AF117">
        <f ca="1"/>
        <v>0</v>
      </c>
      <c r="AG117">
        <f ca="1"/>
        <v>0</v>
      </c>
      <c r="AH117">
        <f ca="1"/>
        <v>0</v>
      </c>
    </row>
    <row r="118" spans="1:34" x14ac:dyDescent="0.4">
      <c r="A118" s="37">
        <v>98</v>
      </c>
      <c r="B118" s="36">
        <v>-1.3000000000000225</v>
      </c>
      <c r="D118" s="37">
        <f t="shared" ca="1" si="4"/>
        <v>-1.3000000000000225</v>
      </c>
      <c r="E118" s="37">
        <f t="shared" ca="1" si="5"/>
        <v>-1.3000000000000225</v>
      </c>
      <c r="F118">
        <f ca="1"/>
        <v>0</v>
      </c>
      <c r="G118">
        <f ca="1"/>
        <v>0</v>
      </c>
      <c r="H118">
        <f ca="1"/>
        <v>0.71666666666667034</v>
      </c>
      <c r="I118">
        <f ca="1"/>
        <v>0.28333333333332961</v>
      </c>
      <c r="J118">
        <f ca="1"/>
        <v>0</v>
      </c>
      <c r="K118">
        <f ca="1"/>
        <v>0</v>
      </c>
      <c r="L118">
        <f ca="1"/>
        <v>0</v>
      </c>
      <c r="R118">
        <f ca="1"/>
        <v>1</v>
      </c>
      <c r="S118">
        <f ca="1"/>
        <v>0.64699291326767427</v>
      </c>
      <c r="T118">
        <f ca="1"/>
        <v>0.53365102626985494</v>
      </c>
      <c r="U118">
        <f ca="1"/>
        <v>9.8099201759749094E-2</v>
      </c>
      <c r="V118">
        <f ca="1"/>
        <v>-0.63185099174865877</v>
      </c>
      <c r="X118" s="37">
        <f t="array" aca="1" ref="X118:AB118" ca="1">MMULT(F118:INDEX(F118:P118,$G$16),TRANSPOSE($R$3:INDEX($R$3:$Y$7,$R$1,$G$16)))</f>
        <v>1</v>
      </c>
      <c r="Y118" s="37">
        <f ca="1"/>
        <v>0.64699291326767427</v>
      </c>
      <c r="Z118" s="37">
        <f ca="1"/>
        <v>0.53365102626985494</v>
      </c>
      <c r="AA118" s="37">
        <f ca="1"/>
        <v>9.8099201759749094E-2</v>
      </c>
      <c r="AB118" s="37">
        <f ca="1"/>
        <v>-0.63185099174865877</v>
      </c>
      <c r="AD118">
        <f ca="1"/>
        <v>0</v>
      </c>
      <c r="AE118">
        <f ca="1"/>
        <v>0</v>
      </c>
      <c r="AF118">
        <f ca="1"/>
        <v>0</v>
      </c>
      <c r="AG118">
        <f ca="1"/>
        <v>0</v>
      </c>
      <c r="AH118">
        <f ca="1"/>
        <v>0</v>
      </c>
    </row>
    <row r="119" spans="1:34" x14ac:dyDescent="0.4">
      <c r="A119" s="37">
        <v>99</v>
      </c>
      <c r="B119" s="36">
        <v>-1.2000000000000224</v>
      </c>
      <c r="D119" s="37">
        <f t="shared" ca="1" si="4"/>
        <v>-1.2000000000000224</v>
      </c>
      <c r="E119" s="37">
        <f t="shared" ca="1" si="5"/>
        <v>-1.2000000000000224</v>
      </c>
      <c r="F119">
        <f ca="1"/>
        <v>0</v>
      </c>
      <c r="G119">
        <f ca="1"/>
        <v>0</v>
      </c>
      <c r="H119">
        <f ca="1"/>
        <v>0.70000000000000373</v>
      </c>
      <c r="I119">
        <f ca="1"/>
        <v>0.29999999999999627</v>
      </c>
      <c r="J119">
        <f ca="1"/>
        <v>0</v>
      </c>
      <c r="K119">
        <f ca="1"/>
        <v>0</v>
      </c>
      <c r="L119">
        <f ca="1"/>
        <v>0</v>
      </c>
      <c r="R119">
        <f ca="1"/>
        <v>1</v>
      </c>
      <c r="S119">
        <f ca="1"/>
        <v>0.59340227891647412</v>
      </c>
      <c r="T119">
        <f ca="1"/>
        <v>0.55321338304332757</v>
      </c>
      <c r="U119">
        <f ca="1"/>
        <v>8.7484034451839027E-2</v>
      </c>
      <c r="V119">
        <f ca="1"/>
        <v>-0.57324502239960973</v>
      </c>
      <c r="X119" s="37">
        <f t="array" aca="1" ref="X119:AB119" ca="1">MMULT(F119:INDEX(F119:P119,$G$16),TRANSPOSE($R$3:INDEX($R$3:$Y$7,$R$1,$G$16)))</f>
        <v>1</v>
      </c>
      <c r="Y119" s="37">
        <f ca="1"/>
        <v>0.59340227891647412</v>
      </c>
      <c r="Z119" s="37">
        <f ca="1"/>
        <v>0.55321338304332757</v>
      </c>
      <c r="AA119" s="37">
        <f ca="1"/>
        <v>8.7484034451839027E-2</v>
      </c>
      <c r="AB119" s="37">
        <f ca="1"/>
        <v>-0.57324502239960973</v>
      </c>
      <c r="AD119">
        <f ca="1"/>
        <v>0</v>
      </c>
      <c r="AE119">
        <f ca="1"/>
        <v>0</v>
      </c>
      <c r="AF119">
        <f ca="1"/>
        <v>0</v>
      </c>
      <c r="AG119">
        <f ca="1"/>
        <v>0</v>
      </c>
      <c r="AH119">
        <f ca="1"/>
        <v>0</v>
      </c>
    </row>
    <row r="120" spans="1:34" x14ac:dyDescent="0.4">
      <c r="A120" s="37">
        <v>100</v>
      </c>
      <c r="B120" s="36">
        <v>-1.1000000000000223</v>
      </c>
      <c r="D120" s="37">
        <f t="shared" ca="1" si="4"/>
        <v>-1.1000000000000223</v>
      </c>
      <c r="E120" s="37">
        <f t="shared" ca="1" si="5"/>
        <v>-1.1000000000000223</v>
      </c>
      <c r="F120">
        <f ca="1"/>
        <v>0</v>
      </c>
      <c r="G120">
        <f ca="1"/>
        <v>0</v>
      </c>
      <c r="H120">
        <f ca="1"/>
        <v>0.68333333333333712</v>
      </c>
      <c r="I120">
        <f ca="1"/>
        <v>0.31666666666666293</v>
      </c>
      <c r="J120">
        <f ca="1"/>
        <v>0</v>
      </c>
      <c r="K120">
        <f ca="1"/>
        <v>0</v>
      </c>
      <c r="L120">
        <f ca="1"/>
        <v>0</v>
      </c>
      <c r="R120">
        <f ca="1"/>
        <v>1</v>
      </c>
      <c r="S120">
        <f ca="1"/>
        <v>0.53981164456527375</v>
      </c>
      <c r="T120">
        <f ca="1"/>
        <v>0.57277573981680019</v>
      </c>
      <c r="U120">
        <f ca="1"/>
        <v>7.6868867143928959E-2</v>
      </c>
      <c r="V120">
        <f ca="1"/>
        <v>-0.51463905305056046</v>
      </c>
      <c r="X120" s="37">
        <f t="array" aca="1" ref="X120:AB120" ca="1">MMULT(F120:INDEX(F120:P120,$G$16),TRANSPOSE($R$3:INDEX($R$3:$Y$7,$R$1,$G$16)))</f>
        <v>1</v>
      </c>
      <c r="Y120" s="37">
        <f ca="1"/>
        <v>0.53981164456527375</v>
      </c>
      <c r="Z120" s="37">
        <f ca="1"/>
        <v>0.57277573981680019</v>
      </c>
      <c r="AA120" s="37">
        <f ca="1"/>
        <v>7.6868867143928959E-2</v>
      </c>
      <c r="AB120" s="37">
        <f ca="1"/>
        <v>-0.51463905305056046</v>
      </c>
      <c r="AD120">
        <f ca="1"/>
        <v>0</v>
      </c>
      <c r="AE120">
        <f ca="1"/>
        <v>0</v>
      </c>
      <c r="AF120">
        <f ca="1"/>
        <v>0</v>
      </c>
      <c r="AG120">
        <f ca="1"/>
        <v>0</v>
      </c>
      <c r="AH120">
        <f ca="1"/>
        <v>0</v>
      </c>
    </row>
    <row r="121" spans="1:34" x14ac:dyDescent="0.4">
      <c r="A121" s="37">
        <v>101</v>
      </c>
      <c r="B121" s="36">
        <v>-1.0000000000000222</v>
      </c>
      <c r="D121" s="37">
        <f t="shared" ca="1" si="4"/>
        <v>-1.0000000000000222</v>
      </c>
      <c r="E121" s="37">
        <f t="shared" ca="1" si="5"/>
        <v>-1.0000000000000222</v>
      </c>
      <c r="F121">
        <f ca="1"/>
        <v>0</v>
      </c>
      <c r="G121">
        <f ca="1"/>
        <v>0</v>
      </c>
      <c r="H121">
        <f ca="1"/>
        <v>0.66666666666667029</v>
      </c>
      <c r="I121">
        <f ca="1"/>
        <v>0.33333333333332965</v>
      </c>
      <c r="J121">
        <f ca="1"/>
        <v>0</v>
      </c>
      <c r="K121">
        <f ca="1"/>
        <v>0</v>
      </c>
      <c r="L121">
        <f ca="1"/>
        <v>0</v>
      </c>
      <c r="R121">
        <f ca="1"/>
        <v>1</v>
      </c>
      <c r="S121">
        <f ca="1"/>
        <v>0.48622101021407316</v>
      </c>
      <c r="T121">
        <f ca="1"/>
        <v>0.59233809659027292</v>
      </c>
      <c r="U121">
        <f ca="1"/>
        <v>6.6253699836018851E-2</v>
      </c>
      <c r="V121">
        <f ca="1"/>
        <v>-0.45603308370151108</v>
      </c>
      <c r="X121" s="37">
        <f t="array" aca="1" ref="X121:AB121" ca="1">MMULT(F121:INDEX(F121:P121,$G$16),TRANSPOSE($R$3:INDEX($R$3:$Y$7,$R$1,$G$16)))</f>
        <v>1</v>
      </c>
      <c r="Y121" s="37">
        <f ca="1"/>
        <v>0.48622101021407316</v>
      </c>
      <c r="Z121" s="37">
        <f ca="1"/>
        <v>0.59233809659027292</v>
      </c>
      <c r="AA121" s="37">
        <f ca="1"/>
        <v>6.6253699836018851E-2</v>
      </c>
      <c r="AB121" s="37">
        <f ca="1"/>
        <v>-0.45603308370151108</v>
      </c>
      <c r="AD121">
        <f ca="1"/>
        <v>0</v>
      </c>
      <c r="AE121">
        <f ca="1"/>
        <v>0</v>
      </c>
      <c r="AF121">
        <f ca="1"/>
        <v>0</v>
      </c>
      <c r="AG121">
        <f ca="1"/>
        <v>0</v>
      </c>
      <c r="AH121">
        <f ca="1"/>
        <v>0</v>
      </c>
    </row>
    <row r="122" spans="1:34" x14ac:dyDescent="0.4">
      <c r="A122" s="37">
        <v>102</v>
      </c>
      <c r="B122" s="36">
        <v>-0.90000000000002223</v>
      </c>
      <c r="D122" s="37">
        <f t="shared" ca="1" si="4"/>
        <v>-0.90000000000002223</v>
      </c>
      <c r="E122" s="37">
        <f t="shared" ca="1" si="5"/>
        <v>-0.90000000000002223</v>
      </c>
      <c r="F122">
        <f ca="1"/>
        <v>0</v>
      </c>
      <c r="G122">
        <f ca="1"/>
        <v>0</v>
      </c>
      <c r="H122">
        <f ca="1"/>
        <v>0.65000000000000369</v>
      </c>
      <c r="I122">
        <f ca="1"/>
        <v>0.34999999999999631</v>
      </c>
      <c r="J122">
        <f ca="1"/>
        <v>0</v>
      </c>
      <c r="K122">
        <f ca="1"/>
        <v>0</v>
      </c>
      <c r="L122">
        <f ca="1"/>
        <v>0</v>
      </c>
      <c r="R122">
        <f ca="1"/>
        <v>1</v>
      </c>
      <c r="S122">
        <f ca="1"/>
        <v>0.43263037586287278</v>
      </c>
      <c r="T122">
        <f ca="1"/>
        <v>0.61190045336374554</v>
      </c>
      <c r="U122">
        <f ca="1"/>
        <v>5.5638532528108797E-2</v>
      </c>
      <c r="V122">
        <f ca="1"/>
        <v>-0.39742711435246181</v>
      </c>
      <c r="X122" s="37">
        <f t="array" aca="1" ref="X122:AB122" ca="1">MMULT(F122:INDEX(F122:P122,$G$16),TRANSPOSE($R$3:INDEX($R$3:$Y$7,$R$1,$G$16)))</f>
        <v>1</v>
      </c>
      <c r="Y122" s="37">
        <f ca="1"/>
        <v>0.43263037586287278</v>
      </c>
      <c r="Z122" s="37">
        <f ca="1"/>
        <v>0.61190045336374554</v>
      </c>
      <c r="AA122" s="37">
        <f ca="1"/>
        <v>5.5638532528108797E-2</v>
      </c>
      <c r="AB122" s="37">
        <f ca="1"/>
        <v>-0.39742711435246181</v>
      </c>
      <c r="AD122">
        <f ca="1"/>
        <v>0</v>
      </c>
      <c r="AE122">
        <f ca="1"/>
        <v>0</v>
      </c>
      <c r="AF122">
        <f ca="1"/>
        <v>0</v>
      </c>
      <c r="AG122">
        <f ca="1"/>
        <v>0</v>
      </c>
      <c r="AH122">
        <f ca="1"/>
        <v>0</v>
      </c>
    </row>
    <row r="123" spans="1:34" x14ac:dyDescent="0.4">
      <c r="A123" s="37">
        <v>103</v>
      </c>
      <c r="B123" s="36">
        <v>-0.80000000000002225</v>
      </c>
      <c r="D123" s="37">
        <f t="shared" ca="1" si="4"/>
        <v>-0.80000000000002225</v>
      </c>
      <c r="E123" s="37">
        <f t="shared" ca="1" si="5"/>
        <v>-0.80000000000002225</v>
      </c>
      <c r="F123">
        <f ca="1"/>
        <v>0</v>
      </c>
      <c r="G123">
        <f ca="1"/>
        <v>0</v>
      </c>
      <c r="H123">
        <f ca="1"/>
        <v>0.63333333333333708</v>
      </c>
      <c r="I123">
        <f ca="1"/>
        <v>0.36666666666666298</v>
      </c>
      <c r="J123">
        <f ca="1"/>
        <v>0</v>
      </c>
      <c r="K123">
        <f ca="1"/>
        <v>0</v>
      </c>
      <c r="L123">
        <f ca="1"/>
        <v>0</v>
      </c>
      <c r="R123">
        <f ca="1"/>
        <v>1</v>
      </c>
      <c r="S123">
        <f ca="1"/>
        <v>0.37903974151167252</v>
      </c>
      <c r="T123">
        <f ca="1"/>
        <v>0.63146281013721817</v>
      </c>
      <c r="U123">
        <f ca="1"/>
        <v>4.5023365220198758E-2</v>
      </c>
      <c r="V123">
        <f ca="1"/>
        <v>-0.33882114500341287</v>
      </c>
      <c r="X123" s="37">
        <f t="array" aca="1" ref="X123:AB123" ca="1">MMULT(F123:INDEX(F123:P123,$G$16),TRANSPOSE($R$3:INDEX($R$3:$Y$7,$R$1,$G$16)))</f>
        <v>1</v>
      </c>
      <c r="Y123" s="37">
        <f ca="1"/>
        <v>0.37903974151167252</v>
      </c>
      <c r="Z123" s="37">
        <f ca="1"/>
        <v>0.63146281013721817</v>
      </c>
      <c r="AA123" s="37">
        <f ca="1"/>
        <v>4.5023365220198758E-2</v>
      </c>
      <c r="AB123" s="37">
        <f ca="1"/>
        <v>-0.33882114500341287</v>
      </c>
      <c r="AD123">
        <f ca="1"/>
        <v>0</v>
      </c>
      <c r="AE123">
        <f ca="1"/>
        <v>0</v>
      </c>
      <c r="AF123">
        <f ca="1"/>
        <v>0</v>
      </c>
      <c r="AG123">
        <f ca="1"/>
        <v>0</v>
      </c>
      <c r="AH123">
        <f ca="1"/>
        <v>0</v>
      </c>
    </row>
    <row r="124" spans="1:34" x14ac:dyDescent="0.4">
      <c r="A124" s="37">
        <v>104</v>
      </c>
      <c r="B124" s="36">
        <v>-0.70000000000002227</v>
      </c>
      <c r="D124" s="37">
        <f t="shared" ca="1" si="4"/>
        <v>-0.70000000000002227</v>
      </c>
      <c r="E124" s="37">
        <f t="shared" ca="1" si="5"/>
        <v>-0.70000000000002227</v>
      </c>
      <c r="F124">
        <f ca="1"/>
        <v>0</v>
      </c>
      <c r="G124">
        <f ca="1"/>
        <v>0</v>
      </c>
      <c r="H124">
        <f ca="1"/>
        <v>0.61666666666667047</v>
      </c>
      <c r="I124">
        <f ca="1"/>
        <v>0.38333333333332958</v>
      </c>
      <c r="J124">
        <f ca="1"/>
        <v>0</v>
      </c>
      <c r="K124">
        <f ca="1"/>
        <v>0</v>
      </c>
      <c r="L124">
        <f ca="1"/>
        <v>0</v>
      </c>
      <c r="R124">
        <f ca="1"/>
        <v>1</v>
      </c>
      <c r="S124">
        <f ca="1"/>
        <v>0.32544910716047237</v>
      </c>
      <c r="T124">
        <f ca="1"/>
        <v>0.65102516691069079</v>
      </c>
      <c r="U124">
        <f ca="1"/>
        <v>3.4408197912288691E-2</v>
      </c>
      <c r="V124">
        <f ca="1"/>
        <v>-0.28021517565436393</v>
      </c>
      <c r="X124" s="37">
        <f t="array" aca="1" ref="X124:AB124" ca="1">MMULT(F124:INDEX(F124:P124,$G$16),TRANSPOSE($R$3:INDEX($R$3:$Y$7,$R$1,$G$16)))</f>
        <v>1</v>
      </c>
      <c r="Y124" s="37">
        <f ca="1"/>
        <v>0.32544910716047237</v>
      </c>
      <c r="Z124" s="37">
        <f ca="1"/>
        <v>0.65102516691069079</v>
      </c>
      <c r="AA124" s="37">
        <f ca="1"/>
        <v>3.4408197912288691E-2</v>
      </c>
      <c r="AB124" s="37">
        <f ca="1"/>
        <v>-0.28021517565436393</v>
      </c>
      <c r="AD124">
        <f ca="1"/>
        <v>0</v>
      </c>
      <c r="AE124">
        <f ca="1"/>
        <v>0</v>
      </c>
      <c r="AF124">
        <f ca="1"/>
        <v>0</v>
      </c>
      <c r="AG124">
        <f ca="1"/>
        <v>0</v>
      </c>
      <c r="AH124">
        <f ca="1"/>
        <v>0</v>
      </c>
    </row>
    <row r="125" spans="1:34" x14ac:dyDescent="0.4">
      <c r="A125" s="37">
        <v>105</v>
      </c>
      <c r="B125" s="36">
        <v>-0.60000000000002229</v>
      </c>
      <c r="D125" s="37">
        <f t="shared" ca="1" si="4"/>
        <v>-0.60000000000002229</v>
      </c>
      <c r="E125" s="37">
        <f t="shared" ca="1" si="5"/>
        <v>-0.60000000000002229</v>
      </c>
      <c r="F125">
        <f ca="1"/>
        <v>0</v>
      </c>
      <c r="G125">
        <f ca="1"/>
        <v>0</v>
      </c>
      <c r="H125">
        <f ca="1"/>
        <v>0.60000000000000364</v>
      </c>
      <c r="I125">
        <f ca="1"/>
        <v>0.3999999999999963</v>
      </c>
      <c r="J125">
        <f ca="1"/>
        <v>0</v>
      </c>
      <c r="K125">
        <f ca="1"/>
        <v>0</v>
      </c>
      <c r="L125">
        <f ca="1"/>
        <v>0</v>
      </c>
      <c r="R125">
        <f ca="1"/>
        <v>1</v>
      </c>
      <c r="S125">
        <f ca="1"/>
        <v>0.27185847280927167</v>
      </c>
      <c r="T125">
        <f ca="1"/>
        <v>0.67058752368416341</v>
      </c>
      <c r="U125">
        <f ca="1"/>
        <v>2.3793030604378568E-2</v>
      </c>
      <c r="V125">
        <f ca="1"/>
        <v>-0.22160920630531444</v>
      </c>
      <c r="X125" s="37">
        <f t="array" aca="1" ref="X125:AB125" ca="1">MMULT(F125:INDEX(F125:P125,$G$16),TRANSPOSE($R$3:INDEX($R$3:$Y$7,$R$1,$G$16)))</f>
        <v>1</v>
      </c>
      <c r="Y125" s="37">
        <f ca="1"/>
        <v>0.27185847280927167</v>
      </c>
      <c r="Z125" s="37">
        <f ca="1"/>
        <v>0.67058752368416341</v>
      </c>
      <c r="AA125" s="37">
        <f ca="1"/>
        <v>2.3793030604378568E-2</v>
      </c>
      <c r="AB125" s="37">
        <f ca="1"/>
        <v>-0.22160920630531444</v>
      </c>
      <c r="AD125">
        <f ca="1"/>
        <v>0</v>
      </c>
      <c r="AE125">
        <f ca="1"/>
        <v>0</v>
      </c>
      <c r="AF125">
        <f ca="1"/>
        <v>0</v>
      </c>
      <c r="AG125">
        <f ca="1"/>
        <v>0</v>
      </c>
      <c r="AH125">
        <f ca="1"/>
        <v>0</v>
      </c>
    </row>
    <row r="126" spans="1:34" x14ac:dyDescent="0.4">
      <c r="A126" s="37">
        <v>106</v>
      </c>
      <c r="B126" s="36">
        <v>-0.50000000000002232</v>
      </c>
      <c r="D126" s="37">
        <f t="shared" ca="1" si="4"/>
        <v>-0.50000000000002232</v>
      </c>
      <c r="E126" s="37">
        <f t="shared" ca="1" si="5"/>
        <v>-0.50000000000002232</v>
      </c>
      <c r="F126">
        <f ca="1"/>
        <v>0</v>
      </c>
      <c r="G126">
        <f ca="1"/>
        <v>0</v>
      </c>
      <c r="H126">
        <f ca="1"/>
        <v>0.58333333333333703</v>
      </c>
      <c r="I126">
        <f ca="1"/>
        <v>0.41666666666666297</v>
      </c>
      <c r="J126">
        <f ca="1"/>
        <v>0</v>
      </c>
      <c r="K126">
        <f ca="1"/>
        <v>0</v>
      </c>
      <c r="L126">
        <f ca="1"/>
        <v>0</v>
      </c>
      <c r="R126">
        <f ca="1"/>
        <v>1</v>
      </c>
      <c r="S126">
        <f ca="1"/>
        <v>0.21826783845807141</v>
      </c>
      <c r="T126">
        <f ca="1"/>
        <v>0.69014988045763603</v>
      </c>
      <c r="U126">
        <f ca="1"/>
        <v>1.3177863296468528E-2</v>
      </c>
      <c r="V126">
        <f ca="1"/>
        <v>-0.16300323695626528</v>
      </c>
      <c r="X126" s="37">
        <f t="array" aca="1" ref="X126:AB126" ca="1">MMULT(F126:INDEX(F126:P126,$G$16),TRANSPOSE($R$3:INDEX($R$3:$Y$7,$R$1,$G$16)))</f>
        <v>1</v>
      </c>
      <c r="Y126" s="37">
        <f ca="1"/>
        <v>0.21826783845807141</v>
      </c>
      <c r="Z126" s="37">
        <f ca="1"/>
        <v>0.69014988045763603</v>
      </c>
      <c r="AA126" s="37">
        <f ca="1"/>
        <v>1.3177863296468528E-2</v>
      </c>
      <c r="AB126" s="37">
        <f ca="1"/>
        <v>-0.16300323695626528</v>
      </c>
      <c r="AD126">
        <f ca="1"/>
        <v>0</v>
      </c>
      <c r="AE126">
        <f ca="1"/>
        <v>0</v>
      </c>
      <c r="AF126">
        <f ca="1"/>
        <v>0</v>
      </c>
      <c r="AG126">
        <f ca="1"/>
        <v>0</v>
      </c>
      <c r="AH126">
        <f ca="1"/>
        <v>0</v>
      </c>
    </row>
    <row r="127" spans="1:34" x14ac:dyDescent="0.4">
      <c r="A127" s="37">
        <v>107</v>
      </c>
      <c r="B127" s="36">
        <v>-0.40000000000002234</v>
      </c>
      <c r="D127" s="37">
        <f t="shared" ca="1" si="4"/>
        <v>-0.40000000000002234</v>
      </c>
      <c r="E127" s="37">
        <f t="shared" ca="1" si="5"/>
        <v>-0.40000000000002234</v>
      </c>
      <c r="F127">
        <f ca="1"/>
        <v>0</v>
      </c>
      <c r="G127">
        <f ca="1"/>
        <v>0</v>
      </c>
      <c r="H127">
        <f ca="1"/>
        <v>0.56666666666667043</v>
      </c>
      <c r="I127">
        <f ca="1"/>
        <v>0.43333333333332957</v>
      </c>
      <c r="J127">
        <f ca="1"/>
        <v>0</v>
      </c>
      <c r="K127">
        <f ca="1"/>
        <v>0</v>
      </c>
      <c r="L127">
        <f ca="1"/>
        <v>0</v>
      </c>
      <c r="R127">
        <f ca="1"/>
        <v>1</v>
      </c>
      <c r="S127">
        <f ca="1"/>
        <v>0.16467720410687126</v>
      </c>
      <c r="T127">
        <f ca="1"/>
        <v>0.70971223723110866</v>
      </c>
      <c r="U127">
        <f ca="1"/>
        <v>2.5626959885584888E-3</v>
      </c>
      <c r="V127">
        <f ca="1"/>
        <v>-0.10439726760721635</v>
      </c>
      <c r="X127" s="37">
        <f t="array" aca="1" ref="X127:AB127" ca="1">MMULT(F127:INDEX(F127:P127,$G$16),TRANSPOSE($R$3:INDEX($R$3:$Y$7,$R$1,$G$16)))</f>
        <v>1</v>
      </c>
      <c r="Y127" s="37">
        <f ca="1"/>
        <v>0.16467720410687126</v>
      </c>
      <c r="Z127" s="37">
        <f ca="1"/>
        <v>0.70971223723110866</v>
      </c>
      <c r="AA127" s="37">
        <f ca="1"/>
        <v>2.5626959885584888E-3</v>
      </c>
      <c r="AB127" s="37">
        <f ca="1"/>
        <v>-0.10439726760721635</v>
      </c>
      <c r="AD127">
        <f ca="1"/>
        <v>0</v>
      </c>
      <c r="AE127">
        <f ca="1"/>
        <v>0</v>
      </c>
      <c r="AF127">
        <f ca="1"/>
        <v>0</v>
      </c>
      <c r="AG127">
        <f ca="1"/>
        <v>0</v>
      </c>
      <c r="AH127">
        <f ca="1"/>
        <v>0</v>
      </c>
    </row>
    <row r="128" spans="1:34" x14ac:dyDescent="0.4">
      <c r="A128" s="37">
        <v>108</v>
      </c>
      <c r="B128" s="36">
        <v>-0.30000000000002236</v>
      </c>
      <c r="D128" s="37">
        <f t="shared" ca="1" si="4"/>
        <v>-0.30000000000002236</v>
      </c>
      <c r="E128" s="37">
        <f t="shared" ca="1" si="5"/>
        <v>-0.30000000000002236</v>
      </c>
      <c r="F128">
        <f ca="1"/>
        <v>0</v>
      </c>
      <c r="G128">
        <f ca="1"/>
        <v>0</v>
      </c>
      <c r="H128">
        <f ca="1"/>
        <v>0.55000000000000382</v>
      </c>
      <c r="I128">
        <f ca="1"/>
        <v>0.44999999999999624</v>
      </c>
      <c r="J128">
        <f ca="1"/>
        <v>0</v>
      </c>
      <c r="K128">
        <f ca="1"/>
        <v>0</v>
      </c>
      <c r="L128">
        <f ca="1"/>
        <v>0</v>
      </c>
      <c r="R128">
        <f ca="1"/>
        <v>1</v>
      </c>
      <c r="S128">
        <f ca="1"/>
        <v>0.11108656975567099</v>
      </c>
      <c r="T128">
        <f ca="1"/>
        <v>0.72927459400458128</v>
      </c>
      <c r="U128">
        <f ca="1"/>
        <v>-8.0524713193515507E-3</v>
      </c>
      <c r="V128">
        <f ca="1"/>
        <v>-4.5791298258167412E-2</v>
      </c>
      <c r="X128" s="37">
        <f t="array" aca="1" ref="X128:AB128" ca="1">MMULT(F128:INDEX(F128:P128,$G$16),TRANSPOSE($R$3:INDEX($R$3:$Y$7,$R$1,$G$16)))</f>
        <v>1</v>
      </c>
      <c r="Y128" s="37">
        <f ca="1"/>
        <v>0.11108656975567099</v>
      </c>
      <c r="Z128" s="37">
        <f ca="1"/>
        <v>0.72927459400458128</v>
      </c>
      <c r="AA128" s="37">
        <f ca="1"/>
        <v>-8.0524713193515507E-3</v>
      </c>
      <c r="AB128" s="37">
        <f ca="1"/>
        <v>-4.5791298258167412E-2</v>
      </c>
      <c r="AD128">
        <f ca="1"/>
        <v>0</v>
      </c>
      <c r="AE128">
        <f ca="1"/>
        <v>0</v>
      </c>
      <c r="AF128">
        <f ca="1"/>
        <v>0</v>
      </c>
      <c r="AG128">
        <f ca="1"/>
        <v>0</v>
      </c>
      <c r="AH128">
        <f ca="1"/>
        <v>0</v>
      </c>
    </row>
    <row r="129" spans="1:34" x14ac:dyDescent="0.4">
      <c r="A129" s="37">
        <v>109</v>
      </c>
      <c r="B129" s="36">
        <v>-0.20000000000002235</v>
      </c>
      <c r="D129" s="37">
        <f t="shared" ca="1" si="4"/>
        <v>-0.20000000000002235</v>
      </c>
      <c r="E129" s="37">
        <f t="shared" ca="1" si="5"/>
        <v>-0.20000000000002235</v>
      </c>
      <c r="F129">
        <f ca="1"/>
        <v>0</v>
      </c>
      <c r="G129">
        <f ca="1"/>
        <v>0</v>
      </c>
      <c r="H129">
        <f ca="1"/>
        <v>0.53333333333333699</v>
      </c>
      <c r="I129">
        <f ca="1"/>
        <v>0.46666666666666295</v>
      </c>
      <c r="J129">
        <f ca="1"/>
        <v>0</v>
      </c>
      <c r="K129">
        <f ca="1"/>
        <v>0</v>
      </c>
      <c r="L129">
        <f ca="1"/>
        <v>0</v>
      </c>
      <c r="R129">
        <f ca="1"/>
        <v>1</v>
      </c>
      <c r="S129">
        <f ca="1"/>
        <v>5.7495935404470178E-2</v>
      </c>
      <c r="T129">
        <f ca="1"/>
        <v>0.7488369507780539</v>
      </c>
      <c r="U129">
        <f ca="1"/>
        <v>-1.8667638627261701E-2</v>
      </c>
      <c r="V129">
        <f ca="1"/>
        <v>1.281467109088219E-2</v>
      </c>
      <c r="X129" s="37">
        <f t="array" aca="1" ref="X129:AB129" ca="1">MMULT(F129:INDEX(F129:P129,$G$16),TRANSPOSE($R$3:INDEX($R$3:$Y$7,$R$1,$G$16)))</f>
        <v>1</v>
      </c>
      <c r="Y129" s="37">
        <f ca="1"/>
        <v>5.7495935404470178E-2</v>
      </c>
      <c r="Z129" s="37">
        <f ca="1"/>
        <v>0.7488369507780539</v>
      </c>
      <c r="AA129" s="37">
        <f ca="1"/>
        <v>-1.8667638627261701E-2</v>
      </c>
      <c r="AB129" s="37">
        <f ca="1"/>
        <v>1.281467109088219E-2</v>
      </c>
      <c r="AD129">
        <f ca="1"/>
        <v>0</v>
      </c>
      <c r="AE129">
        <f ca="1"/>
        <v>0</v>
      </c>
      <c r="AF129">
        <f ca="1"/>
        <v>0</v>
      </c>
      <c r="AG129">
        <f ca="1"/>
        <v>0</v>
      </c>
      <c r="AH129">
        <f ca="1"/>
        <v>0</v>
      </c>
    </row>
    <row r="130" spans="1:34" x14ac:dyDescent="0.4">
      <c r="A130" s="37">
        <v>110</v>
      </c>
      <c r="B130" s="36">
        <v>-0.10000000000002235</v>
      </c>
      <c r="D130" s="37">
        <f t="shared" ca="1" si="4"/>
        <v>-0.10000000000002235</v>
      </c>
      <c r="E130" s="37">
        <f t="shared" ca="1" si="5"/>
        <v>-0.10000000000002235</v>
      </c>
      <c r="F130">
        <f ca="1"/>
        <v>0</v>
      </c>
      <c r="G130">
        <f ca="1"/>
        <v>0</v>
      </c>
      <c r="H130">
        <f ca="1"/>
        <v>0.51666666666667038</v>
      </c>
      <c r="I130">
        <f ca="1"/>
        <v>0.48333333333332962</v>
      </c>
      <c r="J130">
        <f ca="1"/>
        <v>0</v>
      </c>
      <c r="K130">
        <f ca="1"/>
        <v>0</v>
      </c>
      <c r="L130">
        <f ca="1"/>
        <v>0</v>
      </c>
      <c r="R130">
        <f ca="1"/>
        <v>1</v>
      </c>
      <c r="S130">
        <f ca="1"/>
        <v>3.9053010532699162E-3</v>
      </c>
      <c r="T130">
        <f ca="1"/>
        <v>0.76839930755152652</v>
      </c>
      <c r="U130">
        <f ca="1"/>
        <v>-2.9282805935171768E-2</v>
      </c>
      <c r="V130">
        <f ca="1"/>
        <v>7.1420640439931238E-2</v>
      </c>
      <c r="X130" s="37">
        <f t="array" aca="1" ref="X130:AB130" ca="1">MMULT(F130:INDEX(F130:P130,$G$16),TRANSPOSE($R$3:INDEX($R$3:$Y$7,$R$1,$G$16)))</f>
        <v>1</v>
      </c>
      <c r="Y130" s="37">
        <f ca="1"/>
        <v>3.9053010532699162E-3</v>
      </c>
      <c r="Z130" s="37">
        <f ca="1"/>
        <v>0.76839930755152652</v>
      </c>
      <c r="AA130" s="37">
        <f ca="1"/>
        <v>-2.9282805935171768E-2</v>
      </c>
      <c r="AB130" s="37">
        <f ca="1"/>
        <v>7.1420640439931238E-2</v>
      </c>
      <c r="AD130">
        <f ca="1"/>
        <v>0</v>
      </c>
      <c r="AE130">
        <f ca="1"/>
        <v>0</v>
      </c>
      <c r="AF130">
        <f ca="1"/>
        <v>0</v>
      </c>
      <c r="AG130">
        <f ca="1"/>
        <v>0</v>
      </c>
      <c r="AH130">
        <f ca="1"/>
        <v>0</v>
      </c>
    </row>
    <row r="131" spans="1:34" x14ac:dyDescent="0.4">
      <c r="A131" s="37">
        <v>111</v>
      </c>
      <c r="B131" s="36">
        <v>-2.2343238370581275E-14</v>
      </c>
      <c r="D131" s="37">
        <f t="shared" ca="1" si="4"/>
        <v>-2.2343238370581275E-14</v>
      </c>
      <c r="E131" s="37">
        <f t="shared" ca="1" si="5"/>
        <v>-2.2343238370581275E-14</v>
      </c>
      <c r="F131">
        <f ca="1"/>
        <v>0</v>
      </c>
      <c r="G131">
        <f ca="1"/>
        <v>0</v>
      </c>
      <c r="H131">
        <f ca="1"/>
        <v>0.50000000000000377</v>
      </c>
      <c r="I131">
        <f ca="1"/>
        <v>0.49999999999999628</v>
      </c>
      <c r="J131">
        <f ca="1"/>
        <v>0</v>
      </c>
      <c r="K131">
        <f ca="1"/>
        <v>0</v>
      </c>
      <c r="L131">
        <f ca="1"/>
        <v>0</v>
      </c>
      <c r="R131">
        <f ca="1"/>
        <v>1</v>
      </c>
      <c r="S131">
        <f ca="1"/>
        <v>-4.9685333297930234E-2</v>
      </c>
      <c r="T131">
        <f ca="1"/>
        <v>0.78796166432499926</v>
      </c>
      <c r="U131">
        <f ca="1"/>
        <v>-3.9897973243081808E-2</v>
      </c>
      <c r="V131">
        <f ca="1"/>
        <v>0.1300266097889804</v>
      </c>
      <c r="X131" s="37">
        <f t="array" aca="1" ref="X131:AB131" ca="1">MMULT(F131:INDEX(F131:P131,$G$16),TRANSPOSE($R$3:INDEX($R$3:$Y$7,$R$1,$G$16)))</f>
        <v>1</v>
      </c>
      <c r="Y131" s="37">
        <f ca="1"/>
        <v>-4.9685333297930234E-2</v>
      </c>
      <c r="Z131" s="37">
        <f ca="1"/>
        <v>0.78796166432499926</v>
      </c>
      <c r="AA131" s="37">
        <f ca="1"/>
        <v>-3.9897973243081808E-2</v>
      </c>
      <c r="AB131" s="37">
        <f ca="1"/>
        <v>0.1300266097889804</v>
      </c>
      <c r="AD131">
        <f ca="1"/>
        <v>0</v>
      </c>
      <c r="AE131">
        <f ca="1"/>
        <v>0</v>
      </c>
      <c r="AF131">
        <f ca="1"/>
        <v>0</v>
      </c>
      <c r="AG131">
        <f ca="1"/>
        <v>0</v>
      </c>
      <c r="AH131">
        <f ca="1"/>
        <v>0</v>
      </c>
    </row>
    <row r="132" spans="1:34" x14ac:dyDescent="0.4">
      <c r="A132" s="37">
        <v>112</v>
      </c>
      <c r="B132" s="36">
        <v>9.9999999999977662E-2</v>
      </c>
      <c r="D132" s="37">
        <f t="shared" ca="1" si="4"/>
        <v>9.9999999999977662E-2</v>
      </c>
      <c r="E132" s="37">
        <f t="shared" ca="1" si="5"/>
        <v>9.9999999999977662E-2</v>
      </c>
      <c r="F132">
        <f ca="1"/>
        <v>0</v>
      </c>
      <c r="G132">
        <f ca="1"/>
        <v>0</v>
      </c>
      <c r="H132">
        <f ca="1"/>
        <v>0.48333333333333706</v>
      </c>
      <c r="I132">
        <f ca="1"/>
        <v>0.51666666666666294</v>
      </c>
      <c r="J132">
        <f ca="1"/>
        <v>0</v>
      </c>
      <c r="K132">
        <f ca="1"/>
        <v>0</v>
      </c>
      <c r="L132">
        <f ca="1"/>
        <v>0</v>
      </c>
      <c r="R132">
        <f ca="1"/>
        <v>1</v>
      </c>
      <c r="S132">
        <f ca="1"/>
        <v>-0.10327596764913072</v>
      </c>
      <c r="T132">
        <f ca="1"/>
        <v>0.80752402109847188</v>
      </c>
      <c r="U132">
        <f ca="1"/>
        <v>-5.0513140550991903E-2</v>
      </c>
      <c r="V132">
        <f ca="1"/>
        <v>0.18863257913802967</v>
      </c>
      <c r="X132" s="37">
        <f t="array" aca="1" ref="X132:AB132" ca="1">MMULT(F132:INDEX(F132:P132,$G$16),TRANSPOSE($R$3:INDEX($R$3:$Y$7,$R$1,$G$16)))</f>
        <v>1</v>
      </c>
      <c r="Y132" s="37">
        <f ca="1"/>
        <v>-0.10327596764913072</v>
      </c>
      <c r="Z132" s="37">
        <f ca="1"/>
        <v>0.80752402109847188</v>
      </c>
      <c r="AA132" s="37">
        <f ca="1"/>
        <v>-5.0513140550991903E-2</v>
      </c>
      <c r="AB132" s="37">
        <f ca="1"/>
        <v>0.18863257913802967</v>
      </c>
      <c r="AD132">
        <f ca="1"/>
        <v>0</v>
      </c>
      <c r="AE132">
        <f ca="1"/>
        <v>0</v>
      </c>
      <c r="AF132">
        <f ca="1"/>
        <v>0</v>
      </c>
      <c r="AG132">
        <f ca="1"/>
        <v>0</v>
      </c>
      <c r="AH132">
        <f ca="1"/>
        <v>0</v>
      </c>
    </row>
    <row r="133" spans="1:34" x14ac:dyDescent="0.4">
      <c r="A133" s="37">
        <v>113</v>
      </c>
      <c r="B133" s="36">
        <v>0.19999999999997767</v>
      </c>
      <c r="D133" s="37">
        <f t="shared" ca="1" si="4"/>
        <v>0.19999999999997767</v>
      </c>
      <c r="E133" s="37">
        <f t="shared" ca="1" si="5"/>
        <v>0.19999999999997767</v>
      </c>
      <c r="F133">
        <f ca="1"/>
        <v>0</v>
      </c>
      <c r="G133">
        <f ca="1"/>
        <v>0</v>
      </c>
      <c r="H133">
        <f ca="1"/>
        <v>0.46666666666667045</v>
      </c>
      <c r="I133">
        <f ca="1"/>
        <v>0.53333333333332955</v>
      </c>
      <c r="J133">
        <f ca="1"/>
        <v>0</v>
      </c>
      <c r="K133">
        <f ca="1"/>
        <v>0</v>
      </c>
      <c r="L133">
        <f ca="1"/>
        <v>0</v>
      </c>
      <c r="R133">
        <f ca="1"/>
        <v>1</v>
      </c>
      <c r="S133">
        <f ca="1"/>
        <v>-0.15686660200033087</v>
      </c>
      <c r="T133">
        <f ca="1"/>
        <v>0.82708637787194439</v>
      </c>
      <c r="U133">
        <f ca="1"/>
        <v>-6.1128307858901915E-2</v>
      </c>
      <c r="V133">
        <f ca="1"/>
        <v>0.2472385484870786</v>
      </c>
      <c r="X133" s="37">
        <f t="array" aca="1" ref="X133:AB133" ca="1">MMULT(F133:INDEX(F133:P133,$G$16),TRANSPOSE($R$3:INDEX($R$3:$Y$7,$R$1,$G$16)))</f>
        <v>1</v>
      </c>
      <c r="Y133" s="37">
        <f ca="1"/>
        <v>-0.15686660200033087</v>
      </c>
      <c r="Z133" s="37">
        <f ca="1"/>
        <v>0.82708637787194439</v>
      </c>
      <c r="AA133" s="37">
        <f ca="1"/>
        <v>-6.1128307858901915E-2</v>
      </c>
      <c r="AB133" s="37">
        <f ca="1"/>
        <v>0.2472385484870786</v>
      </c>
      <c r="AD133">
        <f ca="1"/>
        <v>0</v>
      </c>
      <c r="AE133">
        <f ca="1"/>
        <v>0</v>
      </c>
      <c r="AF133">
        <f ca="1"/>
        <v>0</v>
      </c>
      <c r="AG133">
        <f ca="1"/>
        <v>0</v>
      </c>
      <c r="AH133">
        <f ca="1"/>
        <v>0</v>
      </c>
    </row>
    <row r="134" spans="1:34" x14ac:dyDescent="0.4">
      <c r="A134" s="37">
        <v>114</v>
      </c>
      <c r="B134" s="36">
        <v>0.29999999999997767</v>
      </c>
      <c r="D134" s="37">
        <f t="shared" ca="1" si="4"/>
        <v>0.29999999999997767</v>
      </c>
      <c r="E134" s="37">
        <f t="shared" ca="1" si="5"/>
        <v>0.29999999999997767</v>
      </c>
      <c r="F134">
        <f ca="1"/>
        <v>0</v>
      </c>
      <c r="G134">
        <f ca="1"/>
        <v>0</v>
      </c>
      <c r="H134">
        <f ca="1"/>
        <v>0.45000000000000373</v>
      </c>
      <c r="I134">
        <f ca="1"/>
        <v>0.54999999999999627</v>
      </c>
      <c r="J134">
        <f ca="1"/>
        <v>0</v>
      </c>
      <c r="K134">
        <f ca="1"/>
        <v>0</v>
      </c>
      <c r="L134">
        <f ca="1"/>
        <v>0</v>
      </c>
      <c r="R134">
        <f ca="1"/>
        <v>1</v>
      </c>
      <c r="S134">
        <f ca="1"/>
        <v>-0.21045723635153146</v>
      </c>
      <c r="T134">
        <f ca="1"/>
        <v>0.84664873464541712</v>
      </c>
      <c r="U134">
        <f ca="1"/>
        <v>-7.1743475166812037E-2</v>
      </c>
      <c r="V134">
        <f ca="1"/>
        <v>0.30584451783612787</v>
      </c>
      <c r="X134" s="37">
        <f t="array" aca="1" ref="X134:AB134" ca="1">MMULT(F134:INDEX(F134:P134,$G$16),TRANSPOSE($R$3:INDEX($R$3:$Y$7,$R$1,$G$16)))</f>
        <v>1</v>
      </c>
      <c r="Y134" s="37">
        <f ca="1"/>
        <v>-0.21045723635153146</v>
      </c>
      <c r="Z134" s="37">
        <f ca="1"/>
        <v>0.84664873464541712</v>
      </c>
      <c r="AA134" s="37">
        <f ca="1"/>
        <v>-7.1743475166812037E-2</v>
      </c>
      <c r="AB134" s="37">
        <f ca="1"/>
        <v>0.30584451783612787</v>
      </c>
      <c r="AD134">
        <f ca="1"/>
        <v>0</v>
      </c>
      <c r="AE134">
        <f ca="1"/>
        <v>0</v>
      </c>
      <c r="AF134">
        <f ca="1"/>
        <v>0</v>
      </c>
      <c r="AG134">
        <f ca="1"/>
        <v>0</v>
      </c>
      <c r="AH134">
        <f ca="1"/>
        <v>0</v>
      </c>
    </row>
    <row r="135" spans="1:34" x14ac:dyDescent="0.4">
      <c r="A135" s="37">
        <v>115</v>
      </c>
      <c r="B135" s="36">
        <v>0.39999999999997771</v>
      </c>
      <c r="D135" s="37">
        <f t="shared" ca="1" si="4"/>
        <v>0.39999999999997771</v>
      </c>
      <c r="E135" s="37">
        <f t="shared" ca="1" si="5"/>
        <v>0.39999999999997771</v>
      </c>
      <c r="F135">
        <f ca="1"/>
        <v>0</v>
      </c>
      <c r="G135">
        <f ca="1"/>
        <v>0</v>
      </c>
      <c r="H135">
        <f ca="1"/>
        <v>0.43333333333333701</v>
      </c>
      <c r="I135">
        <f ca="1"/>
        <v>0.56666666666666299</v>
      </c>
      <c r="J135">
        <f ca="1"/>
        <v>0</v>
      </c>
      <c r="K135">
        <f ca="1"/>
        <v>0</v>
      </c>
      <c r="L135">
        <f ca="1"/>
        <v>0</v>
      </c>
      <c r="R135">
        <f ca="1"/>
        <v>1</v>
      </c>
      <c r="S135">
        <f ca="1"/>
        <v>-0.26404787070273206</v>
      </c>
      <c r="T135">
        <f ca="1"/>
        <v>0.86621109141888986</v>
      </c>
      <c r="U135">
        <f ca="1"/>
        <v>-8.2358642474722146E-2</v>
      </c>
      <c r="V135">
        <f ca="1"/>
        <v>0.36445048718517714</v>
      </c>
      <c r="X135" s="37">
        <f t="array" aca="1" ref="X135:AB135" ca="1">MMULT(F135:INDEX(F135:P135,$G$16),TRANSPOSE($R$3:INDEX($R$3:$Y$7,$R$1,$G$16)))</f>
        <v>1</v>
      </c>
      <c r="Y135" s="37">
        <f ca="1"/>
        <v>-0.26404787070273206</v>
      </c>
      <c r="Z135" s="37">
        <f ca="1"/>
        <v>0.86621109141888986</v>
      </c>
      <c r="AA135" s="37">
        <f ca="1"/>
        <v>-8.2358642474722146E-2</v>
      </c>
      <c r="AB135" s="37">
        <f ca="1"/>
        <v>0.36445048718517714</v>
      </c>
      <c r="AD135">
        <f ca="1"/>
        <v>0</v>
      </c>
      <c r="AE135">
        <f ca="1"/>
        <v>0</v>
      </c>
      <c r="AF135">
        <f ca="1"/>
        <v>0</v>
      </c>
      <c r="AG135">
        <f ca="1"/>
        <v>0</v>
      </c>
      <c r="AH135">
        <f ca="1"/>
        <v>0</v>
      </c>
    </row>
    <row r="136" spans="1:34" x14ac:dyDescent="0.4">
      <c r="A136" s="37">
        <v>116</v>
      </c>
      <c r="B136" s="36">
        <v>0.49999999999997768</v>
      </c>
      <c r="D136" s="37">
        <f t="shared" ca="1" si="4"/>
        <v>0.49999999999997768</v>
      </c>
      <c r="E136" s="37">
        <f t="shared" ca="1" si="5"/>
        <v>0.49999999999997768</v>
      </c>
      <c r="F136">
        <f ca="1"/>
        <v>0</v>
      </c>
      <c r="G136">
        <f ca="1"/>
        <v>0</v>
      </c>
      <c r="H136">
        <f ca="1"/>
        <v>0.4166666666666704</v>
      </c>
      <c r="I136">
        <f ca="1"/>
        <v>0.5833333333333296</v>
      </c>
      <c r="J136">
        <f ca="1"/>
        <v>0</v>
      </c>
      <c r="K136">
        <f ca="1"/>
        <v>0</v>
      </c>
      <c r="L136">
        <f ca="1"/>
        <v>0</v>
      </c>
      <c r="R136">
        <f ca="1"/>
        <v>1</v>
      </c>
      <c r="S136">
        <f ca="1"/>
        <v>-0.31763850505393221</v>
      </c>
      <c r="T136">
        <f ca="1"/>
        <v>0.88577344819236237</v>
      </c>
      <c r="U136">
        <f ca="1"/>
        <v>-9.2973809782632172E-2</v>
      </c>
      <c r="V136">
        <f ca="1"/>
        <v>0.42305645653422619</v>
      </c>
      <c r="X136" s="37">
        <f t="array" aca="1" ref="X136:AB136" ca="1">MMULT(F136:INDEX(F136:P136,$G$16),TRANSPOSE($R$3:INDEX($R$3:$Y$7,$R$1,$G$16)))</f>
        <v>1</v>
      </c>
      <c r="Y136" s="37">
        <f ca="1"/>
        <v>-0.31763850505393221</v>
      </c>
      <c r="Z136" s="37">
        <f ca="1"/>
        <v>0.88577344819236237</v>
      </c>
      <c r="AA136" s="37">
        <f ca="1"/>
        <v>-9.2973809782632172E-2</v>
      </c>
      <c r="AB136" s="37">
        <f ca="1"/>
        <v>0.42305645653422619</v>
      </c>
      <c r="AD136">
        <f ca="1"/>
        <v>0</v>
      </c>
      <c r="AE136">
        <f ca="1"/>
        <v>0</v>
      </c>
      <c r="AF136">
        <f ca="1"/>
        <v>0</v>
      </c>
      <c r="AG136">
        <f ca="1"/>
        <v>0</v>
      </c>
      <c r="AH136">
        <f ca="1"/>
        <v>0</v>
      </c>
    </row>
    <row r="137" spans="1:34" x14ac:dyDescent="0.4">
      <c r="A137" s="37">
        <v>117</v>
      </c>
      <c r="B137" s="36">
        <v>0.59999999999997766</v>
      </c>
      <c r="D137" s="37">
        <f t="shared" ca="1" si="4"/>
        <v>0.59999999999997766</v>
      </c>
      <c r="E137" s="37">
        <f t="shared" ca="1" si="5"/>
        <v>0.59999999999997766</v>
      </c>
      <c r="F137">
        <f ca="1"/>
        <v>0</v>
      </c>
      <c r="G137">
        <f ca="1"/>
        <v>0</v>
      </c>
      <c r="H137">
        <f ca="1"/>
        <v>0.4000000000000038</v>
      </c>
      <c r="I137">
        <f ca="1"/>
        <v>0.5999999999999962</v>
      </c>
      <c r="J137">
        <f ca="1"/>
        <v>0</v>
      </c>
      <c r="K137">
        <f ca="1"/>
        <v>0</v>
      </c>
      <c r="L137">
        <f ca="1"/>
        <v>0</v>
      </c>
      <c r="R137">
        <f ca="1"/>
        <v>1</v>
      </c>
      <c r="S137">
        <f ca="1"/>
        <v>-0.37122913940513236</v>
      </c>
      <c r="T137">
        <f ca="1"/>
        <v>0.90533580496583499</v>
      </c>
      <c r="U137">
        <f ca="1"/>
        <v>-0.1035889770905422</v>
      </c>
      <c r="V137">
        <f ca="1"/>
        <v>0.48166242588327512</v>
      </c>
      <c r="X137" s="37">
        <f t="array" aca="1" ref="X137:AB137" ca="1">MMULT(F137:INDEX(F137:P137,$G$16),TRANSPOSE($R$3:INDEX($R$3:$Y$7,$R$1,$G$16)))</f>
        <v>1</v>
      </c>
      <c r="Y137" s="37">
        <f ca="1"/>
        <v>-0.37122913940513236</v>
      </c>
      <c r="Z137" s="37">
        <f ca="1"/>
        <v>0.90533580496583499</v>
      </c>
      <c r="AA137" s="37">
        <f ca="1"/>
        <v>-0.1035889770905422</v>
      </c>
      <c r="AB137" s="37">
        <f ca="1"/>
        <v>0.48166242588327512</v>
      </c>
      <c r="AD137">
        <f ca="1"/>
        <v>0</v>
      </c>
      <c r="AE137">
        <f ca="1"/>
        <v>0</v>
      </c>
      <c r="AF137">
        <f ca="1"/>
        <v>0</v>
      </c>
      <c r="AG137">
        <f ca="1"/>
        <v>0</v>
      </c>
      <c r="AH137">
        <f ca="1"/>
        <v>0</v>
      </c>
    </row>
    <row r="138" spans="1:34" x14ac:dyDescent="0.4">
      <c r="A138" s="37">
        <v>118</v>
      </c>
      <c r="B138" s="36">
        <v>0.69999999999997764</v>
      </c>
      <c r="D138" s="37">
        <f t="shared" ca="1" si="4"/>
        <v>0.69999999999997764</v>
      </c>
      <c r="E138" s="37">
        <f t="shared" ca="1" si="5"/>
        <v>0.69999999999997764</v>
      </c>
      <c r="F138">
        <f ca="1"/>
        <v>0</v>
      </c>
      <c r="G138">
        <f ca="1"/>
        <v>0</v>
      </c>
      <c r="H138">
        <f ca="1"/>
        <v>0.38333333333333708</v>
      </c>
      <c r="I138">
        <f ca="1"/>
        <v>0.61666666666666292</v>
      </c>
      <c r="J138">
        <f ca="1"/>
        <v>0</v>
      </c>
      <c r="K138">
        <f ca="1"/>
        <v>0</v>
      </c>
      <c r="L138">
        <f ca="1"/>
        <v>0</v>
      </c>
      <c r="R138">
        <f ca="1"/>
        <v>1</v>
      </c>
      <c r="S138">
        <f ca="1"/>
        <v>-0.42481977375633284</v>
      </c>
      <c r="T138">
        <f ca="1"/>
        <v>0.92489816173930761</v>
      </c>
      <c r="U138">
        <f ca="1"/>
        <v>-0.11420414439845232</v>
      </c>
      <c r="V138">
        <f ca="1"/>
        <v>0.54026839523232451</v>
      </c>
      <c r="X138" s="37">
        <f t="array" aca="1" ref="X138:AB138" ca="1">MMULT(F138:INDEX(F138:P138,$G$16),TRANSPOSE($R$3:INDEX($R$3:$Y$7,$R$1,$G$16)))</f>
        <v>1</v>
      </c>
      <c r="Y138" s="37">
        <f ca="1"/>
        <v>-0.42481977375633284</v>
      </c>
      <c r="Z138" s="37">
        <f ca="1"/>
        <v>0.92489816173930761</v>
      </c>
      <c r="AA138" s="37">
        <f ca="1"/>
        <v>-0.11420414439845232</v>
      </c>
      <c r="AB138" s="37">
        <f ca="1"/>
        <v>0.54026839523232451</v>
      </c>
      <c r="AD138">
        <f ca="1"/>
        <v>0</v>
      </c>
      <c r="AE138">
        <f ca="1"/>
        <v>0</v>
      </c>
      <c r="AF138">
        <f ca="1"/>
        <v>0</v>
      </c>
      <c r="AG138">
        <f ca="1"/>
        <v>0</v>
      </c>
      <c r="AH138">
        <f ca="1"/>
        <v>0</v>
      </c>
    </row>
    <row r="139" spans="1:34" x14ac:dyDescent="0.4">
      <c r="A139" s="37">
        <v>119</v>
      </c>
      <c r="B139" s="36">
        <v>0.79999999999997762</v>
      </c>
      <c r="D139" s="37">
        <f t="shared" ca="1" si="4"/>
        <v>0.79999999999997762</v>
      </c>
      <c r="E139" s="37">
        <f t="shared" ca="1" si="5"/>
        <v>0.79999999999997762</v>
      </c>
      <c r="F139">
        <f ca="1"/>
        <v>0</v>
      </c>
      <c r="G139">
        <f ca="1"/>
        <v>0</v>
      </c>
      <c r="H139">
        <f ca="1"/>
        <v>0.36666666666667036</v>
      </c>
      <c r="I139">
        <f ca="1"/>
        <v>0.63333333333332964</v>
      </c>
      <c r="J139">
        <f ca="1"/>
        <v>0</v>
      </c>
      <c r="K139">
        <f ca="1"/>
        <v>0</v>
      </c>
      <c r="L139">
        <f ca="1"/>
        <v>0</v>
      </c>
      <c r="R139">
        <f ca="1"/>
        <v>1</v>
      </c>
      <c r="S139">
        <f ca="1"/>
        <v>-0.47841040810753344</v>
      </c>
      <c r="T139">
        <f ca="1"/>
        <v>0.94446051851278034</v>
      </c>
      <c r="U139">
        <f ca="1"/>
        <v>-0.1248193117063624</v>
      </c>
      <c r="V139">
        <f ca="1"/>
        <v>0.59887436458137377</v>
      </c>
      <c r="X139" s="37">
        <f t="array" aca="1" ref="X139:AB139" ca="1">MMULT(F139:INDEX(F139:P139,$G$16),TRANSPOSE($R$3:INDEX($R$3:$Y$7,$R$1,$G$16)))</f>
        <v>1</v>
      </c>
      <c r="Y139" s="37">
        <f ca="1"/>
        <v>-0.47841040810753344</v>
      </c>
      <c r="Z139" s="37">
        <f ca="1"/>
        <v>0.94446051851278034</v>
      </c>
      <c r="AA139" s="37">
        <f ca="1"/>
        <v>-0.1248193117063624</v>
      </c>
      <c r="AB139" s="37">
        <f ca="1"/>
        <v>0.59887436458137377</v>
      </c>
      <c r="AD139">
        <f ca="1"/>
        <v>0</v>
      </c>
      <c r="AE139">
        <f ca="1"/>
        <v>0</v>
      </c>
      <c r="AF139">
        <f ca="1"/>
        <v>0</v>
      </c>
      <c r="AG139">
        <f ca="1"/>
        <v>0</v>
      </c>
      <c r="AH139">
        <f ca="1"/>
        <v>0</v>
      </c>
    </row>
    <row r="140" spans="1:34" x14ac:dyDescent="0.4">
      <c r="A140" s="37">
        <v>120</v>
      </c>
      <c r="B140" s="36">
        <v>0.8999999999999776</v>
      </c>
      <c r="D140" s="37">
        <f t="shared" ca="1" si="4"/>
        <v>0.8999999999999776</v>
      </c>
      <c r="E140" s="37">
        <f t="shared" ca="1" si="5"/>
        <v>0.8999999999999776</v>
      </c>
      <c r="F140">
        <f ca="1"/>
        <v>0</v>
      </c>
      <c r="G140">
        <f ca="1"/>
        <v>0</v>
      </c>
      <c r="H140">
        <f ca="1"/>
        <v>0.35000000000000375</v>
      </c>
      <c r="I140">
        <f ca="1"/>
        <v>0.64999999999999625</v>
      </c>
      <c r="J140">
        <f ca="1"/>
        <v>0</v>
      </c>
      <c r="K140">
        <f ca="1"/>
        <v>0</v>
      </c>
      <c r="L140">
        <f ca="1"/>
        <v>0</v>
      </c>
      <c r="R140">
        <f ca="1"/>
        <v>1</v>
      </c>
      <c r="S140">
        <f ca="1"/>
        <v>-0.53200104245873359</v>
      </c>
      <c r="T140">
        <f ca="1"/>
        <v>0.96402287528625297</v>
      </c>
      <c r="U140">
        <f ca="1"/>
        <v>-0.13543447901427247</v>
      </c>
      <c r="V140">
        <f ca="1"/>
        <v>0.65748033393042271</v>
      </c>
      <c r="X140" s="37">
        <f t="array" aca="1" ref="X140:AB140" ca="1">MMULT(F140:INDEX(F140:P140,$G$16),TRANSPOSE($R$3:INDEX($R$3:$Y$7,$R$1,$G$16)))</f>
        <v>1</v>
      </c>
      <c r="Y140" s="37">
        <f ca="1"/>
        <v>-0.53200104245873359</v>
      </c>
      <c r="Z140" s="37">
        <f ca="1"/>
        <v>0.96402287528625297</v>
      </c>
      <c r="AA140" s="37">
        <f ca="1"/>
        <v>-0.13543447901427247</v>
      </c>
      <c r="AB140" s="37">
        <f ca="1"/>
        <v>0.65748033393042271</v>
      </c>
      <c r="AD140">
        <f ca="1"/>
        <v>0</v>
      </c>
      <c r="AE140">
        <f ca="1"/>
        <v>0</v>
      </c>
      <c r="AF140">
        <f ca="1"/>
        <v>0</v>
      </c>
      <c r="AG140">
        <f ca="1"/>
        <v>0</v>
      </c>
      <c r="AH140">
        <f ca="1"/>
        <v>0</v>
      </c>
    </row>
    <row r="141" spans="1:34" x14ac:dyDescent="0.4">
      <c r="A141" s="37">
        <v>121</v>
      </c>
      <c r="B141" s="36">
        <v>0.99999999999997757</v>
      </c>
      <c r="D141" s="37">
        <f t="shared" ca="1" si="4"/>
        <v>0.99999999999997757</v>
      </c>
      <c r="E141" s="37">
        <f t="shared" ca="1" si="5"/>
        <v>0.99999999999997757</v>
      </c>
      <c r="F141">
        <f ca="1"/>
        <v>0</v>
      </c>
      <c r="G141">
        <f ca="1"/>
        <v>0</v>
      </c>
      <c r="H141">
        <f ca="1"/>
        <v>0.33333333333333703</v>
      </c>
      <c r="I141">
        <f ca="1"/>
        <v>0.66666666666666297</v>
      </c>
      <c r="J141">
        <f ca="1"/>
        <v>0</v>
      </c>
      <c r="K141">
        <f ca="1"/>
        <v>0</v>
      </c>
      <c r="L141">
        <f ca="1"/>
        <v>0</v>
      </c>
      <c r="R141">
        <f ca="1"/>
        <v>1</v>
      </c>
      <c r="S141">
        <f ca="1"/>
        <v>-0.58559167680993418</v>
      </c>
      <c r="T141">
        <f ca="1"/>
        <v>0.98358523205972559</v>
      </c>
      <c r="U141">
        <f ca="1"/>
        <v>-0.14604964632218254</v>
      </c>
      <c r="V141">
        <f ca="1"/>
        <v>0.7160863032794722</v>
      </c>
      <c r="X141" s="37">
        <f t="array" aca="1" ref="X141:AB141" ca="1">MMULT(F141:INDEX(F141:P141,$G$16),TRANSPOSE($R$3:INDEX($R$3:$Y$7,$R$1,$G$16)))</f>
        <v>1</v>
      </c>
      <c r="Y141" s="37">
        <f ca="1"/>
        <v>-0.58559167680993418</v>
      </c>
      <c r="Z141" s="37">
        <f ca="1"/>
        <v>0.98358523205972559</v>
      </c>
      <c r="AA141" s="37">
        <f ca="1"/>
        <v>-0.14604964632218254</v>
      </c>
      <c r="AB141" s="37">
        <f ca="1"/>
        <v>0.7160863032794722</v>
      </c>
      <c r="AD141">
        <f ca="1"/>
        <v>0</v>
      </c>
      <c r="AE141">
        <f ca="1"/>
        <v>0</v>
      </c>
      <c r="AF141">
        <f ca="1"/>
        <v>0</v>
      </c>
      <c r="AG141">
        <f ca="1"/>
        <v>0</v>
      </c>
      <c r="AH141">
        <f ca="1"/>
        <v>0</v>
      </c>
    </row>
    <row r="142" spans="1:34" x14ac:dyDescent="0.4">
      <c r="A142" s="37">
        <v>122</v>
      </c>
      <c r="B142" s="36">
        <v>1.0999999999999777</v>
      </c>
      <c r="D142" s="37">
        <f t="shared" ca="1" si="4"/>
        <v>1.0999999999999777</v>
      </c>
      <c r="E142" s="37">
        <f t="shared" ca="1" si="5"/>
        <v>1.0999999999999777</v>
      </c>
      <c r="F142">
        <f ca="1"/>
        <v>0</v>
      </c>
      <c r="G142">
        <f ca="1"/>
        <v>0</v>
      </c>
      <c r="H142">
        <f ca="1"/>
        <v>0.31666666666667043</v>
      </c>
      <c r="I142">
        <f ca="1"/>
        <v>0.68333333333332957</v>
      </c>
      <c r="J142">
        <f ca="1"/>
        <v>0</v>
      </c>
      <c r="K142">
        <f ca="1"/>
        <v>0</v>
      </c>
      <c r="L142">
        <f ca="1"/>
        <v>0</v>
      </c>
      <c r="R142">
        <f ca="1"/>
        <v>1</v>
      </c>
      <c r="S142">
        <f ca="1"/>
        <v>-0.63918231116113433</v>
      </c>
      <c r="T142">
        <f ca="1"/>
        <v>1.0031475888331982</v>
      </c>
      <c r="U142">
        <f ca="1"/>
        <v>-0.15666481363009255</v>
      </c>
      <c r="V142">
        <f ca="1"/>
        <v>0.77469227262852103</v>
      </c>
      <c r="X142" s="37">
        <f t="array" aca="1" ref="X142:AB142" ca="1">MMULT(F142:INDEX(F142:P142,$G$16),TRANSPOSE($R$3:INDEX($R$3:$Y$7,$R$1,$G$16)))</f>
        <v>1</v>
      </c>
      <c r="Y142" s="37">
        <f ca="1"/>
        <v>-0.63918231116113433</v>
      </c>
      <c r="Z142" s="37">
        <f ca="1"/>
        <v>1.0031475888331982</v>
      </c>
      <c r="AA142" s="37">
        <f ca="1"/>
        <v>-0.15666481363009255</v>
      </c>
      <c r="AB142" s="37">
        <f ca="1"/>
        <v>0.77469227262852103</v>
      </c>
      <c r="AD142">
        <f ca="1"/>
        <v>0</v>
      </c>
      <c r="AE142">
        <f ca="1"/>
        <v>0</v>
      </c>
      <c r="AF142">
        <f ca="1"/>
        <v>0</v>
      </c>
      <c r="AG142">
        <f ca="1"/>
        <v>0</v>
      </c>
      <c r="AH142">
        <f ca="1"/>
        <v>0</v>
      </c>
    </row>
    <row r="143" spans="1:34" x14ac:dyDescent="0.4">
      <c r="A143" s="37">
        <v>123</v>
      </c>
      <c r="B143" s="36">
        <v>1.1999999999999778</v>
      </c>
      <c r="D143" s="37">
        <f t="shared" ca="1" si="4"/>
        <v>1.1999999999999778</v>
      </c>
      <c r="E143" s="37">
        <f t="shared" ca="1" si="5"/>
        <v>1.1999999999999778</v>
      </c>
      <c r="F143">
        <f ca="1"/>
        <v>0</v>
      </c>
      <c r="G143">
        <f ca="1"/>
        <v>0</v>
      </c>
      <c r="H143">
        <f ca="1"/>
        <v>0.30000000000000371</v>
      </c>
      <c r="I143">
        <f ca="1"/>
        <v>0.69999999999999629</v>
      </c>
      <c r="J143">
        <f ca="1"/>
        <v>0</v>
      </c>
      <c r="K143">
        <f ca="1"/>
        <v>0</v>
      </c>
      <c r="L143">
        <f ca="1"/>
        <v>0</v>
      </c>
      <c r="R143">
        <f ca="1"/>
        <v>1</v>
      </c>
      <c r="S143">
        <f ca="1"/>
        <v>-0.69277294551233493</v>
      </c>
      <c r="T143">
        <f ca="1"/>
        <v>1.0227099456066708</v>
      </c>
      <c r="U143">
        <f ca="1"/>
        <v>-0.16727998093800267</v>
      </c>
      <c r="V143">
        <f ca="1"/>
        <v>0.83329824197757052</v>
      </c>
      <c r="X143" s="37">
        <f t="array" aca="1" ref="X143:AB143" ca="1">MMULT(F143:INDEX(F143:P143,$G$16),TRANSPOSE($R$3:INDEX($R$3:$Y$7,$R$1,$G$16)))</f>
        <v>1</v>
      </c>
      <c r="Y143" s="37">
        <f ca="1"/>
        <v>-0.69277294551233493</v>
      </c>
      <c r="Z143" s="37">
        <f ca="1"/>
        <v>1.0227099456066708</v>
      </c>
      <c r="AA143" s="37">
        <f ca="1"/>
        <v>-0.16727998093800267</v>
      </c>
      <c r="AB143" s="37">
        <f ca="1"/>
        <v>0.83329824197757052</v>
      </c>
      <c r="AD143">
        <f ca="1"/>
        <v>0</v>
      </c>
      <c r="AE143">
        <f ca="1"/>
        <v>0</v>
      </c>
      <c r="AF143">
        <f ca="1"/>
        <v>0</v>
      </c>
      <c r="AG143">
        <f ca="1"/>
        <v>0</v>
      </c>
      <c r="AH143">
        <f ca="1"/>
        <v>0</v>
      </c>
    </row>
    <row r="144" spans="1:34" x14ac:dyDescent="0.4">
      <c r="A144" s="37">
        <v>124</v>
      </c>
      <c r="B144" s="36">
        <v>1.2999999999999778</v>
      </c>
      <c r="D144" s="37">
        <f t="shared" ca="1" si="4"/>
        <v>1.2999999999999778</v>
      </c>
      <c r="E144" s="37">
        <f t="shared" ca="1" si="5"/>
        <v>1.2999999999999778</v>
      </c>
      <c r="F144">
        <f ca="1"/>
        <v>0</v>
      </c>
      <c r="G144">
        <f ca="1"/>
        <v>0</v>
      </c>
      <c r="H144">
        <f ca="1"/>
        <v>0.2833333333333371</v>
      </c>
      <c r="I144">
        <f ca="1"/>
        <v>0.7166666666666629</v>
      </c>
      <c r="J144">
        <f ca="1"/>
        <v>0</v>
      </c>
      <c r="K144">
        <f ca="1"/>
        <v>0</v>
      </c>
      <c r="L144">
        <f ca="1"/>
        <v>0</v>
      </c>
      <c r="R144">
        <f ca="1"/>
        <v>1</v>
      </c>
      <c r="S144">
        <f ca="1"/>
        <v>-0.74636357986353508</v>
      </c>
      <c r="T144">
        <f ca="1"/>
        <v>1.0422723023801435</v>
      </c>
      <c r="U144">
        <f ca="1"/>
        <v>-0.17789514824591274</v>
      </c>
      <c r="V144">
        <f ca="1"/>
        <v>0.89190421132661935</v>
      </c>
      <c r="X144" s="37">
        <f t="array" aca="1" ref="X144:AB144" ca="1">MMULT(F144:INDEX(F144:P144,$G$16),TRANSPOSE($R$3:INDEX($R$3:$Y$7,$R$1,$G$16)))</f>
        <v>1</v>
      </c>
      <c r="Y144" s="37">
        <f ca="1"/>
        <v>-0.74636357986353508</v>
      </c>
      <c r="Z144" s="37">
        <f ca="1"/>
        <v>1.0422723023801435</v>
      </c>
      <c r="AA144" s="37">
        <f ca="1"/>
        <v>-0.17789514824591274</v>
      </c>
      <c r="AB144" s="37">
        <f ca="1"/>
        <v>0.89190421132661935</v>
      </c>
      <c r="AD144">
        <f ca="1"/>
        <v>0</v>
      </c>
      <c r="AE144">
        <f ca="1"/>
        <v>0</v>
      </c>
      <c r="AF144">
        <f ca="1"/>
        <v>0</v>
      </c>
      <c r="AG144">
        <f ca="1"/>
        <v>0</v>
      </c>
      <c r="AH144">
        <f ca="1"/>
        <v>0</v>
      </c>
    </row>
    <row r="145" spans="1:34" x14ac:dyDescent="0.4">
      <c r="A145" s="37">
        <v>125</v>
      </c>
      <c r="B145" s="36">
        <v>1.3999999999999779</v>
      </c>
      <c r="D145" s="37">
        <f t="shared" ca="1" si="4"/>
        <v>1.3999999999999779</v>
      </c>
      <c r="E145" s="37">
        <f t="shared" ca="1" si="5"/>
        <v>1.3999999999999779</v>
      </c>
      <c r="F145">
        <f ca="1"/>
        <v>0</v>
      </c>
      <c r="G145">
        <f ca="1"/>
        <v>0</v>
      </c>
      <c r="H145">
        <f ca="1"/>
        <v>0.26666666666667027</v>
      </c>
      <c r="I145">
        <f ca="1"/>
        <v>0.73333333333332973</v>
      </c>
      <c r="J145">
        <f ca="1"/>
        <v>0</v>
      </c>
      <c r="K145">
        <f ca="1"/>
        <v>0</v>
      </c>
      <c r="L145">
        <f ca="1"/>
        <v>0</v>
      </c>
      <c r="R145">
        <f ca="1"/>
        <v>1</v>
      </c>
      <c r="S145">
        <f ca="1"/>
        <v>-0.79995421421473578</v>
      </c>
      <c r="T145">
        <f ca="1"/>
        <v>1.0618346591536163</v>
      </c>
      <c r="U145">
        <f ca="1"/>
        <v>-0.18851031555382292</v>
      </c>
      <c r="V145">
        <f ca="1"/>
        <v>0.95051018067566906</v>
      </c>
      <c r="X145" s="37">
        <f t="array" aca="1" ref="X145:AB145" ca="1">MMULT(F145:INDEX(F145:P145,$G$16),TRANSPOSE($R$3:INDEX($R$3:$Y$7,$R$1,$G$16)))</f>
        <v>1</v>
      </c>
      <c r="Y145" s="37">
        <f ca="1"/>
        <v>-0.79995421421473578</v>
      </c>
      <c r="Z145" s="37">
        <f ca="1"/>
        <v>1.0618346591536163</v>
      </c>
      <c r="AA145" s="37">
        <f ca="1"/>
        <v>-0.18851031555382292</v>
      </c>
      <c r="AB145" s="37">
        <f ca="1"/>
        <v>0.95051018067566906</v>
      </c>
      <c r="AD145">
        <f ca="1"/>
        <v>0</v>
      </c>
      <c r="AE145">
        <f ca="1"/>
        <v>0</v>
      </c>
      <c r="AF145">
        <f ca="1"/>
        <v>0</v>
      </c>
      <c r="AG145">
        <f ca="1"/>
        <v>0</v>
      </c>
      <c r="AH145">
        <f ca="1"/>
        <v>0</v>
      </c>
    </row>
    <row r="146" spans="1:34" x14ac:dyDescent="0.4">
      <c r="A146" s="37">
        <v>126</v>
      </c>
      <c r="B146" s="36">
        <v>1.499999999999978</v>
      </c>
      <c r="D146" s="37">
        <f t="shared" ca="1" si="4"/>
        <v>1.499999999999978</v>
      </c>
      <c r="E146" s="37">
        <f t="shared" ca="1" si="5"/>
        <v>1.499999999999978</v>
      </c>
      <c r="F146">
        <f ca="1"/>
        <v>0</v>
      </c>
      <c r="G146">
        <f ca="1"/>
        <v>0</v>
      </c>
      <c r="H146">
        <f ca="1"/>
        <v>0.25000000000000366</v>
      </c>
      <c r="I146">
        <f ca="1"/>
        <v>0.74999999999999634</v>
      </c>
      <c r="J146">
        <f ca="1"/>
        <v>0</v>
      </c>
      <c r="K146">
        <f ca="1"/>
        <v>0</v>
      </c>
      <c r="L146">
        <f ca="1"/>
        <v>0</v>
      </c>
      <c r="R146">
        <f ca="1"/>
        <v>1</v>
      </c>
      <c r="S146">
        <f ca="1"/>
        <v>-0.85354484856593604</v>
      </c>
      <c r="T146">
        <f ca="1"/>
        <v>1.0813970159270887</v>
      </c>
      <c r="U146">
        <f ca="1"/>
        <v>-0.1991254828617329</v>
      </c>
      <c r="V146">
        <f ca="1"/>
        <v>1.0091161500247181</v>
      </c>
      <c r="X146" s="37">
        <f t="array" aca="1" ref="X146:AB146" ca="1">MMULT(F146:INDEX(F146:P146,$G$16),TRANSPOSE($R$3:INDEX($R$3:$Y$7,$R$1,$G$16)))</f>
        <v>1</v>
      </c>
      <c r="Y146" s="37">
        <f ca="1"/>
        <v>-0.85354484856593604</v>
      </c>
      <c r="Z146" s="37">
        <f ca="1"/>
        <v>1.0813970159270887</v>
      </c>
      <c r="AA146" s="37">
        <f ca="1"/>
        <v>-0.1991254828617329</v>
      </c>
      <c r="AB146" s="37">
        <f ca="1"/>
        <v>1.0091161500247181</v>
      </c>
      <c r="AD146">
        <f ca="1"/>
        <v>0</v>
      </c>
      <c r="AE146">
        <f ca="1"/>
        <v>0</v>
      </c>
      <c r="AF146">
        <f ca="1"/>
        <v>0</v>
      </c>
      <c r="AG146">
        <f ca="1"/>
        <v>0</v>
      </c>
      <c r="AH146">
        <f ca="1"/>
        <v>0</v>
      </c>
    </row>
    <row r="147" spans="1:34" x14ac:dyDescent="0.4">
      <c r="A147" s="37">
        <v>127</v>
      </c>
      <c r="B147" s="36">
        <v>1.5999999999999781</v>
      </c>
      <c r="D147" s="37">
        <f t="shared" ca="1" si="4"/>
        <v>1.5999999999999781</v>
      </c>
      <c r="E147" s="37">
        <f t="shared" ca="1" si="5"/>
        <v>1.5999999999999781</v>
      </c>
      <c r="F147">
        <f ca="1"/>
        <v>0</v>
      </c>
      <c r="G147">
        <f ca="1"/>
        <v>0</v>
      </c>
      <c r="H147">
        <f ca="1"/>
        <v>0.23333333333333695</v>
      </c>
      <c r="I147">
        <f ca="1"/>
        <v>0.76666666666666305</v>
      </c>
      <c r="J147">
        <f ca="1"/>
        <v>0</v>
      </c>
      <c r="K147">
        <f ca="1"/>
        <v>0</v>
      </c>
      <c r="L147">
        <f ca="1"/>
        <v>0</v>
      </c>
      <c r="R147">
        <f ca="1"/>
        <v>1</v>
      </c>
      <c r="S147">
        <f ca="1"/>
        <v>-0.90713548291713653</v>
      </c>
      <c r="T147">
        <f ca="1"/>
        <v>1.1009593727005615</v>
      </c>
      <c r="U147">
        <f ca="1"/>
        <v>-0.20974065016964305</v>
      </c>
      <c r="V147">
        <f ca="1"/>
        <v>1.0677221193737674</v>
      </c>
      <c r="X147" s="37">
        <f t="array" aca="1" ref="X147:AB147" ca="1">MMULT(F147:INDEX(F147:P147,$G$16),TRANSPOSE($R$3:INDEX($R$3:$Y$7,$R$1,$G$16)))</f>
        <v>1</v>
      </c>
      <c r="Y147" s="37">
        <f ca="1"/>
        <v>-0.90713548291713653</v>
      </c>
      <c r="Z147" s="37">
        <f ca="1"/>
        <v>1.1009593727005615</v>
      </c>
      <c r="AA147" s="37">
        <f ca="1"/>
        <v>-0.20974065016964305</v>
      </c>
      <c r="AB147" s="37">
        <f ca="1"/>
        <v>1.0677221193737674</v>
      </c>
      <c r="AD147">
        <f ca="1"/>
        <v>0</v>
      </c>
      <c r="AE147">
        <f ca="1"/>
        <v>0</v>
      </c>
      <c r="AF147">
        <f ca="1"/>
        <v>0</v>
      </c>
      <c r="AG147">
        <f ca="1"/>
        <v>0</v>
      </c>
      <c r="AH147">
        <f ca="1"/>
        <v>0</v>
      </c>
    </row>
    <row r="148" spans="1:34" x14ac:dyDescent="0.4">
      <c r="A148" s="37">
        <v>128</v>
      </c>
      <c r="B148" s="36">
        <v>1.6999999999999782</v>
      </c>
      <c r="D148" s="37">
        <f t="shared" ca="1" si="4"/>
        <v>1.6999999999999782</v>
      </c>
      <c r="E148" s="37">
        <f t="shared" ca="1" si="5"/>
        <v>1.6999999999999782</v>
      </c>
      <c r="F148">
        <f ca="1"/>
        <v>0</v>
      </c>
      <c r="G148">
        <f ca="1"/>
        <v>0</v>
      </c>
      <c r="H148">
        <f ca="1"/>
        <v>0.21666666666667034</v>
      </c>
      <c r="I148">
        <f ca="1"/>
        <v>0.78333333333332966</v>
      </c>
      <c r="J148">
        <f ca="1"/>
        <v>0</v>
      </c>
      <c r="K148">
        <f ca="1"/>
        <v>0</v>
      </c>
      <c r="L148">
        <f ca="1"/>
        <v>0</v>
      </c>
      <c r="R148">
        <f ca="1"/>
        <v>1</v>
      </c>
      <c r="S148">
        <f ca="1"/>
        <v>-0.96072611726833679</v>
      </c>
      <c r="T148">
        <f ca="1"/>
        <v>1.1205217294740342</v>
      </c>
      <c r="U148">
        <f ca="1"/>
        <v>-0.22035581747755306</v>
      </c>
      <c r="V148">
        <f ca="1"/>
        <v>1.1263280887228164</v>
      </c>
      <c r="X148" s="37">
        <f t="array" aca="1" ref="X148:AB148" ca="1">MMULT(F148:INDEX(F148:P148,$G$16),TRANSPOSE($R$3:INDEX($R$3:$Y$7,$R$1,$G$16)))</f>
        <v>1</v>
      </c>
      <c r="Y148" s="37">
        <f ca="1"/>
        <v>-0.96072611726833679</v>
      </c>
      <c r="Z148" s="37">
        <f ca="1"/>
        <v>1.1205217294740342</v>
      </c>
      <c r="AA148" s="37">
        <f ca="1"/>
        <v>-0.22035581747755306</v>
      </c>
      <c r="AB148" s="37">
        <f ca="1"/>
        <v>1.1263280887228164</v>
      </c>
      <c r="AD148">
        <f ca="1"/>
        <v>0</v>
      </c>
      <c r="AE148">
        <f ca="1"/>
        <v>0</v>
      </c>
      <c r="AF148">
        <f ca="1"/>
        <v>0</v>
      </c>
      <c r="AG148">
        <f ca="1"/>
        <v>0</v>
      </c>
      <c r="AH148">
        <f ca="1"/>
        <v>0</v>
      </c>
    </row>
    <row r="149" spans="1:34" x14ac:dyDescent="0.4">
      <c r="A149" s="37">
        <v>129</v>
      </c>
      <c r="B149" s="36">
        <v>1.7999999999999783</v>
      </c>
      <c r="D149" s="37">
        <f t="shared" ca="1" si="4"/>
        <v>1.7999999999999783</v>
      </c>
      <c r="E149" s="37">
        <f t="shared" ca="1" si="5"/>
        <v>1.7999999999999783</v>
      </c>
      <c r="F149">
        <f ca="1"/>
        <v>0</v>
      </c>
      <c r="G149">
        <f ca="1"/>
        <v>0</v>
      </c>
      <c r="H149">
        <f ca="1"/>
        <v>0.20000000000000362</v>
      </c>
      <c r="I149">
        <f ca="1"/>
        <v>0.79999999999999638</v>
      </c>
      <c r="J149">
        <f ca="1"/>
        <v>0</v>
      </c>
      <c r="K149">
        <f ca="1"/>
        <v>0</v>
      </c>
      <c r="L149">
        <f ca="1"/>
        <v>0</v>
      </c>
      <c r="R149">
        <f ca="1"/>
        <v>1</v>
      </c>
      <c r="S149">
        <f ca="1"/>
        <v>-1.0143167516195373</v>
      </c>
      <c r="T149">
        <f ca="1"/>
        <v>1.1400840862475068</v>
      </c>
      <c r="U149">
        <f ca="1"/>
        <v>-0.23097098478546318</v>
      </c>
      <c r="V149">
        <f ca="1"/>
        <v>1.1849340580718657</v>
      </c>
      <c r="X149" s="37">
        <f t="array" aca="1" ref="X149:AB149" ca="1">MMULT(F149:INDEX(F149:P149,$G$16),TRANSPOSE($R$3:INDEX($R$3:$Y$7,$R$1,$G$16)))</f>
        <v>1</v>
      </c>
      <c r="Y149" s="37">
        <f ca="1"/>
        <v>-1.0143167516195373</v>
      </c>
      <c r="Z149" s="37">
        <f ca="1"/>
        <v>1.1400840862475068</v>
      </c>
      <c r="AA149" s="37">
        <f ca="1"/>
        <v>-0.23097098478546318</v>
      </c>
      <c r="AB149" s="37">
        <f ca="1"/>
        <v>1.1849340580718657</v>
      </c>
      <c r="AD149">
        <f ca="1"/>
        <v>0</v>
      </c>
      <c r="AE149">
        <f ca="1"/>
        <v>0</v>
      </c>
      <c r="AF149">
        <f ca="1"/>
        <v>0</v>
      </c>
      <c r="AG149">
        <f ca="1"/>
        <v>0</v>
      </c>
      <c r="AH149">
        <f ca="1"/>
        <v>0</v>
      </c>
    </row>
    <row r="150" spans="1:34" x14ac:dyDescent="0.4">
      <c r="A150" s="37">
        <v>130</v>
      </c>
      <c r="B150" s="36">
        <v>1.8999999999999784</v>
      </c>
      <c r="D150" s="37">
        <f t="shared" ref="D150:D213" ca="1" si="6">IF($C$2="Categorical",IF(A150&lt;=26,CHAR(64+A150),CHAR(RANDBETWEEN(65,90))),B150)</f>
        <v>1.8999999999999784</v>
      </c>
      <c r="E150" s="37">
        <f t="shared" ref="E150:E213" ca="1" si="7">IF(ISBLANK(B150),NA(),IF(C150,NA(),D150))</f>
        <v>1.8999999999999784</v>
      </c>
      <c r="F150">
        <f ca="1"/>
        <v>0</v>
      </c>
      <c r="G150">
        <f ca="1"/>
        <v>0</v>
      </c>
      <c r="H150">
        <f ca="1"/>
        <v>0.18333333333333701</v>
      </c>
      <c r="I150">
        <f ca="1"/>
        <v>0.81666666666666299</v>
      </c>
      <c r="J150">
        <f ca="1"/>
        <v>0</v>
      </c>
      <c r="K150">
        <f ca="1"/>
        <v>0</v>
      </c>
      <c r="L150">
        <f ca="1"/>
        <v>0</v>
      </c>
      <c r="R150">
        <f ca="1"/>
        <v>1</v>
      </c>
      <c r="S150">
        <f ca="1"/>
        <v>-1.0679073859707375</v>
      </c>
      <c r="T150">
        <f ca="1"/>
        <v>1.1596464430209794</v>
      </c>
      <c r="U150">
        <f ca="1"/>
        <v>-0.2415861520933732</v>
      </c>
      <c r="V150">
        <f ca="1"/>
        <v>1.2435400274209147</v>
      </c>
      <c r="X150" s="37">
        <f t="array" aca="1" ref="X150:AB150" ca="1">MMULT(F150:INDEX(F150:P150,$G$16),TRANSPOSE($R$3:INDEX($R$3:$Y$7,$R$1,$G$16)))</f>
        <v>1</v>
      </c>
      <c r="Y150" s="37">
        <f ca="1"/>
        <v>-1.0679073859707375</v>
      </c>
      <c r="Z150" s="37">
        <f ca="1"/>
        <v>1.1596464430209794</v>
      </c>
      <c r="AA150" s="37">
        <f ca="1"/>
        <v>-0.2415861520933732</v>
      </c>
      <c r="AB150" s="37">
        <f ca="1"/>
        <v>1.2435400274209147</v>
      </c>
      <c r="AD150">
        <f ca="1"/>
        <v>0</v>
      </c>
      <c r="AE150">
        <f ca="1"/>
        <v>0</v>
      </c>
      <c r="AF150">
        <f ca="1"/>
        <v>0</v>
      </c>
      <c r="AG150">
        <f ca="1"/>
        <v>0</v>
      </c>
      <c r="AH150">
        <f ca="1"/>
        <v>0</v>
      </c>
    </row>
    <row r="151" spans="1:34" x14ac:dyDescent="0.4">
      <c r="A151" s="37">
        <v>131</v>
      </c>
      <c r="B151" s="36">
        <v>1.9999999999999785</v>
      </c>
      <c r="D151" s="37">
        <f t="shared" ca="1" si="6"/>
        <v>1.9999999999999785</v>
      </c>
      <c r="E151" s="37">
        <f t="shared" ca="1" si="7"/>
        <v>1.9999999999999785</v>
      </c>
      <c r="F151">
        <f ca="1"/>
        <v>0</v>
      </c>
      <c r="G151">
        <f ca="1"/>
        <v>0</v>
      </c>
      <c r="H151">
        <f ca="1"/>
        <v>0.16666666666667018</v>
      </c>
      <c r="I151">
        <f ca="1"/>
        <v>0.83333333333332982</v>
      </c>
      <c r="J151">
        <f ca="1"/>
        <v>0</v>
      </c>
      <c r="K151">
        <f ca="1"/>
        <v>0</v>
      </c>
      <c r="L151">
        <f ca="1"/>
        <v>0</v>
      </c>
      <c r="R151">
        <f ca="1"/>
        <v>1</v>
      </c>
      <c r="S151">
        <f ca="1"/>
        <v>-1.1214980203219382</v>
      </c>
      <c r="T151">
        <f ca="1"/>
        <v>1.1792087997944523</v>
      </c>
      <c r="U151">
        <f ca="1"/>
        <v>-0.25220131940128337</v>
      </c>
      <c r="V151">
        <f ca="1"/>
        <v>1.3021459967699645</v>
      </c>
      <c r="X151" s="37">
        <f t="array" aca="1" ref="X151:AB151" ca="1">MMULT(F151:INDEX(F151:P151,$G$16),TRANSPOSE($R$3:INDEX($R$3:$Y$7,$R$1,$G$16)))</f>
        <v>1</v>
      </c>
      <c r="Y151" s="37">
        <f ca="1"/>
        <v>-1.1214980203219382</v>
      </c>
      <c r="Z151" s="37">
        <f ca="1"/>
        <v>1.1792087997944523</v>
      </c>
      <c r="AA151" s="37">
        <f ca="1"/>
        <v>-0.25220131940128337</v>
      </c>
      <c r="AB151" s="37">
        <f ca="1"/>
        <v>1.3021459967699645</v>
      </c>
      <c r="AD151">
        <f ca="1"/>
        <v>0</v>
      </c>
      <c r="AE151">
        <f ca="1"/>
        <v>0</v>
      </c>
      <c r="AF151">
        <f ca="1"/>
        <v>0</v>
      </c>
      <c r="AG151">
        <f ca="1"/>
        <v>0</v>
      </c>
      <c r="AH151">
        <f ca="1"/>
        <v>0</v>
      </c>
    </row>
    <row r="152" spans="1:34" x14ac:dyDescent="0.4">
      <c r="A152" s="37">
        <v>132</v>
      </c>
      <c r="B152" s="36">
        <v>2.0999999999999783</v>
      </c>
      <c r="D152" s="37">
        <f t="shared" ca="1" si="6"/>
        <v>2.0999999999999783</v>
      </c>
      <c r="E152" s="37">
        <f t="shared" ca="1" si="7"/>
        <v>2.0999999999999783</v>
      </c>
      <c r="F152">
        <f ca="1"/>
        <v>0</v>
      </c>
      <c r="G152">
        <f ca="1"/>
        <v>0</v>
      </c>
      <c r="H152">
        <f ca="1"/>
        <v>0.15000000000000357</v>
      </c>
      <c r="I152">
        <f ca="1"/>
        <v>0.84999999999999643</v>
      </c>
      <c r="J152">
        <f ca="1"/>
        <v>0</v>
      </c>
      <c r="K152">
        <f ca="1"/>
        <v>0</v>
      </c>
      <c r="L152">
        <f ca="1"/>
        <v>0</v>
      </c>
      <c r="R152">
        <f ca="1"/>
        <v>1</v>
      </c>
      <c r="S152">
        <f ca="1"/>
        <v>-1.1750886546731385</v>
      </c>
      <c r="T152">
        <f ca="1"/>
        <v>1.1987711565679247</v>
      </c>
      <c r="U152">
        <f ca="1"/>
        <v>-0.26281648670919344</v>
      </c>
      <c r="V152">
        <f ca="1"/>
        <v>1.3607519661190133</v>
      </c>
      <c r="X152" s="37">
        <f t="array" aca="1" ref="X152:AB152" ca="1">MMULT(F152:INDEX(F152:P152,$G$16),TRANSPOSE($R$3:INDEX($R$3:$Y$7,$R$1,$G$16)))</f>
        <v>1</v>
      </c>
      <c r="Y152" s="37">
        <f ca="1"/>
        <v>-1.1750886546731385</v>
      </c>
      <c r="Z152" s="37">
        <f ca="1"/>
        <v>1.1987711565679247</v>
      </c>
      <c r="AA152" s="37">
        <f ca="1"/>
        <v>-0.26281648670919344</v>
      </c>
      <c r="AB152" s="37">
        <f ca="1"/>
        <v>1.3607519661190133</v>
      </c>
      <c r="AD152">
        <f ca="1"/>
        <v>0</v>
      </c>
      <c r="AE152">
        <f ca="1"/>
        <v>0</v>
      </c>
      <c r="AF152">
        <f ca="1"/>
        <v>0</v>
      </c>
      <c r="AG152">
        <f ca="1"/>
        <v>0</v>
      </c>
      <c r="AH152">
        <f ca="1"/>
        <v>0</v>
      </c>
    </row>
    <row r="153" spans="1:34" x14ac:dyDescent="0.4">
      <c r="A153" s="37">
        <v>133</v>
      </c>
      <c r="B153" s="36">
        <v>2.1999999999999784</v>
      </c>
      <c r="D153" s="37">
        <f t="shared" ca="1" si="6"/>
        <v>2.1999999999999784</v>
      </c>
      <c r="E153" s="37">
        <f t="shared" ca="1" si="7"/>
        <v>2.1999999999999784</v>
      </c>
      <c r="F153">
        <f ca="1"/>
        <v>0</v>
      </c>
      <c r="G153">
        <f ca="1"/>
        <v>0</v>
      </c>
      <c r="H153">
        <f ca="1"/>
        <v>0.13333333333333697</v>
      </c>
      <c r="I153">
        <f ca="1"/>
        <v>0.86666666666666303</v>
      </c>
      <c r="J153">
        <f ca="1"/>
        <v>0</v>
      </c>
      <c r="K153">
        <f ca="1"/>
        <v>0</v>
      </c>
      <c r="L153">
        <f ca="1"/>
        <v>0</v>
      </c>
      <c r="R153">
        <f ca="1"/>
        <v>1</v>
      </c>
      <c r="S153">
        <f ca="1"/>
        <v>-1.2286792890243385</v>
      </c>
      <c r="T153">
        <f ca="1"/>
        <v>1.2183335133413973</v>
      </c>
      <c r="U153">
        <f ca="1"/>
        <v>-0.27343165401710345</v>
      </c>
      <c r="V153">
        <f ca="1"/>
        <v>1.4193579354680623</v>
      </c>
      <c r="X153" s="37">
        <f t="array" aca="1" ref="X153:AB153" ca="1">MMULT(F153:INDEX(F153:P153,$G$16),TRANSPOSE($R$3:INDEX($R$3:$Y$7,$R$1,$G$16)))</f>
        <v>1</v>
      </c>
      <c r="Y153" s="37">
        <f ca="1"/>
        <v>-1.2286792890243385</v>
      </c>
      <c r="Z153" s="37">
        <f ca="1"/>
        <v>1.2183335133413973</v>
      </c>
      <c r="AA153" s="37">
        <f ca="1"/>
        <v>-0.27343165401710345</v>
      </c>
      <c r="AB153" s="37">
        <f ca="1"/>
        <v>1.4193579354680623</v>
      </c>
      <c r="AD153">
        <f ca="1"/>
        <v>0</v>
      </c>
      <c r="AE153">
        <f ca="1"/>
        <v>0</v>
      </c>
      <c r="AF153">
        <f ca="1"/>
        <v>0</v>
      </c>
      <c r="AG153">
        <f ca="1"/>
        <v>0</v>
      </c>
      <c r="AH153">
        <f ca="1"/>
        <v>0</v>
      </c>
    </row>
    <row r="154" spans="1:34" x14ac:dyDescent="0.4">
      <c r="A154" s="37">
        <v>134</v>
      </c>
      <c r="B154" s="36">
        <v>2.2999999999999785</v>
      </c>
      <c r="D154" s="37">
        <f t="shared" ca="1" si="6"/>
        <v>2.2999999999999785</v>
      </c>
      <c r="E154" s="37">
        <f t="shared" ca="1" si="7"/>
        <v>2.2999999999999785</v>
      </c>
      <c r="F154">
        <f ca="1"/>
        <v>0</v>
      </c>
      <c r="G154">
        <f ca="1"/>
        <v>0</v>
      </c>
      <c r="H154">
        <f ca="1"/>
        <v>0.11666666666667025</v>
      </c>
      <c r="I154">
        <f ca="1"/>
        <v>0.88333333333332975</v>
      </c>
      <c r="J154">
        <f ca="1"/>
        <v>0</v>
      </c>
      <c r="K154">
        <f ca="1"/>
        <v>0</v>
      </c>
      <c r="L154">
        <f ca="1"/>
        <v>0</v>
      </c>
      <c r="R154">
        <f ca="1"/>
        <v>1</v>
      </c>
      <c r="S154">
        <f ca="1"/>
        <v>-1.2822699233755392</v>
      </c>
      <c r="T154">
        <f ca="1"/>
        <v>1.2378958701148701</v>
      </c>
      <c r="U154">
        <f ca="1"/>
        <v>-0.28404682132501358</v>
      </c>
      <c r="V154">
        <f ca="1"/>
        <v>1.4779639048171118</v>
      </c>
      <c r="X154" s="37">
        <f t="array" aca="1" ref="X154:AB154" ca="1">MMULT(F154:INDEX(F154:P154,$G$16),TRANSPOSE($R$3:INDEX($R$3:$Y$7,$R$1,$G$16)))</f>
        <v>1</v>
      </c>
      <c r="Y154" s="37">
        <f ca="1"/>
        <v>-1.2822699233755392</v>
      </c>
      <c r="Z154" s="37">
        <f ca="1"/>
        <v>1.2378958701148701</v>
      </c>
      <c r="AA154" s="37">
        <f ca="1"/>
        <v>-0.28404682132501358</v>
      </c>
      <c r="AB154" s="37">
        <f ca="1"/>
        <v>1.4779639048171118</v>
      </c>
      <c r="AD154">
        <f ca="1"/>
        <v>0</v>
      </c>
      <c r="AE154">
        <f ca="1"/>
        <v>0</v>
      </c>
      <c r="AF154">
        <f ca="1"/>
        <v>0</v>
      </c>
      <c r="AG154">
        <f ca="1"/>
        <v>0</v>
      </c>
      <c r="AH154">
        <f ca="1"/>
        <v>0</v>
      </c>
    </row>
    <row r="155" spans="1:34" x14ac:dyDescent="0.4">
      <c r="A155" s="37">
        <v>135</v>
      </c>
      <c r="B155" s="36">
        <v>2.3999999999999786</v>
      </c>
      <c r="D155" s="37">
        <f t="shared" ca="1" si="6"/>
        <v>2.3999999999999786</v>
      </c>
      <c r="E155" s="37">
        <f t="shared" ca="1" si="7"/>
        <v>2.3999999999999786</v>
      </c>
      <c r="F155">
        <f ca="1"/>
        <v>0</v>
      </c>
      <c r="G155">
        <f ca="1"/>
        <v>0</v>
      </c>
      <c r="H155">
        <f ca="1"/>
        <v>0.10000000000000353</v>
      </c>
      <c r="I155">
        <f ca="1"/>
        <v>0.89999999999999647</v>
      </c>
      <c r="J155">
        <f ca="1"/>
        <v>0</v>
      </c>
      <c r="K155">
        <f ca="1"/>
        <v>0</v>
      </c>
      <c r="L155">
        <f ca="1"/>
        <v>0</v>
      </c>
      <c r="R155">
        <f ca="1"/>
        <v>1</v>
      </c>
      <c r="S155">
        <f ca="1"/>
        <v>-1.3358605577267397</v>
      </c>
      <c r="T155">
        <f ca="1"/>
        <v>1.2574582268883427</v>
      </c>
      <c r="U155">
        <f ca="1"/>
        <v>-0.29466198863292364</v>
      </c>
      <c r="V155">
        <f ca="1"/>
        <v>1.5365698741661609</v>
      </c>
      <c r="X155" s="37">
        <f t="array" aca="1" ref="X155:AB155" ca="1">MMULT(F155:INDEX(F155:P155,$G$16),TRANSPOSE($R$3:INDEX($R$3:$Y$7,$R$1,$G$16)))</f>
        <v>1</v>
      </c>
      <c r="Y155" s="37">
        <f ca="1"/>
        <v>-1.3358605577267397</v>
      </c>
      <c r="Z155" s="37">
        <f ca="1"/>
        <v>1.2574582268883427</v>
      </c>
      <c r="AA155" s="37">
        <f ca="1"/>
        <v>-0.29466198863292364</v>
      </c>
      <c r="AB155" s="37">
        <f ca="1"/>
        <v>1.5365698741661609</v>
      </c>
      <c r="AD155">
        <f ca="1"/>
        <v>0</v>
      </c>
      <c r="AE155">
        <f ca="1"/>
        <v>0</v>
      </c>
      <c r="AF155">
        <f ca="1"/>
        <v>0</v>
      </c>
      <c r="AG155">
        <f ca="1"/>
        <v>0</v>
      </c>
      <c r="AH155">
        <f ca="1"/>
        <v>0</v>
      </c>
    </row>
    <row r="156" spans="1:34" x14ac:dyDescent="0.4">
      <c r="A156" s="37">
        <v>136</v>
      </c>
      <c r="B156" s="36">
        <v>2.4999999999999787</v>
      </c>
      <c r="D156" s="37">
        <f t="shared" ca="1" si="6"/>
        <v>2.4999999999999787</v>
      </c>
      <c r="E156" s="37">
        <f t="shared" ca="1" si="7"/>
        <v>2.4999999999999787</v>
      </c>
      <c r="F156">
        <f ca="1"/>
        <v>0</v>
      </c>
      <c r="G156">
        <f ca="1"/>
        <v>0</v>
      </c>
      <c r="H156">
        <f ca="1"/>
        <v>8.3333333333336923E-2</v>
      </c>
      <c r="I156">
        <f ca="1"/>
        <v>0.91666666666666308</v>
      </c>
      <c r="J156">
        <f ca="1"/>
        <v>0</v>
      </c>
      <c r="K156">
        <f ca="1"/>
        <v>0</v>
      </c>
      <c r="L156">
        <f ca="1"/>
        <v>0</v>
      </c>
      <c r="R156">
        <f ca="1"/>
        <v>1</v>
      </c>
      <c r="S156">
        <f ca="1"/>
        <v>-1.38945119207794</v>
      </c>
      <c r="T156">
        <f ca="1"/>
        <v>1.2770205836618154</v>
      </c>
      <c r="U156">
        <f ca="1"/>
        <v>-0.30527715594083371</v>
      </c>
      <c r="V156">
        <f ca="1"/>
        <v>1.5951758435152101</v>
      </c>
      <c r="X156" s="37">
        <f t="array" aca="1" ref="X156:AB156" ca="1">MMULT(F156:INDEX(F156:P156,$G$16),TRANSPOSE($R$3:INDEX($R$3:$Y$7,$R$1,$G$16)))</f>
        <v>1</v>
      </c>
      <c r="Y156" s="37">
        <f ca="1"/>
        <v>-1.38945119207794</v>
      </c>
      <c r="Z156" s="37">
        <f ca="1"/>
        <v>1.2770205836618154</v>
      </c>
      <c r="AA156" s="37">
        <f ca="1"/>
        <v>-0.30527715594083371</v>
      </c>
      <c r="AB156" s="37">
        <f ca="1"/>
        <v>1.5951758435152101</v>
      </c>
      <c r="AD156">
        <f ca="1"/>
        <v>0</v>
      </c>
      <c r="AE156">
        <f ca="1"/>
        <v>0</v>
      </c>
      <c r="AF156">
        <f ca="1"/>
        <v>0</v>
      </c>
      <c r="AG156">
        <f ca="1"/>
        <v>0</v>
      </c>
      <c r="AH156">
        <f ca="1"/>
        <v>0</v>
      </c>
    </row>
    <row r="157" spans="1:34" x14ac:dyDescent="0.4">
      <c r="A157" s="37">
        <v>137</v>
      </c>
      <c r="B157" s="36">
        <v>2.5999999999999788</v>
      </c>
      <c r="D157" s="37">
        <f t="shared" ca="1" si="6"/>
        <v>2.5999999999999788</v>
      </c>
      <c r="E157" s="37">
        <f t="shared" ca="1" si="7"/>
        <v>2.5999999999999788</v>
      </c>
      <c r="F157">
        <f ca="1"/>
        <v>0</v>
      </c>
      <c r="G157">
        <f ca="1"/>
        <v>0</v>
      </c>
      <c r="H157">
        <f ca="1"/>
        <v>6.6666666666670316E-2</v>
      </c>
      <c r="I157">
        <f ca="1"/>
        <v>0.93333333333332968</v>
      </c>
      <c r="J157">
        <f ca="1"/>
        <v>0</v>
      </c>
      <c r="K157">
        <f ca="1"/>
        <v>0</v>
      </c>
      <c r="L157">
        <f ca="1"/>
        <v>0</v>
      </c>
      <c r="R157">
        <f ca="1"/>
        <v>1</v>
      </c>
      <c r="S157">
        <f ca="1"/>
        <v>-1.44304182642914</v>
      </c>
      <c r="T157">
        <f ca="1"/>
        <v>1.296582940435288</v>
      </c>
      <c r="U157">
        <f ca="1"/>
        <v>-0.31589232324874367</v>
      </c>
      <c r="V157">
        <f ca="1"/>
        <v>1.653781812864259</v>
      </c>
      <c r="X157" s="37">
        <f t="array" aca="1" ref="X157:AB157" ca="1">MMULT(F157:INDEX(F157:P157,$G$16),TRANSPOSE($R$3:INDEX($R$3:$Y$7,$R$1,$G$16)))</f>
        <v>1</v>
      </c>
      <c r="Y157" s="37">
        <f ca="1"/>
        <v>-1.44304182642914</v>
      </c>
      <c r="Z157" s="37">
        <f ca="1"/>
        <v>1.296582940435288</v>
      </c>
      <c r="AA157" s="37">
        <f ca="1"/>
        <v>-0.31589232324874367</v>
      </c>
      <c r="AB157" s="37">
        <f ca="1"/>
        <v>1.653781812864259</v>
      </c>
      <c r="AD157">
        <f ca="1"/>
        <v>0</v>
      </c>
      <c r="AE157">
        <f ca="1"/>
        <v>0</v>
      </c>
      <c r="AF157">
        <f ca="1"/>
        <v>0</v>
      </c>
      <c r="AG157">
        <f ca="1"/>
        <v>0</v>
      </c>
      <c r="AH157">
        <f ca="1"/>
        <v>0</v>
      </c>
    </row>
    <row r="158" spans="1:34" x14ac:dyDescent="0.4">
      <c r="A158" s="37">
        <v>138</v>
      </c>
      <c r="B158" s="36">
        <v>2.6999999999999789</v>
      </c>
      <c r="D158" s="37">
        <f t="shared" ca="1" si="6"/>
        <v>2.6999999999999789</v>
      </c>
      <c r="E158" s="37">
        <f t="shared" ca="1" si="7"/>
        <v>2.6999999999999789</v>
      </c>
      <c r="F158">
        <f ca="1"/>
        <v>0</v>
      </c>
      <c r="G158">
        <f ca="1"/>
        <v>0</v>
      </c>
      <c r="H158">
        <f ca="1"/>
        <v>5.0000000000003486E-2</v>
      </c>
      <c r="I158">
        <f ca="1"/>
        <v>0.94999999999999651</v>
      </c>
      <c r="J158">
        <f ca="1"/>
        <v>0</v>
      </c>
      <c r="K158">
        <f ca="1"/>
        <v>0</v>
      </c>
      <c r="L158">
        <f ca="1"/>
        <v>0</v>
      </c>
      <c r="R158">
        <f ca="1"/>
        <v>1</v>
      </c>
      <c r="S158">
        <f ca="1"/>
        <v>-1.496632460780341</v>
      </c>
      <c r="T158">
        <f ca="1"/>
        <v>1.3161452972087606</v>
      </c>
      <c r="U158">
        <f ca="1"/>
        <v>-0.32650749055665385</v>
      </c>
      <c r="V158">
        <f ca="1"/>
        <v>1.7123877822133089</v>
      </c>
      <c r="X158" s="37">
        <f t="array" aca="1" ref="X158:AB158" ca="1">MMULT(F158:INDEX(F158:P158,$G$16),TRANSPOSE($R$3:INDEX($R$3:$Y$7,$R$1,$G$16)))</f>
        <v>1</v>
      </c>
      <c r="Y158" s="37">
        <f ca="1"/>
        <v>-1.496632460780341</v>
      </c>
      <c r="Z158" s="37">
        <f ca="1"/>
        <v>1.3161452972087606</v>
      </c>
      <c r="AA158" s="37">
        <f ca="1"/>
        <v>-0.32650749055665385</v>
      </c>
      <c r="AB158" s="37">
        <f ca="1"/>
        <v>1.7123877822133089</v>
      </c>
      <c r="AD158">
        <f ca="1"/>
        <v>0</v>
      </c>
      <c r="AE158">
        <f ca="1"/>
        <v>0</v>
      </c>
      <c r="AF158">
        <f ca="1"/>
        <v>0</v>
      </c>
      <c r="AG158">
        <f ca="1"/>
        <v>0</v>
      </c>
      <c r="AH158">
        <f ca="1"/>
        <v>0</v>
      </c>
    </row>
    <row r="159" spans="1:34" x14ac:dyDescent="0.4">
      <c r="A159" s="37">
        <v>139</v>
      </c>
      <c r="B159" s="36">
        <v>2.799999999999979</v>
      </c>
      <c r="D159" s="37">
        <f t="shared" ca="1" si="6"/>
        <v>2.799999999999979</v>
      </c>
      <c r="E159" s="37">
        <f t="shared" ca="1" si="7"/>
        <v>2.799999999999979</v>
      </c>
      <c r="F159">
        <f ca="1"/>
        <v>0</v>
      </c>
      <c r="G159">
        <f ca="1"/>
        <v>0</v>
      </c>
      <c r="H159">
        <f ca="1"/>
        <v>3.3333333333336768E-2</v>
      </c>
      <c r="I159">
        <f ca="1"/>
        <v>0.96666666666666323</v>
      </c>
      <c r="J159">
        <f ca="1"/>
        <v>0</v>
      </c>
      <c r="K159">
        <f ca="1"/>
        <v>0</v>
      </c>
      <c r="L159">
        <f ca="1"/>
        <v>0</v>
      </c>
      <c r="R159">
        <f ca="1"/>
        <v>1</v>
      </c>
      <c r="S159">
        <f ca="1"/>
        <v>-1.5502230951315414</v>
      </c>
      <c r="T159">
        <f ca="1"/>
        <v>1.3357076539822335</v>
      </c>
      <c r="U159">
        <f ca="1"/>
        <v>-0.33712265786456402</v>
      </c>
      <c r="V159">
        <f ca="1"/>
        <v>1.7709937515623582</v>
      </c>
      <c r="X159" s="37">
        <f t="array" aca="1" ref="X159:AB159" ca="1">MMULT(F159:INDEX(F159:P159,$G$16),TRANSPOSE($R$3:INDEX($R$3:$Y$7,$R$1,$G$16)))</f>
        <v>1</v>
      </c>
      <c r="Y159" s="37">
        <f ca="1"/>
        <v>-1.5502230951315414</v>
      </c>
      <c r="Z159" s="37">
        <f ca="1"/>
        <v>1.3357076539822335</v>
      </c>
      <c r="AA159" s="37">
        <f ca="1"/>
        <v>-0.33712265786456402</v>
      </c>
      <c r="AB159" s="37">
        <f ca="1"/>
        <v>1.7709937515623582</v>
      </c>
      <c r="AD159">
        <f ca="1"/>
        <v>0</v>
      </c>
      <c r="AE159">
        <f ca="1"/>
        <v>0</v>
      </c>
      <c r="AF159">
        <f ca="1"/>
        <v>0</v>
      </c>
      <c r="AG159">
        <f ca="1"/>
        <v>0</v>
      </c>
      <c r="AH159">
        <f ca="1"/>
        <v>0</v>
      </c>
    </row>
    <row r="160" spans="1:34" x14ac:dyDescent="0.4">
      <c r="A160" s="37">
        <v>140</v>
      </c>
      <c r="B160" s="36">
        <v>2.899999999999979</v>
      </c>
      <c r="D160" s="37">
        <f t="shared" ca="1" si="6"/>
        <v>2.899999999999979</v>
      </c>
      <c r="E160" s="37">
        <f t="shared" ca="1" si="7"/>
        <v>2.899999999999979</v>
      </c>
      <c r="F160">
        <f ca="1"/>
        <v>0</v>
      </c>
      <c r="G160">
        <f ca="1"/>
        <v>0</v>
      </c>
      <c r="H160">
        <f ca="1"/>
        <v>1.666666666667016E-2</v>
      </c>
      <c r="I160">
        <f ca="1"/>
        <v>0.98333333333332984</v>
      </c>
      <c r="J160">
        <f ca="1"/>
        <v>0</v>
      </c>
      <c r="K160">
        <f ca="1"/>
        <v>0</v>
      </c>
      <c r="L160">
        <f ca="1"/>
        <v>0</v>
      </c>
      <c r="R160">
        <f ca="1"/>
        <v>1</v>
      </c>
      <c r="S160">
        <f ca="1"/>
        <v>-1.6038137294827415</v>
      </c>
      <c r="T160">
        <f ca="1"/>
        <v>1.3552700107557059</v>
      </c>
      <c r="U160">
        <f ca="1"/>
        <v>-0.34773782517247398</v>
      </c>
      <c r="V160">
        <f ca="1"/>
        <v>1.829599720911407</v>
      </c>
      <c r="X160" s="37">
        <f t="array" aca="1" ref="X160:AB160" ca="1">MMULT(F160:INDEX(F160:P160,$G$16),TRANSPOSE($R$3:INDEX($R$3:$Y$7,$R$1,$G$16)))</f>
        <v>1</v>
      </c>
      <c r="Y160" s="37">
        <f ca="1"/>
        <v>-1.6038137294827415</v>
      </c>
      <c r="Z160" s="37">
        <f ca="1"/>
        <v>1.3552700107557059</v>
      </c>
      <c r="AA160" s="37">
        <f ca="1"/>
        <v>-0.34773782517247398</v>
      </c>
      <c r="AB160" s="37">
        <f ca="1"/>
        <v>1.829599720911407</v>
      </c>
      <c r="AD160">
        <f ca="1"/>
        <v>0</v>
      </c>
      <c r="AE160">
        <f ca="1"/>
        <v>0</v>
      </c>
      <c r="AF160">
        <f ca="1"/>
        <v>0</v>
      </c>
      <c r="AG160">
        <f ca="1"/>
        <v>0</v>
      </c>
      <c r="AH160">
        <f ca="1"/>
        <v>0</v>
      </c>
    </row>
    <row r="161" spans="1:34" x14ac:dyDescent="0.4">
      <c r="A161" s="37">
        <v>141</v>
      </c>
      <c r="B161" s="36">
        <v>2.9999999999999791</v>
      </c>
      <c r="D161" s="37">
        <f t="shared" ca="1" si="6"/>
        <v>2.9999999999999791</v>
      </c>
      <c r="E161" s="37">
        <f t="shared" ca="1" si="7"/>
        <v>2.9999999999999791</v>
      </c>
      <c r="F161">
        <f ca="1"/>
        <v>0</v>
      </c>
      <c r="G161">
        <f ca="1"/>
        <v>0</v>
      </c>
      <c r="H161">
        <f ca="1"/>
        <v>3.5527136788005009E-15</v>
      </c>
      <c r="I161">
        <f ca="1"/>
        <v>0.99999999999999645</v>
      </c>
      <c r="J161">
        <f ca="1"/>
        <v>0</v>
      </c>
      <c r="K161">
        <f ca="1"/>
        <v>0</v>
      </c>
      <c r="L161">
        <f ca="1"/>
        <v>0</v>
      </c>
      <c r="R161">
        <f ca="1"/>
        <v>1</v>
      </c>
      <c r="S161">
        <f ca="1"/>
        <v>-1.6574043638339417</v>
      </c>
      <c r="T161">
        <f ca="1"/>
        <v>1.3748323675291785</v>
      </c>
      <c r="U161">
        <f ca="1"/>
        <v>-0.35835299248038405</v>
      </c>
      <c r="V161">
        <f ca="1"/>
        <v>1.888205690260456</v>
      </c>
      <c r="X161" s="37">
        <f t="array" aca="1" ref="X161:AB161" ca="1">MMULT(F161:INDEX(F161:P161,$G$16),TRANSPOSE($R$3:INDEX($R$3:$Y$7,$R$1,$G$16)))</f>
        <v>1</v>
      </c>
      <c r="Y161" s="37">
        <f ca="1"/>
        <v>-1.6574043638339417</v>
      </c>
      <c r="Z161" s="37">
        <f ca="1"/>
        <v>1.3748323675291785</v>
      </c>
      <c r="AA161" s="37">
        <f ca="1"/>
        <v>-0.35835299248038405</v>
      </c>
      <c r="AB161" s="37">
        <f ca="1"/>
        <v>1.888205690260456</v>
      </c>
      <c r="AD161">
        <f ca="1"/>
        <v>0</v>
      </c>
      <c r="AE161">
        <f ca="1"/>
        <v>0</v>
      </c>
      <c r="AF161">
        <f ca="1"/>
        <v>0</v>
      </c>
      <c r="AG161">
        <f ca="1"/>
        <v>0</v>
      </c>
      <c r="AH161">
        <f ca="1"/>
        <v>0</v>
      </c>
    </row>
    <row r="162" spans="1:34" x14ac:dyDescent="0.4">
      <c r="A162" s="37">
        <v>142</v>
      </c>
      <c r="B162" s="36">
        <v>3.0999999999999792</v>
      </c>
      <c r="D162" s="37">
        <f t="shared" ca="1" si="6"/>
        <v>3.0999999999999792</v>
      </c>
      <c r="E162" s="37">
        <f t="shared" ca="1" si="7"/>
        <v>3.0999999999999792</v>
      </c>
      <c r="F162">
        <f ca="1"/>
        <v>0</v>
      </c>
      <c r="G162">
        <f ca="1"/>
        <v>0</v>
      </c>
      <c r="H162">
        <f ca="1"/>
        <v>0</v>
      </c>
      <c r="I162">
        <f ca="1"/>
        <v>0.90000000000002078</v>
      </c>
      <c r="J162">
        <f ca="1"/>
        <v>9.9999999999979217E-2</v>
      </c>
      <c r="K162">
        <f ca="1"/>
        <v>0</v>
      </c>
      <c r="L162">
        <f ca="1"/>
        <v>0</v>
      </c>
      <c r="R162">
        <f ca="1"/>
        <v>1</v>
      </c>
      <c r="S162">
        <f ca="1"/>
        <v>-1.5405384286339663</v>
      </c>
      <c r="T162">
        <f ca="1"/>
        <v>1.1607135727492768</v>
      </c>
      <c r="U162">
        <f ca="1"/>
        <v>-0.19620202699947253</v>
      </c>
      <c r="V162">
        <f ca="1"/>
        <v>1.6622966251468347</v>
      </c>
      <c r="X162" s="37">
        <f t="array" aca="1" ref="X162:AB162" ca="1">MMULT(F162:INDEX(F162:P162,$G$16),TRANSPOSE($R$3:INDEX($R$3:$Y$7,$R$1,$G$16)))</f>
        <v>1</v>
      </c>
      <c r="Y162" s="37">
        <f ca="1"/>
        <v>-1.5405384286339663</v>
      </c>
      <c r="Z162" s="37">
        <f ca="1"/>
        <v>1.1607135727492768</v>
      </c>
      <c r="AA162" s="37">
        <f ca="1"/>
        <v>-0.19620202699947253</v>
      </c>
      <c r="AB162" s="37">
        <f ca="1"/>
        <v>1.6622966251468347</v>
      </c>
      <c r="AD162">
        <f ca="1"/>
        <v>0</v>
      </c>
      <c r="AE162">
        <f ca="1"/>
        <v>0</v>
      </c>
      <c r="AF162">
        <f ca="1"/>
        <v>0</v>
      </c>
      <c r="AG162">
        <f ca="1"/>
        <v>0</v>
      </c>
      <c r="AH162">
        <f ca="1"/>
        <v>0</v>
      </c>
    </row>
    <row r="163" spans="1:34" x14ac:dyDescent="0.4">
      <c r="A163" s="37">
        <v>143</v>
      </c>
      <c r="B163" s="36">
        <v>3.1999999999999793</v>
      </c>
      <c r="D163" s="37">
        <f t="shared" ca="1" si="6"/>
        <v>3.1999999999999793</v>
      </c>
      <c r="E163" s="37">
        <f t="shared" ca="1" si="7"/>
        <v>3.1999999999999793</v>
      </c>
      <c r="F163">
        <f ca="1"/>
        <v>0</v>
      </c>
      <c r="G163">
        <f ca="1"/>
        <v>0</v>
      </c>
      <c r="H163">
        <f ca="1"/>
        <v>0</v>
      </c>
      <c r="I163">
        <f ca="1"/>
        <v>0.80000000000002069</v>
      </c>
      <c r="J163">
        <f ca="1"/>
        <v>0.19999999999997931</v>
      </c>
      <c r="K163">
        <f ca="1"/>
        <v>0</v>
      </c>
      <c r="L163">
        <f ca="1"/>
        <v>0</v>
      </c>
      <c r="R163">
        <f ca="1"/>
        <v>1</v>
      </c>
      <c r="S163">
        <f ca="1"/>
        <v>-1.4236724934339546</v>
      </c>
      <c r="T163">
        <f ca="1"/>
        <v>0.94659477796932623</v>
      </c>
      <c r="U163">
        <f ca="1"/>
        <v>-3.4051061518524939E-2</v>
      </c>
      <c r="V163">
        <f ca="1"/>
        <v>1.4363875600331537</v>
      </c>
      <c r="X163" s="37">
        <f t="array" aca="1" ref="X163:AB163" ca="1">MMULT(F163:INDEX(F163:P163,$G$16),TRANSPOSE($R$3:INDEX($R$3:$Y$7,$R$1,$G$16)))</f>
        <v>1</v>
      </c>
      <c r="Y163" s="37">
        <f ca="1"/>
        <v>-1.4236724934339546</v>
      </c>
      <c r="Z163" s="37">
        <f ca="1"/>
        <v>0.94659477796932623</v>
      </c>
      <c r="AA163" s="37">
        <f ca="1"/>
        <v>-3.4051061518524939E-2</v>
      </c>
      <c r="AB163" s="37">
        <f ca="1"/>
        <v>1.4363875600331537</v>
      </c>
      <c r="AD163">
        <f ca="1"/>
        <v>0</v>
      </c>
      <c r="AE163">
        <f ca="1"/>
        <v>0</v>
      </c>
      <c r="AF163">
        <f ca="1"/>
        <v>0</v>
      </c>
      <c r="AG163">
        <f ca="1"/>
        <v>0</v>
      </c>
      <c r="AH163">
        <f ca="1"/>
        <v>0</v>
      </c>
    </row>
    <row r="164" spans="1:34" x14ac:dyDescent="0.4">
      <c r="A164" s="37">
        <v>144</v>
      </c>
      <c r="B164" s="36">
        <v>3.2999999999999794</v>
      </c>
      <c r="D164" s="37">
        <f t="shared" ca="1" si="6"/>
        <v>3.2999999999999794</v>
      </c>
      <c r="E164" s="37">
        <f t="shared" ca="1" si="7"/>
        <v>3.2999999999999794</v>
      </c>
      <c r="F164">
        <f ca="1"/>
        <v>0</v>
      </c>
      <c r="G164">
        <f ca="1"/>
        <v>0</v>
      </c>
      <c r="H164">
        <f ca="1"/>
        <v>0</v>
      </c>
      <c r="I164">
        <f ca="1"/>
        <v>0.70000000000002061</v>
      </c>
      <c r="J164">
        <f ca="1"/>
        <v>0.29999999999997939</v>
      </c>
      <c r="K164">
        <f ca="1"/>
        <v>0</v>
      </c>
      <c r="L164">
        <f ca="1"/>
        <v>0</v>
      </c>
      <c r="R164">
        <f ca="1"/>
        <v>1</v>
      </c>
      <c r="S164">
        <f ca="1"/>
        <v>-1.3068065582339434</v>
      </c>
      <c r="T164">
        <f ca="1"/>
        <v>0.7324759831893759</v>
      </c>
      <c r="U164">
        <f ca="1"/>
        <v>0.12809990396242271</v>
      </c>
      <c r="V164">
        <f ca="1"/>
        <v>1.2104784949194727</v>
      </c>
      <c r="X164" s="37">
        <f t="array" aca="1" ref="X164:AB164" ca="1">MMULT(F164:INDEX(F164:P164,$G$16),TRANSPOSE($R$3:INDEX($R$3:$Y$7,$R$1,$G$16)))</f>
        <v>1</v>
      </c>
      <c r="Y164" s="37">
        <f ca="1"/>
        <v>-1.3068065582339434</v>
      </c>
      <c r="Z164" s="37">
        <f ca="1"/>
        <v>0.7324759831893759</v>
      </c>
      <c r="AA164" s="37">
        <f ca="1"/>
        <v>0.12809990396242271</v>
      </c>
      <c r="AB164" s="37">
        <f ca="1"/>
        <v>1.2104784949194727</v>
      </c>
      <c r="AD164">
        <f ca="1"/>
        <v>0</v>
      </c>
      <c r="AE164">
        <f ca="1"/>
        <v>0</v>
      </c>
      <c r="AF164">
        <f ca="1"/>
        <v>0</v>
      </c>
      <c r="AG164">
        <f ca="1"/>
        <v>0</v>
      </c>
      <c r="AH164">
        <f ca="1"/>
        <v>0</v>
      </c>
    </row>
    <row r="165" spans="1:34" x14ac:dyDescent="0.4">
      <c r="A165" s="37">
        <v>145</v>
      </c>
      <c r="B165" s="36">
        <v>3.3999999999999795</v>
      </c>
      <c r="D165" s="37">
        <f t="shared" ca="1" si="6"/>
        <v>3.3999999999999795</v>
      </c>
      <c r="E165" s="37">
        <f t="shared" ca="1" si="7"/>
        <v>3.3999999999999795</v>
      </c>
      <c r="F165">
        <f ca="1"/>
        <v>0</v>
      </c>
      <c r="G165">
        <f ca="1"/>
        <v>0</v>
      </c>
      <c r="H165">
        <f ca="1"/>
        <v>0</v>
      </c>
      <c r="I165">
        <f ca="1"/>
        <v>0.60000000000002052</v>
      </c>
      <c r="J165">
        <f ca="1"/>
        <v>0.39999999999997948</v>
      </c>
      <c r="K165">
        <f ca="1"/>
        <v>0</v>
      </c>
      <c r="L165">
        <f ca="1"/>
        <v>0</v>
      </c>
      <c r="R165">
        <f ca="1"/>
        <v>1</v>
      </c>
      <c r="S165">
        <f ca="1"/>
        <v>-1.1899406230339318</v>
      </c>
      <c r="T165">
        <f ca="1"/>
        <v>0.51835718840942535</v>
      </c>
      <c r="U165">
        <f ca="1"/>
        <v>0.29025086944337031</v>
      </c>
      <c r="V165">
        <f ca="1"/>
        <v>0.98456942980579176</v>
      </c>
      <c r="X165" s="37">
        <f t="array" aca="1" ref="X165:AB165" ca="1">MMULT(F165:INDEX(F165:P165,$G$16),TRANSPOSE($R$3:INDEX($R$3:$Y$7,$R$1,$G$16)))</f>
        <v>1</v>
      </c>
      <c r="Y165" s="37">
        <f ca="1"/>
        <v>-1.1899406230339318</v>
      </c>
      <c r="Z165" s="37">
        <f ca="1"/>
        <v>0.51835718840942535</v>
      </c>
      <c r="AA165" s="37">
        <f ca="1"/>
        <v>0.29025086944337031</v>
      </c>
      <c r="AB165" s="37">
        <f ca="1"/>
        <v>0.98456942980579176</v>
      </c>
      <c r="AD165">
        <f ca="1"/>
        <v>0</v>
      </c>
      <c r="AE165">
        <f ca="1"/>
        <v>0</v>
      </c>
      <c r="AF165">
        <f ca="1"/>
        <v>0</v>
      </c>
      <c r="AG165">
        <f ca="1"/>
        <v>0</v>
      </c>
      <c r="AH165">
        <f ca="1"/>
        <v>0</v>
      </c>
    </row>
    <row r="166" spans="1:34" x14ac:dyDescent="0.4">
      <c r="A166" s="37">
        <v>146</v>
      </c>
      <c r="B166" s="36">
        <v>3.4999999999999796</v>
      </c>
      <c r="D166" s="37">
        <f t="shared" ca="1" si="6"/>
        <v>3.4999999999999796</v>
      </c>
      <c r="E166" s="37">
        <f t="shared" ca="1" si="7"/>
        <v>3.4999999999999796</v>
      </c>
      <c r="F166">
        <f ca="1"/>
        <v>0</v>
      </c>
      <c r="G166">
        <f ca="1"/>
        <v>0</v>
      </c>
      <c r="H166">
        <f ca="1"/>
        <v>0</v>
      </c>
      <c r="I166">
        <f ca="1"/>
        <v>0.50000000000002043</v>
      </c>
      <c r="J166">
        <f ca="1"/>
        <v>0.49999999999997957</v>
      </c>
      <c r="K166">
        <f ca="1"/>
        <v>0</v>
      </c>
      <c r="L166">
        <f ca="1"/>
        <v>0</v>
      </c>
      <c r="R166">
        <f ca="1"/>
        <v>1</v>
      </c>
      <c r="S166">
        <f ca="1"/>
        <v>-1.0730746878339206</v>
      </c>
      <c r="T166">
        <f ca="1"/>
        <v>0.3042383936294748</v>
      </c>
      <c r="U166">
        <f ca="1"/>
        <v>0.45240183492431796</v>
      </c>
      <c r="V166">
        <f ca="1"/>
        <v>0.75866036469211073</v>
      </c>
      <c r="X166" s="37">
        <f t="array" aca="1" ref="X166:AB166" ca="1">MMULT(F166:INDEX(F166:P166,$G$16),TRANSPOSE($R$3:INDEX($R$3:$Y$7,$R$1,$G$16)))</f>
        <v>1</v>
      </c>
      <c r="Y166" s="37">
        <f ca="1"/>
        <v>-1.0730746878339206</v>
      </c>
      <c r="Z166" s="37">
        <f ca="1"/>
        <v>0.3042383936294748</v>
      </c>
      <c r="AA166" s="37">
        <f ca="1"/>
        <v>0.45240183492431796</v>
      </c>
      <c r="AB166" s="37">
        <f ca="1"/>
        <v>0.75866036469211073</v>
      </c>
      <c r="AD166">
        <f ca="1"/>
        <v>0</v>
      </c>
      <c r="AE166">
        <f ca="1"/>
        <v>0</v>
      </c>
      <c r="AF166">
        <f ca="1"/>
        <v>0</v>
      </c>
      <c r="AG166">
        <f ca="1"/>
        <v>0</v>
      </c>
      <c r="AH166">
        <f ca="1"/>
        <v>0</v>
      </c>
    </row>
    <row r="167" spans="1:34" x14ac:dyDescent="0.4">
      <c r="A167" s="37">
        <v>147</v>
      </c>
      <c r="B167" s="36">
        <v>3.5999999999999797</v>
      </c>
      <c r="D167" s="37">
        <f t="shared" ca="1" si="6"/>
        <v>3.5999999999999797</v>
      </c>
      <c r="E167" s="37">
        <f t="shared" ca="1" si="7"/>
        <v>3.5999999999999797</v>
      </c>
      <c r="F167">
        <f ca="1"/>
        <v>0</v>
      </c>
      <c r="G167">
        <f ca="1"/>
        <v>0</v>
      </c>
      <c r="H167">
        <f ca="1"/>
        <v>0</v>
      </c>
      <c r="I167">
        <f ca="1"/>
        <v>0.40000000000002034</v>
      </c>
      <c r="J167">
        <f ca="1"/>
        <v>0.59999999999997966</v>
      </c>
      <c r="K167">
        <f ca="1"/>
        <v>0</v>
      </c>
      <c r="L167">
        <f ca="1"/>
        <v>0</v>
      </c>
      <c r="R167">
        <f ca="1"/>
        <v>1</v>
      </c>
      <c r="S167">
        <f ca="1"/>
        <v>-0.95620875263390892</v>
      </c>
      <c r="T167">
        <f ca="1"/>
        <v>9.0119598849524252E-2</v>
      </c>
      <c r="U167">
        <f ca="1"/>
        <v>0.6145528004052655</v>
      </c>
      <c r="V167">
        <f ca="1"/>
        <v>0.53275129957842982</v>
      </c>
      <c r="X167" s="37">
        <f t="array" aca="1" ref="X167:AB167" ca="1">MMULT(F167:INDEX(F167:P167,$G$16),TRANSPOSE($R$3:INDEX($R$3:$Y$7,$R$1,$G$16)))</f>
        <v>1</v>
      </c>
      <c r="Y167" s="37">
        <f ca="1"/>
        <v>-0.95620875263390892</v>
      </c>
      <c r="Z167" s="37">
        <f ca="1"/>
        <v>9.0119598849524252E-2</v>
      </c>
      <c r="AA167" s="37">
        <f ca="1"/>
        <v>0.6145528004052655</v>
      </c>
      <c r="AB167" s="37">
        <f ca="1"/>
        <v>0.53275129957842982</v>
      </c>
      <c r="AD167">
        <f ca="1"/>
        <v>0</v>
      </c>
      <c r="AE167">
        <f ca="1"/>
        <v>0</v>
      </c>
      <c r="AF167">
        <f ca="1"/>
        <v>0</v>
      </c>
      <c r="AG167">
        <f ca="1"/>
        <v>0</v>
      </c>
      <c r="AH167">
        <f ca="1"/>
        <v>0</v>
      </c>
    </row>
    <row r="168" spans="1:34" x14ac:dyDescent="0.4">
      <c r="A168" s="37">
        <v>148</v>
      </c>
      <c r="B168" s="36">
        <v>3.6999999999999797</v>
      </c>
      <c r="D168" s="37">
        <f t="shared" ca="1" si="6"/>
        <v>3.6999999999999797</v>
      </c>
      <c r="E168" s="37">
        <f t="shared" ca="1" si="7"/>
        <v>3.6999999999999797</v>
      </c>
      <c r="F168">
        <f ca="1"/>
        <v>0</v>
      </c>
      <c r="G168">
        <f ca="1"/>
        <v>0</v>
      </c>
      <c r="H168">
        <f ca="1"/>
        <v>0</v>
      </c>
      <c r="I168">
        <f ca="1"/>
        <v>0.30000000000002025</v>
      </c>
      <c r="J168">
        <f ca="1"/>
        <v>0.69999999999997975</v>
      </c>
      <c r="K168">
        <f ca="1"/>
        <v>0</v>
      </c>
      <c r="L168">
        <f ca="1"/>
        <v>0</v>
      </c>
      <c r="R168">
        <f ca="1"/>
        <v>1</v>
      </c>
      <c r="S168">
        <f ca="1"/>
        <v>-0.8393428174338976</v>
      </c>
      <c r="T168">
        <f ca="1"/>
        <v>-0.1239991959304263</v>
      </c>
      <c r="U168">
        <f ca="1"/>
        <v>0.77670376588621315</v>
      </c>
      <c r="V168">
        <f ca="1"/>
        <v>0.3068422344647489</v>
      </c>
      <c r="X168" s="37">
        <f t="array" aca="1" ref="X168:AB168" ca="1">MMULT(F168:INDEX(F168:P168,$G$16),TRANSPOSE($R$3:INDEX($R$3:$Y$7,$R$1,$G$16)))</f>
        <v>1</v>
      </c>
      <c r="Y168" s="37">
        <f ca="1"/>
        <v>-0.8393428174338976</v>
      </c>
      <c r="Z168" s="37">
        <f ca="1"/>
        <v>-0.1239991959304263</v>
      </c>
      <c r="AA168" s="37">
        <f ca="1"/>
        <v>0.77670376588621315</v>
      </c>
      <c r="AB168" s="37">
        <f ca="1"/>
        <v>0.3068422344647489</v>
      </c>
      <c r="AD168">
        <f ca="1"/>
        <v>0</v>
      </c>
      <c r="AE168">
        <f ca="1"/>
        <v>0</v>
      </c>
      <c r="AF168">
        <f ca="1"/>
        <v>0</v>
      </c>
      <c r="AG168">
        <f ca="1"/>
        <v>0</v>
      </c>
      <c r="AH168">
        <f ca="1"/>
        <v>0</v>
      </c>
    </row>
    <row r="169" spans="1:34" x14ac:dyDescent="0.4">
      <c r="A169" s="37">
        <v>149</v>
      </c>
      <c r="B169" s="36">
        <v>3.7999999999999798</v>
      </c>
      <c r="D169" s="37">
        <f t="shared" ca="1" si="6"/>
        <v>3.7999999999999798</v>
      </c>
      <c r="E169" s="37">
        <f t="shared" ca="1" si="7"/>
        <v>3.7999999999999798</v>
      </c>
      <c r="F169">
        <f ca="1"/>
        <v>0</v>
      </c>
      <c r="G169">
        <f ca="1"/>
        <v>0</v>
      </c>
      <c r="H169">
        <f ca="1"/>
        <v>0</v>
      </c>
      <c r="I169">
        <f ca="1"/>
        <v>0.20000000000002016</v>
      </c>
      <c r="J169">
        <f ca="1"/>
        <v>0.79999999999997984</v>
      </c>
      <c r="K169">
        <f ca="1"/>
        <v>0</v>
      </c>
      <c r="L169">
        <f ca="1"/>
        <v>0</v>
      </c>
      <c r="R169">
        <f ca="1"/>
        <v>1</v>
      </c>
      <c r="S169">
        <f ca="1"/>
        <v>-0.72247688223388606</v>
      </c>
      <c r="T169">
        <f ca="1"/>
        <v>-0.33811799071037668</v>
      </c>
      <c r="U169">
        <f ca="1"/>
        <v>0.9388547313671608</v>
      </c>
      <c r="V169">
        <f ca="1"/>
        <v>8.0933169351067924E-2</v>
      </c>
      <c r="X169" s="37">
        <f t="array" aca="1" ref="X169:AB169" ca="1">MMULT(F169:INDEX(F169:P169,$G$16),TRANSPOSE($R$3:INDEX($R$3:$Y$7,$R$1,$G$16)))</f>
        <v>1</v>
      </c>
      <c r="Y169" s="37">
        <f ca="1"/>
        <v>-0.72247688223388606</v>
      </c>
      <c r="Z169" s="37">
        <f ca="1"/>
        <v>-0.33811799071037668</v>
      </c>
      <c r="AA169" s="37">
        <f ca="1"/>
        <v>0.9388547313671608</v>
      </c>
      <c r="AB169" s="37">
        <f ca="1"/>
        <v>8.0933169351067924E-2</v>
      </c>
      <c r="AD169">
        <f ca="1"/>
        <v>0</v>
      </c>
      <c r="AE169">
        <f ca="1"/>
        <v>0</v>
      </c>
      <c r="AF169">
        <f ca="1"/>
        <v>0</v>
      </c>
      <c r="AG169">
        <f ca="1"/>
        <v>0</v>
      </c>
      <c r="AH169">
        <f ca="1"/>
        <v>0</v>
      </c>
    </row>
    <row r="170" spans="1:34" x14ac:dyDescent="0.4">
      <c r="A170" s="37">
        <v>150</v>
      </c>
      <c r="B170" s="36">
        <v>3.8999999999999799</v>
      </c>
      <c r="D170" s="37">
        <f t="shared" ca="1" si="6"/>
        <v>3.8999999999999799</v>
      </c>
      <c r="E170" s="37">
        <f t="shared" ca="1" si="7"/>
        <v>3.8999999999999799</v>
      </c>
      <c r="F170">
        <f ca="1"/>
        <v>0</v>
      </c>
      <c r="G170">
        <f ca="1"/>
        <v>0</v>
      </c>
      <c r="H170">
        <f ca="1"/>
        <v>0</v>
      </c>
      <c r="I170">
        <f ca="1"/>
        <v>0.10000000000002007</v>
      </c>
      <c r="J170">
        <f ca="1"/>
        <v>0.89999999999997993</v>
      </c>
      <c r="K170">
        <f ca="1"/>
        <v>0</v>
      </c>
      <c r="L170">
        <f ca="1"/>
        <v>0</v>
      </c>
      <c r="R170">
        <f ca="1"/>
        <v>1</v>
      </c>
      <c r="S170">
        <f ca="1"/>
        <v>-0.60561094703387464</v>
      </c>
      <c r="T170">
        <f ca="1"/>
        <v>-0.55223678549032729</v>
      </c>
      <c r="U170">
        <f ca="1"/>
        <v>1.1010056968481086</v>
      </c>
      <c r="V170">
        <f ca="1"/>
        <v>-0.14497589576261305</v>
      </c>
      <c r="X170" s="37">
        <f t="array" aca="1" ref="X170:AB170" ca="1">MMULT(F170:INDEX(F170:P170,$G$16),TRANSPOSE($R$3:INDEX($R$3:$Y$7,$R$1,$G$16)))</f>
        <v>1</v>
      </c>
      <c r="Y170" s="37">
        <f ca="1"/>
        <v>-0.60561094703387464</v>
      </c>
      <c r="Z170" s="37">
        <f ca="1"/>
        <v>-0.55223678549032729</v>
      </c>
      <c r="AA170" s="37">
        <f ca="1"/>
        <v>1.1010056968481086</v>
      </c>
      <c r="AB170" s="37">
        <f ca="1"/>
        <v>-0.14497589576261305</v>
      </c>
      <c r="AD170">
        <f ca="1"/>
        <v>0</v>
      </c>
      <c r="AE170">
        <f ca="1"/>
        <v>0</v>
      </c>
      <c r="AF170">
        <f ca="1"/>
        <v>0</v>
      </c>
      <c r="AG170">
        <f ca="1"/>
        <v>0</v>
      </c>
      <c r="AH170">
        <f ca="1"/>
        <v>0</v>
      </c>
    </row>
    <row r="171" spans="1:34" x14ac:dyDescent="0.4">
      <c r="A171" s="37">
        <v>151</v>
      </c>
      <c r="B171" s="36">
        <v>3.99999999999998</v>
      </c>
      <c r="D171" s="37">
        <f t="shared" ca="1" si="6"/>
        <v>3.99999999999998</v>
      </c>
      <c r="E171" s="37">
        <f t="shared" ca="1" si="7"/>
        <v>3.99999999999998</v>
      </c>
      <c r="F171">
        <f ca="1"/>
        <v>0</v>
      </c>
      <c r="G171">
        <f ca="1"/>
        <v>0</v>
      </c>
      <c r="H171">
        <f ca="1"/>
        <v>0</v>
      </c>
      <c r="I171">
        <f ca="1"/>
        <v>1.9984014443252818E-14</v>
      </c>
      <c r="J171">
        <f ca="1"/>
        <v>0.99999999999998002</v>
      </c>
      <c r="K171">
        <f ca="1"/>
        <v>0</v>
      </c>
      <c r="L171">
        <f ca="1"/>
        <v>0</v>
      </c>
      <c r="R171">
        <f ca="1"/>
        <v>1</v>
      </c>
      <c r="S171">
        <f ca="1"/>
        <v>-0.48874501183386326</v>
      </c>
      <c r="T171">
        <f ca="1"/>
        <v>-0.76635558027027784</v>
      </c>
      <c r="U171">
        <f ca="1"/>
        <v>1.263156662329056</v>
      </c>
      <c r="V171">
        <f ca="1"/>
        <v>-0.37088496087629397</v>
      </c>
      <c r="X171" s="37">
        <f t="array" aca="1" ref="X171:AB171" ca="1">MMULT(F171:INDEX(F171:P171,$G$16),TRANSPOSE($R$3:INDEX($R$3:$Y$7,$R$1,$G$16)))</f>
        <v>1</v>
      </c>
      <c r="Y171" s="37">
        <f ca="1"/>
        <v>-0.48874501183386326</v>
      </c>
      <c r="Z171" s="37">
        <f ca="1"/>
        <v>-0.76635558027027784</v>
      </c>
      <c r="AA171" s="37">
        <f ca="1"/>
        <v>1.263156662329056</v>
      </c>
      <c r="AB171" s="37">
        <f ca="1"/>
        <v>-0.37088496087629397</v>
      </c>
      <c r="AD171">
        <f ca="1"/>
        <v>0</v>
      </c>
      <c r="AE171">
        <f ca="1"/>
        <v>0</v>
      </c>
      <c r="AF171">
        <f ca="1"/>
        <v>0</v>
      </c>
      <c r="AG171">
        <f ca="1"/>
        <v>0</v>
      </c>
      <c r="AH171">
        <f ca="1"/>
        <v>0</v>
      </c>
    </row>
    <row r="172" spans="1:34" x14ac:dyDescent="0.4">
      <c r="A172" s="37">
        <v>152</v>
      </c>
      <c r="B172" s="36">
        <v>4.0999999999999801</v>
      </c>
      <c r="D172" s="37">
        <f t="shared" ca="1" si="6"/>
        <v>4.0999999999999801</v>
      </c>
      <c r="E172" s="37">
        <f t="shared" ca="1" si="7"/>
        <v>4.0999999999999801</v>
      </c>
      <c r="F172">
        <f ca="1"/>
        <v>0</v>
      </c>
      <c r="G172">
        <f ca="1"/>
        <v>0</v>
      </c>
      <c r="H172">
        <f ca="1"/>
        <v>0</v>
      </c>
      <c r="I172">
        <f ca="1"/>
        <v>0</v>
      </c>
      <c r="J172">
        <f ca="1"/>
        <v>0.9000000000000199</v>
      </c>
      <c r="K172">
        <f ca="1"/>
        <v>9.9999999999980105E-2</v>
      </c>
      <c r="L172">
        <f ca="1"/>
        <v>0</v>
      </c>
      <c r="R172">
        <f ca="1"/>
        <v>1</v>
      </c>
      <c r="S172">
        <f ca="1"/>
        <v>-0.30389989601701917</v>
      </c>
      <c r="T172">
        <f ca="1"/>
        <v>-0.55546150238721714</v>
      </c>
      <c r="U172">
        <f ca="1"/>
        <v>1.2861307772487633</v>
      </c>
      <c r="V172">
        <f ca="1"/>
        <v>-0.42894885152479001</v>
      </c>
      <c r="X172" s="37">
        <f t="array" aca="1" ref="X172:AB172" ca="1">MMULT(F172:INDEX(F172:P172,$G$16),TRANSPOSE($R$3:INDEX($R$3:$Y$7,$R$1,$G$16)))</f>
        <v>1</v>
      </c>
      <c r="Y172" s="37">
        <f ca="1"/>
        <v>-0.30389989601701917</v>
      </c>
      <c r="Z172" s="37">
        <f ca="1"/>
        <v>-0.55546150238721714</v>
      </c>
      <c r="AA172" s="37">
        <f ca="1"/>
        <v>1.2861307772487633</v>
      </c>
      <c r="AB172" s="37">
        <f ca="1"/>
        <v>-0.42894885152479001</v>
      </c>
      <c r="AD172">
        <f ca="1"/>
        <v>0</v>
      </c>
      <c r="AE172">
        <f ca="1"/>
        <v>0</v>
      </c>
      <c r="AF172">
        <f ca="1"/>
        <v>0</v>
      </c>
      <c r="AG172">
        <f ca="1"/>
        <v>0</v>
      </c>
      <c r="AH172">
        <f ca="1"/>
        <v>0</v>
      </c>
    </row>
    <row r="173" spans="1:34" x14ac:dyDescent="0.4">
      <c r="A173" s="37">
        <v>153</v>
      </c>
      <c r="B173" s="36">
        <v>4.1999999999999797</v>
      </c>
      <c r="D173" s="37">
        <f t="shared" ca="1" si="6"/>
        <v>4.1999999999999797</v>
      </c>
      <c r="E173" s="37">
        <f t="shared" ca="1" si="7"/>
        <v>4.1999999999999797</v>
      </c>
      <c r="F173">
        <f ca="1"/>
        <v>0</v>
      </c>
      <c r="G173">
        <f ca="1"/>
        <v>0</v>
      </c>
      <c r="H173">
        <f ca="1"/>
        <v>0</v>
      </c>
      <c r="I173">
        <f ca="1"/>
        <v>0</v>
      </c>
      <c r="J173">
        <f ca="1"/>
        <v>0.80000000000002025</v>
      </c>
      <c r="K173">
        <f ca="1"/>
        <v>0.19999999999997975</v>
      </c>
      <c r="L173">
        <f ca="1"/>
        <v>0</v>
      </c>
      <c r="R173">
        <f ca="1"/>
        <v>1</v>
      </c>
      <c r="S173">
        <f ca="1"/>
        <v>-0.1190547802001623</v>
      </c>
      <c r="T173">
        <f ca="1"/>
        <v>-0.34456742450407246</v>
      </c>
      <c r="U173">
        <f ca="1"/>
        <v>1.3091048921684427</v>
      </c>
      <c r="V173">
        <f ca="1"/>
        <v>-0.4870127421732523</v>
      </c>
      <c r="X173" s="37">
        <f t="array" aca="1" ref="X173:AB173" ca="1">MMULT(F173:INDEX(F173:P173,$G$16),TRANSPOSE($R$3:INDEX($R$3:$Y$7,$R$1,$G$16)))</f>
        <v>1</v>
      </c>
      <c r="Y173" s="37">
        <f ca="1"/>
        <v>-0.1190547802001623</v>
      </c>
      <c r="Z173" s="37">
        <f ca="1"/>
        <v>-0.34456742450407246</v>
      </c>
      <c r="AA173" s="37">
        <f ca="1"/>
        <v>1.3091048921684427</v>
      </c>
      <c r="AB173" s="37">
        <f ca="1"/>
        <v>-0.4870127421732523</v>
      </c>
      <c r="AD173">
        <f ca="1"/>
        <v>0</v>
      </c>
      <c r="AE173">
        <f ca="1"/>
        <v>0</v>
      </c>
      <c r="AF173">
        <f ca="1"/>
        <v>0</v>
      </c>
      <c r="AG173">
        <f ca="1"/>
        <v>0</v>
      </c>
      <c r="AH173">
        <f ca="1"/>
        <v>0</v>
      </c>
    </row>
    <row r="174" spans="1:34" x14ac:dyDescent="0.4">
      <c r="A174" s="37">
        <v>154</v>
      </c>
      <c r="B174" s="36">
        <v>4.2999999999999794</v>
      </c>
      <c r="D174" s="37">
        <f t="shared" ca="1" si="6"/>
        <v>4.2999999999999794</v>
      </c>
      <c r="E174" s="37">
        <f t="shared" ca="1" si="7"/>
        <v>4.2999999999999794</v>
      </c>
      <c r="F174">
        <f ca="1"/>
        <v>0</v>
      </c>
      <c r="G174">
        <f ca="1"/>
        <v>0</v>
      </c>
      <c r="H174">
        <f ca="1"/>
        <v>0</v>
      </c>
      <c r="I174">
        <f ca="1"/>
        <v>0</v>
      </c>
      <c r="J174">
        <f ca="1"/>
        <v>0.70000000000002061</v>
      </c>
      <c r="K174">
        <f ca="1"/>
        <v>0.29999999999997939</v>
      </c>
      <c r="L174">
        <f ca="1"/>
        <v>0</v>
      </c>
      <c r="R174">
        <f ca="1"/>
        <v>1</v>
      </c>
      <c r="S174">
        <f ca="1"/>
        <v>6.5790335616694506E-2</v>
      </c>
      <c r="T174">
        <f ca="1"/>
        <v>-0.13367334662092789</v>
      </c>
      <c r="U174">
        <f ca="1"/>
        <v>1.3320790070881221</v>
      </c>
      <c r="V174">
        <f ca="1"/>
        <v>-0.54507663282171448</v>
      </c>
      <c r="X174" s="37">
        <f t="array" aca="1" ref="X174:AB174" ca="1">MMULT(F174:INDEX(F174:P174,$G$16),TRANSPOSE($R$3:INDEX($R$3:$Y$7,$R$1,$G$16)))</f>
        <v>1</v>
      </c>
      <c r="Y174" s="37">
        <f ca="1"/>
        <v>6.5790335616694506E-2</v>
      </c>
      <c r="Z174" s="37">
        <f ca="1"/>
        <v>-0.13367334662092789</v>
      </c>
      <c r="AA174" s="37">
        <f ca="1"/>
        <v>1.3320790070881221</v>
      </c>
      <c r="AB174" s="37">
        <f ca="1"/>
        <v>-0.54507663282171448</v>
      </c>
      <c r="AD174">
        <f ca="1"/>
        <v>0</v>
      </c>
      <c r="AE174">
        <f ca="1"/>
        <v>0</v>
      </c>
      <c r="AF174">
        <f ca="1"/>
        <v>0</v>
      </c>
      <c r="AG174">
        <f ca="1"/>
        <v>0</v>
      </c>
      <c r="AH174">
        <f ca="1"/>
        <v>0</v>
      </c>
    </row>
    <row r="175" spans="1:34" x14ac:dyDescent="0.4">
      <c r="A175" s="37">
        <v>155</v>
      </c>
      <c r="B175" s="36">
        <v>4.399999999999979</v>
      </c>
      <c r="D175" s="37">
        <f t="shared" ca="1" si="6"/>
        <v>4.399999999999979</v>
      </c>
      <c r="E175" s="37">
        <f t="shared" ca="1" si="7"/>
        <v>4.399999999999979</v>
      </c>
      <c r="F175">
        <f ca="1"/>
        <v>0</v>
      </c>
      <c r="G175">
        <f ca="1"/>
        <v>0</v>
      </c>
      <c r="H175">
        <f ca="1"/>
        <v>0</v>
      </c>
      <c r="I175">
        <f ca="1"/>
        <v>0</v>
      </c>
      <c r="J175">
        <f ca="1"/>
        <v>0.60000000000002096</v>
      </c>
      <c r="K175">
        <f ca="1"/>
        <v>0.39999999999997904</v>
      </c>
      <c r="L175">
        <f ca="1"/>
        <v>0</v>
      </c>
      <c r="R175">
        <f ca="1"/>
        <v>1</v>
      </c>
      <c r="S175">
        <f ca="1"/>
        <v>0.25063545143355132</v>
      </c>
      <c r="T175">
        <f ca="1"/>
        <v>7.7220731262216846E-2</v>
      </c>
      <c r="U175">
        <f ca="1"/>
        <v>1.3550531220078015</v>
      </c>
      <c r="V175">
        <f ca="1"/>
        <v>-0.60314052347017677</v>
      </c>
      <c r="X175" s="37">
        <f t="array" aca="1" ref="X175:AB175" ca="1">MMULT(F175:INDEX(F175:P175,$G$16),TRANSPOSE($R$3:INDEX($R$3:$Y$7,$R$1,$G$16)))</f>
        <v>1</v>
      </c>
      <c r="Y175" s="37">
        <f ca="1"/>
        <v>0.25063545143355132</v>
      </c>
      <c r="Z175" s="37">
        <f ca="1"/>
        <v>7.7220731262216846E-2</v>
      </c>
      <c r="AA175" s="37">
        <f ca="1"/>
        <v>1.3550531220078015</v>
      </c>
      <c r="AB175" s="37">
        <f ca="1"/>
        <v>-0.60314052347017677</v>
      </c>
      <c r="AD175">
        <f ca="1"/>
        <v>0</v>
      </c>
      <c r="AE175">
        <f ca="1"/>
        <v>0</v>
      </c>
      <c r="AF175">
        <f ca="1"/>
        <v>0</v>
      </c>
      <c r="AG175">
        <f ca="1"/>
        <v>0</v>
      </c>
      <c r="AH175">
        <f ca="1"/>
        <v>0</v>
      </c>
    </row>
    <row r="176" spans="1:34" x14ac:dyDescent="0.4">
      <c r="A176" s="37">
        <v>156</v>
      </c>
      <c r="B176" s="36">
        <v>4.4999999999999787</v>
      </c>
      <c r="D176" s="37">
        <f t="shared" ca="1" si="6"/>
        <v>4.4999999999999787</v>
      </c>
      <c r="E176" s="37">
        <f t="shared" ca="1" si="7"/>
        <v>4.4999999999999787</v>
      </c>
      <c r="F176">
        <f ca="1"/>
        <v>0</v>
      </c>
      <c r="G176">
        <f ca="1"/>
        <v>0</v>
      </c>
      <c r="H176">
        <f ca="1"/>
        <v>0</v>
      </c>
      <c r="I176">
        <f ca="1"/>
        <v>0</v>
      </c>
      <c r="J176">
        <f ca="1"/>
        <v>0.50000000000002132</v>
      </c>
      <c r="K176">
        <f ca="1"/>
        <v>0.49999999999997868</v>
      </c>
      <c r="L176">
        <f ca="1"/>
        <v>0</v>
      </c>
      <c r="R176">
        <f ca="1"/>
        <v>1</v>
      </c>
      <c r="S176">
        <f ca="1"/>
        <v>0.43548056725040818</v>
      </c>
      <c r="T176">
        <f ca="1"/>
        <v>0.28811480914536147</v>
      </c>
      <c r="U176">
        <f ca="1"/>
        <v>1.3780272369274809</v>
      </c>
      <c r="V176">
        <f ca="1"/>
        <v>-0.66120441411863895</v>
      </c>
      <c r="X176" s="37">
        <f t="array" aca="1" ref="X176:AB176" ca="1">MMULT(F176:INDEX(F176:P176,$G$16),TRANSPOSE($R$3:INDEX($R$3:$Y$7,$R$1,$G$16)))</f>
        <v>1</v>
      </c>
      <c r="Y176" s="37">
        <f ca="1"/>
        <v>0.43548056725040818</v>
      </c>
      <c r="Z176" s="37">
        <f ca="1"/>
        <v>0.28811480914536147</v>
      </c>
      <c r="AA176" s="37">
        <f ca="1"/>
        <v>1.3780272369274809</v>
      </c>
      <c r="AB176" s="37">
        <f ca="1"/>
        <v>-0.66120441411863895</v>
      </c>
      <c r="AD176">
        <f ca="1"/>
        <v>0</v>
      </c>
      <c r="AE176">
        <f ca="1"/>
        <v>0</v>
      </c>
      <c r="AF176">
        <f ca="1"/>
        <v>0</v>
      </c>
      <c r="AG176">
        <f ca="1"/>
        <v>0</v>
      </c>
      <c r="AH176">
        <f ca="1"/>
        <v>0</v>
      </c>
    </row>
    <row r="177" spans="1:34" x14ac:dyDescent="0.4">
      <c r="A177" s="37">
        <v>157</v>
      </c>
      <c r="B177" s="36">
        <v>4.5999999999999783</v>
      </c>
      <c r="D177" s="37">
        <f t="shared" ca="1" si="6"/>
        <v>4.5999999999999783</v>
      </c>
      <c r="E177" s="37">
        <f t="shared" ca="1" si="7"/>
        <v>4.5999999999999783</v>
      </c>
      <c r="F177">
        <f ca="1"/>
        <v>0</v>
      </c>
      <c r="G177">
        <f ca="1"/>
        <v>0</v>
      </c>
      <c r="H177">
        <f ca="1"/>
        <v>0</v>
      </c>
      <c r="I177">
        <f ca="1"/>
        <v>0</v>
      </c>
      <c r="J177">
        <f ca="1"/>
        <v>0.40000000000002167</v>
      </c>
      <c r="K177">
        <f ca="1"/>
        <v>0.59999999999997833</v>
      </c>
      <c r="L177">
        <f ca="1"/>
        <v>0</v>
      </c>
      <c r="R177">
        <f ca="1"/>
        <v>1</v>
      </c>
      <c r="S177">
        <f ca="1"/>
        <v>0.62032568306726499</v>
      </c>
      <c r="T177">
        <f ca="1"/>
        <v>0.49900888702850615</v>
      </c>
      <c r="U177">
        <f ca="1"/>
        <v>1.4010013518471602</v>
      </c>
      <c r="V177">
        <f ca="1"/>
        <v>-0.71926830476710113</v>
      </c>
      <c r="X177" s="37">
        <f t="array" aca="1" ref="X177:AB177" ca="1">MMULT(F177:INDEX(F177:P177,$G$16),TRANSPOSE($R$3:INDEX($R$3:$Y$7,$R$1,$G$16)))</f>
        <v>1</v>
      </c>
      <c r="Y177" s="37">
        <f ca="1"/>
        <v>0.62032568306726499</v>
      </c>
      <c r="Z177" s="37">
        <f ca="1"/>
        <v>0.49900888702850615</v>
      </c>
      <c r="AA177" s="37">
        <f ca="1"/>
        <v>1.4010013518471602</v>
      </c>
      <c r="AB177" s="37">
        <f ca="1"/>
        <v>-0.71926830476710113</v>
      </c>
      <c r="AD177">
        <f ca="1"/>
        <v>0</v>
      </c>
      <c r="AE177">
        <f ca="1"/>
        <v>0</v>
      </c>
      <c r="AF177">
        <f ca="1"/>
        <v>0</v>
      </c>
      <c r="AG177">
        <f ca="1"/>
        <v>0</v>
      </c>
      <c r="AH177">
        <f ca="1"/>
        <v>0</v>
      </c>
    </row>
    <row r="178" spans="1:34" x14ac:dyDescent="0.4">
      <c r="A178" s="37">
        <v>158</v>
      </c>
      <c r="B178" s="36">
        <v>4.699999999999978</v>
      </c>
      <c r="D178" s="37">
        <f t="shared" ca="1" si="6"/>
        <v>4.699999999999978</v>
      </c>
      <c r="E178" s="37">
        <f t="shared" ca="1" si="7"/>
        <v>4.699999999999978</v>
      </c>
      <c r="F178">
        <f ca="1"/>
        <v>0</v>
      </c>
      <c r="G178">
        <f ca="1"/>
        <v>0</v>
      </c>
      <c r="H178">
        <f ca="1"/>
        <v>0</v>
      </c>
      <c r="I178">
        <f ca="1"/>
        <v>0</v>
      </c>
      <c r="J178">
        <f ca="1"/>
        <v>0.30000000000002203</v>
      </c>
      <c r="K178">
        <f ca="1"/>
        <v>0.69999999999997797</v>
      </c>
      <c r="L178">
        <f ca="1"/>
        <v>0</v>
      </c>
      <c r="R178">
        <f ca="1"/>
        <v>1</v>
      </c>
      <c r="S178">
        <f ca="1"/>
        <v>0.80517079888412191</v>
      </c>
      <c r="T178">
        <f ca="1"/>
        <v>0.70990296491165072</v>
      </c>
      <c r="U178">
        <f ca="1"/>
        <v>1.4239754667668396</v>
      </c>
      <c r="V178">
        <f ca="1"/>
        <v>-0.77733219541556331</v>
      </c>
      <c r="X178" s="37">
        <f t="array" aca="1" ref="X178:AB178" ca="1">MMULT(F178:INDEX(F178:P178,$G$16),TRANSPOSE($R$3:INDEX($R$3:$Y$7,$R$1,$G$16)))</f>
        <v>1</v>
      </c>
      <c r="Y178" s="37">
        <f ca="1"/>
        <v>0.80517079888412191</v>
      </c>
      <c r="Z178" s="37">
        <f ca="1"/>
        <v>0.70990296491165072</v>
      </c>
      <c r="AA178" s="37">
        <f ca="1"/>
        <v>1.4239754667668396</v>
      </c>
      <c r="AB178" s="37">
        <f ca="1"/>
        <v>-0.77733219541556331</v>
      </c>
      <c r="AD178">
        <f ca="1"/>
        <v>0</v>
      </c>
      <c r="AE178">
        <f ca="1"/>
        <v>0</v>
      </c>
      <c r="AF178">
        <f ca="1"/>
        <v>0</v>
      </c>
      <c r="AG178">
        <f ca="1"/>
        <v>0</v>
      </c>
      <c r="AH178">
        <f ca="1"/>
        <v>0</v>
      </c>
    </row>
    <row r="179" spans="1:34" x14ac:dyDescent="0.4">
      <c r="A179" s="37">
        <v>159</v>
      </c>
      <c r="B179" s="36">
        <v>4.7999999999999776</v>
      </c>
      <c r="D179" s="37">
        <f t="shared" ca="1" si="6"/>
        <v>4.7999999999999776</v>
      </c>
      <c r="E179" s="37">
        <f t="shared" ca="1" si="7"/>
        <v>4.7999999999999776</v>
      </c>
      <c r="F179">
        <f ca="1"/>
        <v>0</v>
      </c>
      <c r="G179">
        <f ca="1"/>
        <v>0</v>
      </c>
      <c r="H179">
        <f ca="1"/>
        <v>0</v>
      </c>
      <c r="I179">
        <f ca="1"/>
        <v>0</v>
      </c>
      <c r="J179">
        <f ca="1"/>
        <v>0.20000000000002238</v>
      </c>
      <c r="K179">
        <f ca="1"/>
        <v>0.79999999999997762</v>
      </c>
      <c r="L179">
        <f ca="1"/>
        <v>0</v>
      </c>
      <c r="R179">
        <f ca="1"/>
        <v>1</v>
      </c>
      <c r="S179">
        <f ca="1"/>
        <v>0.99001591470097883</v>
      </c>
      <c r="T179">
        <f ca="1"/>
        <v>0.92079704279479546</v>
      </c>
      <c r="U179">
        <f ca="1"/>
        <v>1.446949581686519</v>
      </c>
      <c r="V179">
        <f ca="1"/>
        <v>-0.8353960860640256</v>
      </c>
      <c r="X179" s="37">
        <f t="array" aca="1" ref="X179:AB179" ca="1">MMULT(F179:INDEX(F179:P179,$G$16),TRANSPOSE($R$3:INDEX($R$3:$Y$7,$R$1,$G$16)))</f>
        <v>1</v>
      </c>
      <c r="Y179" s="37">
        <f ca="1"/>
        <v>0.99001591470097883</v>
      </c>
      <c r="Z179" s="37">
        <f ca="1"/>
        <v>0.92079704279479546</v>
      </c>
      <c r="AA179" s="37">
        <f ca="1"/>
        <v>1.446949581686519</v>
      </c>
      <c r="AB179" s="37">
        <f ca="1"/>
        <v>-0.8353960860640256</v>
      </c>
      <c r="AD179">
        <f ca="1"/>
        <v>0</v>
      </c>
      <c r="AE179">
        <f ca="1"/>
        <v>0</v>
      </c>
      <c r="AF179">
        <f ca="1"/>
        <v>0</v>
      </c>
      <c r="AG179">
        <f ca="1"/>
        <v>0</v>
      </c>
      <c r="AH179">
        <f ca="1"/>
        <v>0</v>
      </c>
    </row>
    <row r="180" spans="1:34" x14ac:dyDescent="0.4">
      <c r="A180" s="37">
        <v>160</v>
      </c>
      <c r="B180" s="36">
        <v>4.8999999999999773</v>
      </c>
      <c r="D180" s="37">
        <f t="shared" ca="1" si="6"/>
        <v>4.8999999999999773</v>
      </c>
      <c r="E180" s="37">
        <f t="shared" ca="1" si="7"/>
        <v>4.8999999999999773</v>
      </c>
      <c r="F180">
        <f ca="1"/>
        <v>0</v>
      </c>
      <c r="G180">
        <f ca="1"/>
        <v>0</v>
      </c>
      <c r="H180">
        <f ca="1"/>
        <v>0</v>
      </c>
      <c r="I180">
        <f ca="1"/>
        <v>0</v>
      </c>
      <c r="J180">
        <f ca="1"/>
        <v>0.10000000000002274</v>
      </c>
      <c r="K180">
        <f ca="1"/>
        <v>0.89999999999997726</v>
      </c>
      <c r="L180">
        <f ca="1"/>
        <v>0</v>
      </c>
      <c r="R180">
        <f ca="1"/>
        <v>1</v>
      </c>
      <c r="S180">
        <f ca="1"/>
        <v>1.1748610305178355</v>
      </c>
      <c r="T180">
        <f ca="1"/>
        <v>1.1316911206779401</v>
      </c>
      <c r="U180">
        <f ca="1"/>
        <v>1.4699236966061986</v>
      </c>
      <c r="V180">
        <f ca="1"/>
        <v>-0.89345997671248778</v>
      </c>
      <c r="X180" s="37">
        <f t="array" aca="1" ref="X180:AB180" ca="1">MMULT(F180:INDEX(F180:P180,$G$16),TRANSPOSE($R$3:INDEX($R$3:$Y$7,$R$1,$G$16)))</f>
        <v>1</v>
      </c>
      <c r="Y180" s="37">
        <f ca="1"/>
        <v>1.1748610305178355</v>
      </c>
      <c r="Z180" s="37">
        <f ca="1"/>
        <v>1.1316911206779401</v>
      </c>
      <c r="AA180" s="37">
        <f ca="1"/>
        <v>1.4699236966061986</v>
      </c>
      <c r="AB180" s="37">
        <f ca="1"/>
        <v>-0.89345997671248778</v>
      </c>
      <c r="AD180">
        <f ca="1"/>
        <v>0</v>
      </c>
      <c r="AE180">
        <f ca="1"/>
        <v>0</v>
      </c>
      <c r="AF180">
        <f ca="1"/>
        <v>0</v>
      </c>
      <c r="AG180">
        <f ca="1"/>
        <v>0</v>
      </c>
      <c r="AH180">
        <f ca="1"/>
        <v>0</v>
      </c>
    </row>
    <row r="181" spans="1:34" x14ac:dyDescent="0.4">
      <c r="A181" s="37">
        <v>161</v>
      </c>
      <c r="B181" s="36">
        <v>4.9999999999999769</v>
      </c>
      <c r="D181" s="37">
        <f t="shared" ca="1" si="6"/>
        <v>4.9999999999999769</v>
      </c>
      <c r="E181" s="37">
        <f t="shared" ca="1" si="7"/>
        <v>4.9999999999999769</v>
      </c>
      <c r="F181">
        <f ca="1"/>
        <v>0</v>
      </c>
      <c r="G181">
        <f ca="1"/>
        <v>0</v>
      </c>
      <c r="H181">
        <f ca="1"/>
        <v>0</v>
      </c>
      <c r="I181">
        <f ca="1"/>
        <v>0</v>
      </c>
      <c r="J181">
        <f ca="1"/>
        <v>2.3092638912203256E-14</v>
      </c>
      <c r="K181">
        <f ca="1"/>
        <v>0.99999999999997691</v>
      </c>
      <c r="L181">
        <f ca="1"/>
        <v>0</v>
      </c>
      <c r="R181">
        <f ca="1"/>
        <v>1</v>
      </c>
      <c r="S181">
        <f ca="1"/>
        <v>1.3597061463346924</v>
      </c>
      <c r="T181">
        <f ca="1"/>
        <v>1.3425851985610846</v>
      </c>
      <c r="U181">
        <f ca="1"/>
        <v>1.4928978115258777</v>
      </c>
      <c r="V181">
        <f ca="1"/>
        <v>-0.95152386736094996</v>
      </c>
      <c r="X181" s="37">
        <f t="array" aca="1" ref="X181:AB181" ca="1">MMULT(F181:INDEX(F181:P181,$G$16),TRANSPOSE($R$3:INDEX($R$3:$Y$7,$R$1,$G$16)))</f>
        <v>1</v>
      </c>
      <c r="Y181" s="37">
        <f ca="1"/>
        <v>1.3597061463346924</v>
      </c>
      <c r="Z181" s="37">
        <f ca="1"/>
        <v>1.3425851985610846</v>
      </c>
      <c r="AA181" s="37">
        <f ca="1"/>
        <v>1.4928978115258777</v>
      </c>
      <c r="AB181" s="37">
        <f ca="1"/>
        <v>-0.95152386736094996</v>
      </c>
      <c r="AD181">
        <f ca="1"/>
        <v>0</v>
      </c>
      <c r="AE181">
        <f ca="1"/>
        <v>0</v>
      </c>
      <c r="AF181">
        <f ca="1"/>
        <v>0</v>
      </c>
      <c r="AG181">
        <f ca="1"/>
        <v>0</v>
      </c>
      <c r="AH181">
        <f ca="1"/>
        <v>0</v>
      </c>
    </row>
    <row r="182" spans="1:34" x14ac:dyDescent="0.4">
      <c r="A182" s="37">
        <v>162</v>
      </c>
      <c r="B182" s="36">
        <v>5.0999999999999766</v>
      </c>
      <c r="D182" s="37">
        <f t="shared" ca="1" si="6"/>
        <v>5.0999999999999766</v>
      </c>
      <c r="E182" s="37">
        <f t="shared" ca="1" si="7"/>
        <v>5.0999999999999766</v>
      </c>
      <c r="F182">
        <f ca="1"/>
        <v>0</v>
      </c>
      <c r="G182">
        <f ca="1"/>
        <v>0</v>
      </c>
      <c r="H182">
        <f ca="1"/>
        <v>0</v>
      </c>
      <c r="I182">
        <f ca="1"/>
        <v>0</v>
      </c>
      <c r="J182">
        <f ca="1"/>
        <v>0</v>
      </c>
      <c r="K182">
        <f ca="1"/>
        <v>0.90000000000002345</v>
      </c>
      <c r="L182">
        <f ca="1"/>
        <v>9.9999999999976552E-2</v>
      </c>
      <c r="R182">
        <f ca="1"/>
        <v>1</v>
      </c>
      <c r="S182">
        <f ca="1"/>
        <v>1.3359231860654697</v>
      </c>
      <c r="T182">
        <f ca="1"/>
        <v>1.2103119500307233</v>
      </c>
      <c r="U182">
        <f ca="1"/>
        <v>1.4393375843865233</v>
      </c>
      <c r="V182">
        <f ca="1"/>
        <v>-0.67543601418895904</v>
      </c>
      <c r="X182" s="37">
        <f t="array" aca="1" ref="X182:AB182" ca="1">MMULT(F182:INDEX(F182:P182,$G$16),TRANSPOSE($R$3:INDEX($R$3:$Y$7,$R$1,$G$16)))</f>
        <v>1</v>
      </c>
      <c r="Y182" s="37">
        <f ca="1"/>
        <v>1.3359231860654697</v>
      </c>
      <c r="Z182" s="37">
        <f ca="1"/>
        <v>1.2103119500307233</v>
      </c>
      <c r="AA182" s="37">
        <f ca="1"/>
        <v>1.4393375843865233</v>
      </c>
      <c r="AB182" s="37">
        <f ca="1"/>
        <v>-0.67543601418895904</v>
      </c>
      <c r="AD182">
        <f ca="1"/>
        <v>0</v>
      </c>
      <c r="AE182">
        <f ca="1"/>
        <v>0</v>
      </c>
      <c r="AF182">
        <f ca="1"/>
        <v>0</v>
      </c>
      <c r="AG182">
        <f ca="1"/>
        <v>0</v>
      </c>
      <c r="AH182">
        <f ca="1"/>
        <v>0</v>
      </c>
    </row>
    <row r="183" spans="1:34" x14ac:dyDescent="0.4">
      <c r="A183" s="37">
        <v>163</v>
      </c>
      <c r="B183" s="36">
        <v>5.1999999999999762</v>
      </c>
      <c r="D183" s="37">
        <f t="shared" ca="1" si="6"/>
        <v>5.1999999999999762</v>
      </c>
      <c r="E183" s="37">
        <f t="shared" ca="1" si="7"/>
        <v>5.1999999999999762</v>
      </c>
      <c r="F183">
        <f ca="1"/>
        <v>0</v>
      </c>
      <c r="G183">
        <f ca="1"/>
        <v>0</v>
      </c>
      <c r="H183">
        <f ca="1"/>
        <v>0</v>
      </c>
      <c r="I183">
        <f ca="1"/>
        <v>0</v>
      </c>
      <c r="J183">
        <f ca="1"/>
        <v>0</v>
      </c>
      <c r="K183">
        <f ca="1"/>
        <v>0.8000000000000238</v>
      </c>
      <c r="L183">
        <f ca="1"/>
        <v>0.1999999999999762</v>
      </c>
      <c r="R183">
        <f ca="1"/>
        <v>1</v>
      </c>
      <c r="S183">
        <f ca="1"/>
        <v>1.3121402257961987</v>
      </c>
      <c r="T183">
        <f ca="1"/>
        <v>1.0780387015002828</v>
      </c>
      <c r="U183">
        <f ca="1"/>
        <v>1.385777357247151</v>
      </c>
      <c r="V183">
        <f ca="1"/>
        <v>-0.39934816101689102</v>
      </c>
      <c r="X183" s="37">
        <f t="array" aca="1" ref="X183:AB183" ca="1">MMULT(F183:INDEX(F183:P183,$G$16),TRANSPOSE($R$3:INDEX($R$3:$Y$7,$R$1,$G$16)))</f>
        <v>1</v>
      </c>
      <c r="Y183" s="37">
        <f ca="1"/>
        <v>1.3121402257961987</v>
      </c>
      <c r="Z183" s="37">
        <f ca="1"/>
        <v>1.0780387015002828</v>
      </c>
      <c r="AA183" s="37">
        <f ca="1"/>
        <v>1.385777357247151</v>
      </c>
      <c r="AB183" s="37">
        <f ca="1"/>
        <v>-0.39934816101689102</v>
      </c>
      <c r="AD183">
        <f ca="1"/>
        <v>0</v>
      </c>
      <c r="AE183">
        <f ca="1"/>
        <v>0</v>
      </c>
      <c r="AF183">
        <f ca="1"/>
        <v>0</v>
      </c>
      <c r="AG183">
        <f ca="1"/>
        <v>0</v>
      </c>
      <c r="AH183">
        <f ca="1"/>
        <v>0</v>
      </c>
    </row>
    <row r="184" spans="1:34" x14ac:dyDescent="0.4">
      <c r="A184" s="37">
        <v>164</v>
      </c>
      <c r="B184" s="36">
        <v>5.2999999999999758</v>
      </c>
      <c r="D184" s="37">
        <f t="shared" ca="1" si="6"/>
        <v>5.2999999999999758</v>
      </c>
      <c r="E184" s="37">
        <f t="shared" ca="1" si="7"/>
        <v>5.2999999999999758</v>
      </c>
      <c r="F184">
        <f ca="1"/>
        <v>0</v>
      </c>
      <c r="G184">
        <f ca="1"/>
        <v>0</v>
      </c>
      <c r="H184">
        <f ca="1"/>
        <v>0</v>
      </c>
      <c r="I184">
        <f ca="1"/>
        <v>0</v>
      </c>
      <c r="J184">
        <f ca="1"/>
        <v>0</v>
      </c>
      <c r="K184">
        <f ca="1"/>
        <v>0.70000000000002416</v>
      </c>
      <c r="L184">
        <f ca="1"/>
        <v>0.29999999999997584</v>
      </c>
      <c r="R184">
        <f ca="1"/>
        <v>1</v>
      </c>
      <c r="S184">
        <f ca="1"/>
        <v>1.2883572655269275</v>
      </c>
      <c r="T184">
        <f ca="1"/>
        <v>0.94576545296984227</v>
      </c>
      <c r="U184">
        <f ca="1"/>
        <v>1.3322171301077788</v>
      </c>
      <c r="V184">
        <f ca="1"/>
        <v>-0.12326030784482289</v>
      </c>
      <c r="X184" s="37">
        <f t="array" aca="1" ref="X184:AB184" ca="1">MMULT(F184:INDEX(F184:P184,$G$16),TRANSPOSE($R$3:INDEX($R$3:$Y$7,$R$1,$G$16)))</f>
        <v>1</v>
      </c>
      <c r="Y184" s="37">
        <f ca="1"/>
        <v>1.2883572655269275</v>
      </c>
      <c r="Z184" s="37">
        <f ca="1"/>
        <v>0.94576545296984227</v>
      </c>
      <c r="AA184" s="37">
        <f ca="1"/>
        <v>1.3322171301077788</v>
      </c>
      <c r="AB184" s="37">
        <f ca="1"/>
        <v>-0.12326030784482289</v>
      </c>
      <c r="AD184">
        <f ca="1"/>
        <v>0</v>
      </c>
      <c r="AE184">
        <f ca="1"/>
        <v>0</v>
      </c>
      <c r="AF184">
        <f ca="1"/>
        <v>0</v>
      </c>
      <c r="AG184">
        <f ca="1"/>
        <v>0</v>
      </c>
      <c r="AH184">
        <f ca="1"/>
        <v>0</v>
      </c>
    </row>
    <row r="185" spans="1:34" x14ac:dyDescent="0.4">
      <c r="A185" s="37">
        <v>165</v>
      </c>
      <c r="B185" s="36">
        <v>5.3999999999999755</v>
      </c>
      <c r="D185" s="37">
        <f t="shared" ca="1" si="6"/>
        <v>5.3999999999999755</v>
      </c>
      <c r="E185" s="37">
        <f t="shared" ca="1" si="7"/>
        <v>5.3999999999999755</v>
      </c>
      <c r="F185">
        <f ca="1"/>
        <v>0</v>
      </c>
      <c r="G185">
        <f ca="1"/>
        <v>0</v>
      </c>
      <c r="H185">
        <f ca="1"/>
        <v>0</v>
      </c>
      <c r="I185">
        <f ca="1"/>
        <v>0</v>
      </c>
      <c r="J185">
        <f ca="1"/>
        <v>0</v>
      </c>
      <c r="K185">
        <f ca="1"/>
        <v>0.60000000000002451</v>
      </c>
      <c r="L185">
        <f ca="1"/>
        <v>0.39999999999997549</v>
      </c>
      <c r="R185">
        <f ca="1"/>
        <v>1</v>
      </c>
      <c r="S185">
        <f ca="1"/>
        <v>1.2645743052576566</v>
      </c>
      <c r="T185">
        <f ca="1"/>
        <v>0.81349220443940162</v>
      </c>
      <c r="U185">
        <f ca="1"/>
        <v>1.2786569029684063</v>
      </c>
      <c r="V185">
        <f ca="1"/>
        <v>0.15282754532724507</v>
      </c>
      <c r="X185" s="37">
        <f t="array" aca="1" ref="X185:AB185" ca="1">MMULT(F185:INDEX(F185:P185,$G$16),TRANSPOSE($R$3:INDEX($R$3:$Y$7,$R$1,$G$16)))</f>
        <v>1</v>
      </c>
      <c r="Y185" s="37">
        <f ca="1"/>
        <v>1.2645743052576566</v>
      </c>
      <c r="Z185" s="37">
        <f ca="1"/>
        <v>0.81349220443940162</v>
      </c>
      <c r="AA185" s="37">
        <f ca="1"/>
        <v>1.2786569029684063</v>
      </c>
      <c r="AB185" s="37">
        <f ca="1"/>
        <v>0.15282754532724507</v>
      </c>
      <c r="AD185">
        <f ca="1"/>
        <v>0</v>
      </c>
      <c r="AE185">
        <f ca="1"/>
        <v>0</v>
      </c>
      <c r="AF185">
        <f ca="1"/>
        <v>0</v>
      </c>
      <c r="AG185">
        <f ca="1"/>
        <v>0</v>
      </c>
      <c r="AH185">
        <f ca="1"/>
        <v>0</v>
      </c>
    </row>
    <row r="186" spans="1:34" x14ac:dyDescent="0.4">
      <c r="A186" s="37">
        <v>166</v>
      </c>
      <c r="B186" s="36">
        <v>5.4999999999999751</v>
      </c>
      <c r="D186" s="37">
        <f t="shared" ca="1" si="6"/>
        <v>5.4999999999999751</v>
      </c>
      <c r="E186" s="37">
        <f t="shared" ca="1" si="7"/>
        <v>5.4999999999999751</v>
      </c>
      <c r="F186">
        <f ca="1"/>
        <v>0</v>
      </c>
      <c r="G186">
        <f ca="1"/>
        <v>0</v>
      </c>
      <c r="H186">
        <f ca="1"/>
        <v>0</v>
      </c>
      <c r="I186">
        <f ca="1"/>
        <v>0</v>
      </c>
      <c r="J186">
        <f ca="1"/>
        <v>0</v>
      </c>
      <c r="K186">
        <f ca="1"/>
        <v>0.50000000000002487</v>
      </c>
      <c r="L186">
        <f ca="1"/>
        <v>0.49999999999997513</v>
      </c>
      <c r="R186">
        <f ca="1"/>
        <v>1</v>
      </c>
      <c r="S186">
        <f ca="1"/>
        <v>1.2407913449883858</v>
      </c>
      <c r="T186">
        <f ca="1"/>
        <v>0.68121895590896109</v>
      </c>
      <c r="U186">
        <f ca="1"/>
        <v>1.225096675829034</v>
      </c>
      <c r="V186">
        <f ca="1"/>
        <v>0.42891539849931326</v>
      </c>
      <c r="X186" s="37">
        <f t="array" aca="1" ref="X186:AB186" ca="1">MMULT(F186:INDEX(F186:P186,$G$16),TRANSPOSE($R$3:INDEX($R$3:$Y$7,$R$1,$G$16)))</f>
        <v>1</v>
      </c>
      <c r="Y186" s="37">
        <f ca="1"/>
        <v>1.2407913449883858</v>
      </c>
      <c r="Z186" s="37">
        <f ca="1"/>
        <v>0.68121895590896109</v>
      </c>
      <c r="AA186" s="37">
        <f ca="1"/>
        <v>1.225096675829034</v>
      </c>
      <c r="AB186" s="37">
        <f ca="1"/>
        <v>0.42891539849931326</v>
      </c>
      <c r="AD186">
        <f ca="1"/>
        <v>0</v>
      </c>
      <c r="AE186">
        <f ca="1"/>
        <v>0</v>
      </c>
      <c r="AF186">
        <f ca="1"/>
        <v>0</v>
      </c>
      <c r="AG186">
        <f ca="1"/>
        <v>0</v>
      </c>
      <c r="AH186">
        <f ca="1"/>
        <v>0</v>
      </c>
    </row>
    <row r="187" spans="1:34" x14ac:dyDescent="0.4">
      <c r="A187" s="37">
        <v>167</v>
      </c>
      <c r="B187" s="36">
        <v>5.5999999999999748</v>
      </c>
      <c r="D187" s="37">
        <f t="shared" ca="1" si="6"/>
        <v>5.5999999999999748</v>
      </c>
      <c r="E187" s="37">
        <f t="shared" ca="1" si="7"/>
        <v>5.5999999999999748</v>
      </c>
      <c r="F187">
        <f ca="1"/>
        <v>0</v>
      </c>
      <c r="G187">
        <f ca="1"/>
        <v>0</v>
      </c>
      <c r="H187">
        <f ca="1"/>
        <v>0</v>
      </c>
      <c r="I187">
        <f ca="1"/>
        <v>0</v>
      </c>
      <c r="J187">
        <f ca="1"/>
        <v>0</v>
      </c>
      <c r="K187">
        <f ca="1"/>
        <v>0.40000000000002522</v>
      </c>
      <c r="L187">
        <f ca="1"/>
        <v>0.59999999999997478</v>
      </c>
      <c r="R187">
        <f ca="1"/>
        <v>1</v>
      </c>
      <c r="S187">
        <f ca="1"/>
        <v>1.2170083847191149</v>
      </c>
      <c r="T187">
        <f ca="1"/>
        <v>0.54894570737852033</v>
      </c>
      <c r="U187">
        <f ca="1"/>
        <v>1.1715364486896618</v>
      </c>
      <c r="V187">
        <f ca="1"/>
        <v>0.70500325167138134</v>
      </c>
      <c r="X187" s="37">
        <f t="array" aca="1" ref="X187:AB187" ca="1">MMULT(F187:INDEX(F187:P187,$G$16),TRANSPOSE($R$3:INDEX($R$3:$Y$7,$R$1,$G$16)))</f>
        <v>1</v>
      </c>
      <c r="Y187" s="37">
        <f ca="1"/>
        <v>1.2170083847191149</v>
      </c>
      <c r="Z187" s="37">
        <f ca="1"/>
        <v>0.54894570737852033</v>
      </c>
      <c r="AA187" s="37">
        <f ca="1"/>
        <v>1.1715364486896618</v>
      </c>
      <c r="AB187" s="37">
        <f ca="1"/>
        <v>0.70500325167138134</v>
      </c>
      <c r="AD187">
        <f ca="1"/>
        <v>0</v>
      </c>
      <c r="AE187">
        <f ca="1"/>
        <v>0</v>
      </c>
      <c r="AF187">
        <f ca="1"/>
        <v>0</v>
      </c>
      <c r="AG187">
        <f ca="1"/>
        <v>0</v>
      </c>
      <c r="AH187">
        <f ca="1"/>
        <v>0</v>
      </c>
    </row>
    <row r="188" spans="1:34" x14ac:dyDescent="0.4">
      <c r="A188" s="37">
        <v>168</v>
      </c>
      <c r="B188" s="36">
        <v>5.6999999999999744</v>
      </c>
      <c r="D188" s="37">
        <f t="shared" ca="1" si="6"/>
        <v>5.6999999999999744</v>
      </c>
      <c r="E188" s="37">
        <f t="shared" ca="1" si="7"/>
        <v>5.6999999999999744</v>
      </c>
      <c r="F188">
        <f ca="1"/>
        <v>0</v>
      </c>
      <c r="G188">
        <f ca="1"/>
        <v>0</v>
      </c>
      <c r="H188">
        <f ca="1"/>
        <v>0</v>
      </c>
      <c r="I188">
        <f ca="1"/>
        <v>0</v>
      </c>
      <c r="J188">
        <f ca="1"/>
        <v>0</v>
      </c>
      <c r="K188">
        <f ca="1"/>
        <v>0.30000000000002558</v>
      </c>
      <c r="L188">
        <f ca="1"/>
        <v>0.69999999999997442</v>
      </c>
      <c r="R188">
        <f ca="1"/>
        <v>1</v>
      </c>
      <c r="S188">
        <f ca="1"/>
        <v>1.1932254244498437</v>
      </c>
      <c r="T188">
        <f ca="1"/>
        <v>0.4166724588480798</v>
      </c>
      <c r="U188">
        <f ca="1"/>
        <v>1.1179762215502895</v>
      </c>
      <c r="V188">
        <f ca="1"/>
        <v>0.98109110484344941</v>
      </c>
      <c r="X188" s="37">
        <f t="array" aca="1" ref="X188:AB188" ca="1">MMULT(F188:INDEX(F188:P188,$G$16),TRANSPOSE($R$3:INDEX($R$3:$Y$7,$R$1,$G$16)))</f>
        <v>1</v>
      </c>
      <c r="Y188" s="37">
        <f ca="1"/>
        <v>1.1932254244498437</v>
      </c>
      <c r="Z188" s="37">
        <f ca="1"/>
        <v>0.4166724588480798</v>
      </c>
      <c r="AA188" s="37">
        <f ca="1"/>
        <v>1.1179762215502895</v>
      </c>
      <c r="AB188" s="37">
        <f ca="1"/>
        <v>0.98109110484344941</v>
      </c>
      <c r="AD188">
        <f ca="1"/>
        <v>0</v>
      </c>
      <c r="AE188">
        <f ca="1"/>
        <v>0</v>
      </c>
      <c r="AF188">
        <f ca="1"/>
        <v>0</v>
      </c>
      <c r="AG188">
        <f ca="1"/>
        <v>0</v>
      </c>
      <c r="AH188">
        <f ca="1"/>
        <v>0</v>
      </c>
    </row>
    <row r="189" spans="1:34" x14ac:dyDescent="0.4">
      <c r="A189" s="37">
        <v>169</v>
      </c>
      <c r="B189" s="36">
        <v>5.7999999999999741</v>
      </c>
      <c r="D189" s="37">
        <f t="shared" ca="1" si="6"/>
        <v>5.7999999999999741</v>
      </c>
      <c r="E189" s="37">
        <f t="shared" ca="1" si="7"/>
        <v>5.7999999999999741</v>
      </c>
      <c r="F189">
        <f ca="1"/>
        <v>0</v>
      </c>
      <c r="G189">
        <f ca="1"/>
        <v>0</v>
      </c>
      <c r="H189">
        <f ca="1"/>
        <v>0</v>
      </c>
      <c r="I189">
        <f ca="1"/>
        <v>0</v>
      </c>
      <c r="J189">
        <f ca="1"/>
        <v>0</v>
      </c>
      <c r="K189">
        <f ca="1"/>
        <v>0.20000000000002593</v>
      </c>
      <c r="L189">
        <f ca="1"/>
        <v>0.79999999999997407</v>
      </c>
      <c r="R189">
        <f ca="1"/>
        <v>1</v>
      </c>
      <c r="S189">
        <f ca="1"/>
        <v>1.1694424641805727</v>
      </c>
      <c r="T189">
        <f ca="1"/>
        <v>0.28439921031763921</v>
      </c>
      <c r="U189">
        <f ca="1"/>
        <v>1.0644159944109171</v>
      </c>
      <c r="V189">
        <f ca="1"/>
        <v>1.2571789580155173</v>
      </c>
      <c r="X189" s="37">
        <f t="array" aca="1" ref="X189:AB189" ca="1">MMULT(F189:INDEX(F189:P189,$G$16),TRANSPOSE($R$3:INDEX($R$3:$Y$7,$R$1,$G$16)))</f>
        <v>1</v>
      </c>
      <c r="Y189" s="37">
        <f ca="1"/>
        <v>1.1694424641805727</v>
      </c>
      <c r="Z189" s="37">
        <f ca="1"/>
        <v>0.28439921031763921</v>
      </c>
      <c r="AA189" s="37">
        <f ca="1"/>
        <v>1.0644159944109171</v>
      </c>
      <c r="AB189" s="37">
        <f ca="1"/>
        <v>1.2571789580155173</v>
      </c>
      <c r="AD189">
        <f ca="1"/>
        <v>0</v>
      </c>
      <c r="AE189">
        <f ca="1"/>
        <v>0</v>
      </c>
      <c r="AF189">
        <f ca="1"/>
        <v>0</v>
      </c>
      <c r="AG189">
        <f ca="1"/>
        <v>0</v>
      </c>
      <c r="AH189">
        <f ca="1"/>
        <v>0</v>
      </c>
    </row>
    <row r="190" spans="1:34" x14ac:dyDescent="0.4">
      <c r="A190" s="37">
        <v>170</v>
      </c>
      <c r="B190" s="36">
        <v>5.8999999999999737</v>
      </c>
      <c r="D190" s="37">
        <f t="shared" ca="1" si="6"/>
        <v>5.8999999999999737</v>
      </c>
      <c r="E190" s="37">
        <f t="shared" ca="1" si="7"/>
        <v>5.8999999999999737</v>
      </c>
      <c r="F190">
        <f ca="1"/>
        <v>0</v>
      </c>
      <c r="G190">
        <f ca="1"/>
        <v>0</v>
      </c>
      <c r="H190">
        <f ca="1"/>
        <v>0</v>
      </c>
      <c r="I190">
        <f ca="1"/>
        <v>0</v>
      </c>
      <c r="J190">
        <f ca="1"/>
        <v>0</v>
      </c>
      <c r="K190">
        <f ca="1"/>
        <v>0.10000000000002629</v>
      </c>
      <c r="L190">
        <f ca="1"/>
        <v>0.89999999999997371</v>
      </c>
      <c r="R190">
        <f ca="1"/>
        <v>1</v>
      </c>
      <c r="S190">
        <f ca="1"/>
        <v>1.145659503911302</v>
      </c>
      <c r="T190">
        <f ca="1"/>
        <v>0.15212596178719862</v>
      </c>
      <c r="U190">
        <f ca="1"/>
        <v>1.0108557672715448</v>
      </c>
      <c r="V190">
        <f ca="1"/>
        <v>1.5332668111875856</v>
      </c>
      <c r="X190" s="37">
        <f t="array" aca="1" ref="X190:AB190" ca="1">MMULT(F190:INDEX(F190:P190,$G$16),TRANSPOSE($R$3:INDEX($R$3:$Y$7,$R$1,$G$16)))</f>
        <v>1</v>
      </c>
      <c r="Y190" s="37">
        <f ca="1"/>
        <v>1.145659503911302</v>
      </c>
      <c r="Z190" s="37">
        <f ca="1"/>
        <v>0.15212596178719862</v>
      </c>
      <c r="AA190" s="37">
        <f ca="1"/>
        <v>1.0108557672715448</v>
      </c>
      <c r="AB190" s="37">
        <f ca="1"/>
        <v>1.5332668111875856</v>
      </c>
      <c r="AD190">
        <f ca="1"/>
        <v>0</v>
      </c>
      <c r="AE190">
        <f ca="1"/>
        <v>0</v>
      </c>
      <c r="AF190">
        <f ca="1"/>
        <v>0</v>
      </c>
      <c r="AG190">
        <f ca="1"/>
        <v>0</v>
      </c>
      <c r="AH190">
        <f ca="1"/>
        <v>0</v>
      </c>
    </row>
    <row r="191" spans="1:34" x14ac:dyDescent="0.4">
      <c r="A191" s="37">
        <v>171</v>
      </c>
      <c r="B191" s="36">
        <v>5.9999999999999734</v>
      </c>
      <c r="D191" s="37">
        <f t="shared" ca="1" si="6"/>
        <v>5.9999999999999734</v>
      </c>
      <c r="E191" s="37">
        <f t="shared" ca="1" si="7"/>
        <v>5.9999999999999734</v>
      </c>
      <c r="F191">
        <f ca="1"/>
        <v>0</v>
      </c>
      <c r="G191">
        <f ca="1"/>
        <v>0</v>
      </c>
      <c r="H191">
        <f ca="1"/>
        <v>0</v>
      </c>
      <c r="I191">
        <f ca="1"/>
        <v>0</v>
      </c>
      <c r="J191">
        <f ca="1"/>
        <v>0</v>
      </c>
      <c r="K191">
        <f ca="1"/>
        <v>0</v>
      </c>
      <c r="L191">
        <f ca="1"/>
        <v>1</v>
      </c>
      <c r="R191">
        <f ca="1"/>
        <v>1</v>
      </c>
      <c r="S191">
        <f ca="1"/>
        <v>1.1218765436420246</v>
      </c>
      <c r="T191">
        <f ca="1"/>
        <v>1.9852713256722776E-2</v>
      </c>
      <c r="U191">
        <f ca="1"/>
        <v>0.95729554013215834</v>
      </c>
      <c r="V191">
        <f ca="1"/>
        <v>1.8093546643597271</v>
      </c>
      <c r="X191" s="37">
        <f t="array" aca="1" ref="X191:AB191" ca="1">MMULT(F191:INDEX(F191:P191,$G$16),TRANSPOSE($R$3:INDEX($R$3:$Y$7,$R$1,$G$16)))</f>
        <v>1</v>
      </c>
      <c r="Y191" s="37">
        <f ca="1"/>
        <v>1.1218765436420246</v>
      </c>
      <c r="Z191" s="37">
        <f ca="1"/>
        <v>1.9852713256722776E-2</v>
      </c>
      <c r="AA191" s="37">
        <f ca="1"/>
        <v>0.95729554013215834</v>
      </c>
      <c r="AB191" s="37">
        <f ca="1"/>
        <v>1.8093546643597271</v>
      </c>
      <c r="AD191">
        <f ca="1"/>
        <v>0</v>
      </c>
      <c r="AE191">
        <f ca="1"/>
        <v>0</v>
      </c>
      <c r="AF191">
        <f ca="1"/>
        <v>0</v>
      </c>
      <c r="AG191">
        <f ca="1"/>
        <v>0</v>
      </c>
      <c r="AH191">
        <f ca="1"/>
        <v>0</v>
      </c>
    </row>
    <row r="192" spans="1:34" x14ac:dyDescent="0.4">
      <c r="A192" s="37">
        <v>172</v>
      </c>
      <c r="B192" s="36">
        <v>6.099999999999973</v>
      </c>
      <c r="D192" s="37">
        <f t="shared" ca="1" si="6"/>
        <v>6.099999999999973</v>
      </c>
      <c r="E192" s="37">
        <f t="shared" ca="1" si="7"/>
        <v>6.099999999999973</v>
      </c>
      <c r="F192">
        <f ca="1"/>
        <v>0</v>
      </c>
      <c r="G192">
        <f ca="1"/>
        <v>0</v>
      </c>
      <c r="H192">
        <f ca="1"/>
        <v>0</v>
      </c>
      <c r="I192">
        <f ca="1"/>
        <v>0</v>
      </c>
      <c r="J192">
        <f ca="1"/>
        <v>0</v>
      </c>
      <c r="K192">
        <f ca="1"/>
        <v>0</v>
      </c>
      <c r="L192">
        <f ca="1"/>
        <v>1</v>
      </c>
      <c r="R192">
        <f ca="1"/>
        <v>1</v>
      </c>
      <c r="S192">
        <f ca="1"/>
        <v>1.1218765436420246</v>
      </c>
      <c r="T192">
        <f ca="1"/>
        <v>1.9852713256722776E-2</v>
      </c>
      <c r="U192">
        <f ca="1"/>
        <v>0.95729554013215834</v>
      </c>
      <c r="V192">
        <f ca="1"/>
        <v>1.8093546643597271</v>
      </c>
      <c r="X192" s="37">
        <f t="array" aca="1" ref="X192:AB192" ca="1">MMULT(F192:INDEX(F192:P192,$G$16),TRANSPOSE($R$3:INDEX($R$3:$Y$7,$R$1,$G$16)))</f>
        <v>1</v>
      </c>
      <c r="Y192" s="37">
        <f ca="1"/>
        <v>1.1218765436420246</v>
      </c>
      <c r="Z192" s="37">
        <f ca="1"/>
        <v>1.9852713256722776E-2</v>
      </c>
      <c r="AA192" s="37">
        <f ca="1"/>
        <v>0.95729554013215834</v>
      </c>
      <c r="AB192" s="37">
        <f ca="1"/>
        <v>1.8093546643597271</v>
      </c>
      <c r="AD192">
        <f ca="1"/>
        <v>0</v>
      </c>
      <c r="AE192">
        <f ca="1"/>
        <v>0</v>
      </c>
      <c r="AF192">
        <f ca="1"/>
        <v>0</v>
      </c>
      <c r="AG192">
        <f ca="1"/>
        <v>0</v>
      </c>
      <c r="AH192">
        <f ca="1"/>
        <v>0</v>
      </c>
    </row>
    <row r="193" spans="1:34" x14ac:dyDescent="0.4">
      <c r="A193" s="37">
        <v>173</v>
      </c>
      <c r="B193" s="36">
        <v>6.1999999999999726</v>
      </c>
      <c r="D193" s="37">
        <f t="shared" ca="1" si="6"/>
        <v>6.1999999999999726</v>
      </c>
      <c r="E193" s="37">
        <f t="shared" ca="1" si="7"/>
        <v>6.1999999999999726</v>
      </c>
      <c r="F193">
        <f ca="1"/>
        <v>0</v>
      </c>
      <c r="G193">
        <f ca="1"/>
        <v>0</v>
      </c>
      <c r="H193">
        <f ca="1"/>
        <v>0</v>
      </c>
      <c r="I193">
        <f ca="1"/>
        <v>0</v>
      </c>
      <c r="J193">
        <f ca="1"/>
        <v>0</v>
      </c>
      <c r="K193">
        <f ca="1"/>
        <v>0</v>
      </c>
      <c r="L193">
        <f ca="1"/>
        <v>1</v>
      </c>
      <c r="R193">
        <f ca="1"/>
        <v>1</v>
      </c>
      <c r="S193">
        <f ca="1"/>
        <v>1.1218765436420246</v>
      </c>
      <c r="T193">
        <f ca="1"/>
        <v>1.9852713256722776E-2</v>
      </c>
      <c r="U193">
        <f ca="1"/>
        <v>0.95729554013215834</v>
      </c>
      <c r="V193">
        <f ca="1"/>
        <v>1.8093546643597271</v>
      </c>
      <c r="X193" s="37">
        <f t="array" aca="1" ref="X193:AB193" ca="1">MMULT(F193:INDEX(F193:P193,$G$16),TRANSPOSE($R$3:INDEX($R$3:$Y$7,$R$1,$G$16)))</f>
        <v>1</v>
      </c>
      <c r="Y193" s="37">
        <f ca="1"/>
        <v>1.1218765436420246</v>
      </c>
      <c r="Z193" s="37">
        <f ca="1"/>
        <v>1.9852713256722776E-2</v>
      </c>
      <c r="AA193" s="37">
        <f ca="1"/>
        <v>0.95729554013215834</v>
      </c>
      <c r="AB193" s="37">
        <f ca="1"/>
        <v>1.8093546643597271</v>
      </c>
      <c r="AD193">
        <f ca="1"/>
        <v>0</v>
      </c>
      <c r="AE193">
        <f ca="1"/>
        <v>0</v>
      </c>
      <c r="AF193">
        <f ca="1"/>
        <v>0</v>
      </c>
      <c r="AG193">
        <f ca="1"/>
        <v>0</v>
      </c>
      <c r="AH193">
        <f ca="1"/>
        <v>0</v>
      </c>
    </row>
    <row r="194" spans="1:34" x14ac:dyDescent="0.4">
      <c r="A194" s="37">
        <v>174</v>
      </c>
      <c r="B194" s="36">
        <v>6.2999999999999723</v>
      </c>
      <c r="D194" s="37">
        <f t="shared" ca="1" si="6"/>
        <v>6.2999999999999723</v>
      </c>
      <c r="E194" s="37">
        <f t="shared" ca="1" si="7"/>
        <v>6.2999999999999723</v>
      </c>
      <c r="F194">
        <f ca="1"/>
        <v>0</v>
      </c>
      <c r="G194">
        <f ca="1"/>
        <v>0</v>
      </c>
      <c r="H194">
        <f ca="1"/>
        <v>0</v>
      </c>
      <c r="I194">
        <f ca="1"/>
        <v>0</v>
      </c>
      <c r="J194">
        <f ca="1"/>
        <v>0</v>
      </c>
      <c r="K194">
        <f ca="1"/>
        <v>0</v>
      </c>
      <c r="L194">
        <f ca="1"/>
        <v>1</v>
      </c>
      <c r="R194">
        <f ca="1"/>
        <v>1</v>
      </c>
      <c r="S194">
        <f ca="1"/>
        <v>1.1218765436420246</v>
      </c>
      <c r="T194">
        <f ca="1"/>
        <v>1.9852713256722776E-2</v>
      </c>
      <c r="U194">
        <f ca="1"/>
        <v>0.95729554013215834</v>
      </c>
      <c r="V194">
        <f ca="1"/>
        <v>1.8093546643597271</v>
      </c>
      <c r="X194" s="37">
        <f t="array" aca="1" ref="X194:AB194" ca="1">MMULT(F194:INDEX(F194:P194,$G$16),TRANSPOSE($R$3:INDEX($R$3:$Y$7,$R$1,$G$16)))</f>
        <v>1</v>
      </c>
      <c r="Y194" s="37">
        <f ca="1"/>
        <v>1.1218765436420246</v>
      </c>
      <c r="Z194" s="37">
        <f ca="1"/>
        <v>1.9852713256722776E-2</v>
      </c>
      <c r="AA194" s="37">
        <f ca="1"/>
        <v>0.95729554013215834</v>
      </c>
      <c r="AB194" s="37">
        <f ca="1"/>
        <v>1.8093546643597271</v>
      </c>
      <c r="AD194">
        <f ca="1"/>
        <v>0</v>
      </c>
      <c r="AE194">
        <f ca="1"/>
        <v>0</v>
      </c>
      <c r="AF194">
        <f ca="1"/>
        <v>0</v>
      </c>
      <c r="AG194">
        <f ca="1"/>
        <v>0</v>
      </c>
      <c r="AH194">
        <f ca="1"/>
        <v>0</v>
      </c>
    </row>
    <row r="195" spans="1:34" x14ac:dyDescent="0.4">
      <c r="A195" s="37">
        <v>175</v>
      </c>
      <c r="B195" s="36">
        <v>6.3999999999999719</v>
      </c>
      <c r="D195" s="37">
        <f t="shared" ca="1" si="6"/>
        <v>6.3999999999999719</v>
      </c>
      <c r="E195" s="37">
        <f t="shared" ca="1" si="7"/>
        <v>6.3999999999999719</v>
      </c>
      <c r="F195">
        <f ca="1"/>
        <v>0</v>
      </c>
      <c r="G195">
        <f ca="1"/>
        <v>0</v>
      </c>
      <c r="H195">
        <f ca="1"/>
        <v>0</v>
      </c>
      <c r="I195">
        <f ca="1"/>
        <v>0</v>
      </c>
      <c r="J195">
        <f ca="1"/>
        <v>0</v>
      </c>
      <c r="K195">
        <f ca="1"/>
        <v>0</v>
      </c>
      <c r="L195">
        <f ca="1"/>
        <v>1</v>
      </c>
      <c r="R195">
        <f ca="1"/>
        <v>1</v>
      </c>
      <c r="S195">
        <f ca="1"/>
        <v>1.1218765436420246</v>
      </c>
      <c r="T195">
        <f ca="1"/>
        <v>1.9852713256722776E-2</v>
      </c>
      <c r="U195">
        <f ca="1"/>
        <v>0.95729554013215834</v>
      </c>
      <c r="V195">
        <f ca="1"/>
        <v>1.8093546643597271</v>
      </c>
      <c r="X195" s="37">
        <f t="array" aca="1" ref="X195:AB195" ca="1">MMULT(F195:INDEX(F195:P195,$G$16),TRANSPOSE($R$3:INDEX($R$3:$Y$7,$R$1,$G$16)))</f>
        <v>1</v>
      </c>
      <c r="Y195" s="37">
        <f ca="1"/>
        <v>1.1218765436420246</v>
      </c>
      <c r="Z195" s="37">
        <f ca="1"/>
        <v>1.9852713256722776E-2</v>
      </c>
      <c r="AA195" s="37">
        <f ca="1"/>
        <v>0.95729554013215834</v>
      </c>
      <c r="AB195" s="37">
        <f ca="1"/>
        <v>1.8093546643597271</v>
      </c>
      <c r="AD195">
        <f ca="1"/>
        <v>0</v>
      </c>
      <c r="AE195">
        <f ca="1"/>
        <v>0</v>
      </c>
      <c r="AF195">
        <f ca="1"/>
        <v>0</v>
      </c>
      <c r="AG195">
        <f ca="1"/>
        <v>0</v>
      </c>
      <c r="AH195">
        <f ca="1"/>
        <v>0</v>
      </c>
    </row>
    <row r="196" spans="1:34" x14ac:dyDescent="0.4">
      <c r="A196" s="37">
        <v>176</v>
      </c>
      <c r="B196" s="36">
        <v>6.4999999999999716</v>
      </c>
      <c r="D196" s="37">
        <f t="shared" ca="1" si="6"/>
        <v>6.4999999999999716</v>
      </c>
      <c r="E196" s="37">
        <f t="shared" ca="1" si="7"/>
        <v>6.4999999999999716</v>
      </c>
      <c r="F196">
        <f ca="1"/>
        <v>0</v>
      </c>
      <c r="G196">
        <f ca="1"/>
        <v>0</v>
      </c>
      <c r="H196">
        <f ca="1"/>
        <v>0</v>
      </c>
      <c r="I196">
        <f ca="1"/>
        <v>0</v>
      </c>
      <c r="J196">
        <f ca="1"/>
        <v>0</v>
      </c>
      <c r="K196">
        <f ca="1"/>
        <v>0</v>
      </c>
      <c r="L196">
        <f ca="1"/>
        <v>1</v>
      </c>
      <c r="R196">
        <f ca="1"/>
        <v>1</v>
      </c>
      <c r="S196">
        <f ca="1"/>
        <v>1.1218765436420246</v>
      </c>
      <c r="T196">
        <f ca="1"/>
        <v>1.9852713256722776E-2</v>
      </c>
      <c r="U196">
        <f ca="1"/>
        <v>0.95729554013215834</v>
      </c>
      <c r="V196">
        <f ca="1"/>
        <v>1.8093546643597271</v>
      </c>
      <c r="X196" s="37">
        <f t="array" aca="1" ref="X196:AB196" ca="1">MMULT(F196:INDEX(F196:P196,$G$16),TRANSPOSE($R$3:INDEX($R$3:$Y$7,$R$1,$G$16)))</f>
        <v>1</v>
      </c>
      <c r="Y196" s="37">
        <f ca="1"/>
        <v>1.1218765436420246</v>
      </c>
      <c r="Z196" s="37">
        <f ca="1"/>
        <v>1.9852713256722776E-2</v>
      </c>
      <c r="AA196" s="37">
        <f ca="1"/>
        <v>0.95729554013215834</v>
      </c>
      <c r="AB196" s="37">
        <f ca="1"/>
        <v>1.8093546643597271</v>
      </c>
      <c r="AD196">
        <f ca="1"/>
        <v>0</v>
      </c>
      <c r="AE196">
        <f ca="1"/>
        <v>0</v>
      </c>
      <c r="AF196">
        <f ca="1"/>
        <v>0</v>
      </c>
      <c r="AG196">
        <f ca="1"/>
        <v>0</v>
      </c>
      <c r="AH196">
        <f ca="1"/>
        <v>0</v>
      </c>
    </row>
    <row r="197" spans="1:34" x14ac:dyDescent="0.4">
      <c r="A197" s="37">
        <v>177</v>
      </c>
      <c r="B197" s="36">
        <v>6.5999999999999712</v>
      </c>
      <c r="D197" s="37">
        <f t="shared" ca="1" si="6"/>
        <v>6.5999999999999712</v>
      </c>
      <c r="E197" s="37">
        <f t="shared" ca="1" si="7"/>
        <v>6.5999999999999712</v>
      </c>
      <c r="F197">
        <f ca="1"/>
        <v>0</v>
      </c>
      <c r="G197">
        <f ca="1"/>
        <v>0</v>
      </c>
      <c r="H197">
        <f ca="1"/>
        <v>0</v>
      </c>
      <c r="I197">
        <f ca="1"/>
        <v>0</v>
      </c>
      <c r="J197">
        <f ca="1"/>
        <v>0</v>
      </c>
      <c r="K197">
        <f ca="1"/>
        <v>0</v>
      </c>
      <c r="L197">
        <f ca="1"/>
        <v>1</v>
      </c>
      <c r="R197">
        <f ca="1"/>
        <v>1</v>
      </c>
      <c r="S197">
        <f ca="1"/>
        <v>1.1218765436420246</v>
      </c>
      <c r="T197">
        <f ca="1"/>
        <v>1.9852713256722776E-2</v>
      </c>
      <c r="U197">
        <f ca="1"/>
        <v>0.95729554013215834</v>
      </c>
      <c r="V197">
        <f ca="1"/>
        <v>1.8093546643597271</v>
      </c>
      <c r="X197" s="37">
        <f t="array" aca="1" ref="X197:AB197" ca="1">MMULT(F197:INDEX(F197:P197,$G$16),TRANSPOSE($R$3:INDEX($R$3:$Y$7,$R$1,$G$16)))</f>
        <v>1</v>
      </c>
      <c r="Y197" s="37">
        <f ca="1"/>
        <v>1.1218765436420246</v>
      </c>
      <c r="Z197" s="37">
        <f ca="1"/>
        <v>1.9852713256722776E-2</v>
      </c>
      <c r="AA197" s="37">
        <f ca="1"/>
        <v>0.95729554013215834</v>
      </c>
      <c r="AB197" s="37">
        <f ca="1"/>
        <v>1.8093546643597271</v>
      </c>
      <c r="AD197">
        <f ca="1"/>
        <v>0</v>
      </c>
      <c r="AE197">
        <f ca="1"/>
        <v>0</v>
      </c>
      <c r="AF197">
        <f ca="1"/>
        <v>0</v>
      </c>
      <c r="AG197">
        <f ca="1"/>
        <v>0</v>
      </c>
      <c r="AH197">
        <f ca="1"/>
        <v>0</v>
      </c>
    </row>
    <row r="198" spans="1:34" x14ac:dyDescent="0.4">
      <c r="A198" s="37">
        <v>178</v>
      </c>
      <c r="B198" s="36">
        <v>6.6999999999999709</v>
      </c>
      <c r="D198" s="37">
        <f t="shared" ca="1" si="6"/>
        <v>6.6999999999999709</v>
      </c>
      <c r="E198" s="37">
        <f t="shared" ca="1" si="7"/>
        <v>6.6999999999999709</v>
      </c>
      <c r="F198">
        <f ca="1"/>
        <v>0</v>
      </c>
      <c r="G198">
        <f ca="1"/>
        <v>0</v>
      </c>
      <c r="H198">
        <f ca="1"/>
        <v>0</v>
      </c>
      <c r="I198">
        <f ca="1"/>
        <v>0</v>
      </c>
      <c r="J198">
        <f ca="1"/>
        <v>0</v>
      </c>
      <c r="K198">
        <f ca="1"/>
        <v>0</v>
      </c>
      <c r="L198">
        <f ca="1"/>
        <v>1</v>
      </c>
      <c r="R198">
        <f ca="1"/>
        <v>1</v>
      </c>
      <c r="S198">
        <f ca="1"/>
        <v>1.1218765436420246</v>
      </c>
      <c r="T198">
        <f ca="1"/>
        <v>1.9852713256722776E-2</v>
      </c>
      <c r="U198">
        <f ca="1"/>
        <v>0.95729554013215834</v>
      </c>
      <c r="V198">
        <f ca="1"/>
        <v>1.8093546643597271</v>
      </c>
      <c r="X198" s="37">
        <f t="array" aca="1" ref="X198:AB198" ca="1">MMULT(F198:INDEX(F198:P198,$G$16),TRANSPOSE($R$3:INDEX($R$3:$Y$7,$R$1,$G$16)))</f>
        <v>1</v>
      </c>
      <c r="Y198" s="37">
        <f ca="1"/>
        <v>1.1218765436420246</v>
      </c>
      <c r="Z198" s="37">
        <f ca="1"/>
        <v>1.9852713256722776E-2</v>
      </c>
      <c r="AA198" s="37">
        <f ca="1"/>
        <v>0.95729554013215834</v>
      </c>
      <c r="AB198" s="37">
        <f ca="1"/>
        <v>1.8093546643597271</v>
      </c>
      <c r="AD198">
        <f ca="1"/>
        <v>0</v>
      </c>
      <c r="AE198">
        <f ca="1"/>
        <v>0</v>
      </c>
      <c r="AF198">
        <f ca="1"/>
        <v>0</v>
      </c>
      <c r="AG198">
        <f ca="1"/>
        <v>0</v>
      </c>
      <c r="AH198">
        <f ca="1"/>
        <v>0</v>
      </c>
    </row>
    <row r="199" spans="1:34" x14ac:dyDescent="0.4">
      <c r="A199" s="37">
        <v>179</v>
      </c>
      <c r="B199" s="36">
        <v>6.7999999999999705</v>
      </c>
      <c r="D199" s="37">
        <f t="shared" ca="1" si="6"/>
        <v>6.7999999999999705</v>
      </c>
      <c r="E199" s="37">
        <f t="shared" ca="1" si="7"/>
        <v>6.7999999999999705</v>
      </c>
      <c r="F199">
        <f ca="1"/>
        <v>0</v>
      </c>
      <c r="G199">
        <f ca="1"/>
        <v>0</v>
      </c>
      <c r="H199">
        <f ca="1"/>
        <v>0</v>
      </c>
      <c r="I199">
        <f ca="1"/>
        <v>0</v>
      </c>
      <c r="J199">
        <f ca="1"/>
        <v>0</v>
      </c>
      <c r="K199">
        <f ca="1"/>
        <v>0</v>
      </c>
      <c r="L199">
        <f ca="1"/>
        <v>1</v>
      </c>
      <c r="R199">
        <f ca="1"/>
        <v>1</v>
      </c>
      <c r="S199">
        <f ca="1"/>
        <v>1.1218765436420246</v>
      </c>
      <c r="T199">
        <f ca="1"/>
        <v>1.9852713256722776E-2</v>
      </c>
      <c r="U199">
        <f ca="1"/>
        <v>0.95729554013215834</v>
      </c>
      <c r="V199">
        <f ca="1"/>
        <v>1.8093546643597271</v>
      </c>
      <c r="X199" s="37">
        <f t="array" aca="1" ref="X199:AB199" ca="1">MMULT(F199:INDEX(F199:P199,$G$16),TRANSPOSE($R$3:INDEX($R$3:$Y$7,$R$1,$G$16)))</f>
        <v>1</v>
      </c>
      <c r="Y199" s="37">
        <f ca="1"/>
        <v>1.1218765436420246</v>
      </c>
      <c r="Z199" s="37">
        <f ca="1"/>
        <v>1.9852713256722776E-2</v>
      </c>
      <c r="AA199" s="37">
        <f ca="1"/>
        <v>0.95729554013215834</v>
      </c>
      <c r="AB199" s="37">
        <f ca="1"/>
        <v>1.8093546643597271</v>
      </c>
      <c r="AD199">
        <f ca="1"/>
        <v>0</v>
      </c>
      <c r="AE199">
        <f ca="1"/>
        <v>0</v>
      </c>
      <c r="AF199">
        <f ca="1"/>
        <v>0</v>
      </c>
      <c r="AG199">
        <f ca="1"/>
        <v>0</v>
      </c>
      <c r="AH199">
        <f ca="1"/>
        <v>0</v>
      </c>
    </row>
    <row r="200" spans="1:34" x14ac:dyDescent="0.4">
      <c r="A200" s="37">
        <v>180</v>
      </c>
      <c r="B200" s="36">
        <v>6.8999999999999702</v>
      </c>
      <c r="D200" s="37">
        <f t="shared" ca="1" si="6"/>
        <v>6.8999999999999702</v>
      </c>
      <c r="E200" s="37">
        <f t="shared" ca="1" si="7"/>
        <v>6.8999999999999702</v>
      </c>
      <c r="F200">
        <f ca="1"/>
        <v>0</v>
      </c>
      <c r="G200">
        <f ca="1"/>
        <v>0</v>
      </c>
      <c r="H200">
        <f ca="1"/>
        <v>0</v>
      </c>
      <c r="I200">
        <f ca="1"/>
        <v>0</v>
      </c>
      <c r="J200">
        <f ca="1"/>
        <v>0</v>
      </c>
      <c r="K200">
        <f ca="1"/>
        <v>0</v>
      </c>
      <c r="L200">
        <f ca="1"/>
        <v>1</v>
      </c>
      <c r="R200">
        <f ca="1"/>
        <v>1</v>
      </c>
      <c r="S200">
        <f ca="1"/>
        <v>1.1218765436420246</v>
      </c>
      <c r="T200">
        <f ca="1"/>
        <v>1.9852713256722776E-2</v>
      </c>
      <c r="U200">
        <f ca="1"/>
        <v>0.95729554013215834</v>
      </c>
      <c r="V200">
        <f ca="1"/>
        <v>1.8093546643597271</v>
      </c>
      <c r="X200" s="37">
        <f t="array" aca="1" ref="X200:AB200" ca="1">MMULT(F200:INDEX(F200:P200,$G$16),TRANSPOSE($R$3:INDEX($R$3:$Y$7,$R$1,$G$16)))</f>
        <v>1</v>
      </c>
      <c r="Y200" s="37">
        <f ca="1"/>
        <v>1.1218765436420246</v>
      </c>
      <c r="Z200" s="37">
        <f ca="1"/>
        <v>1.9852713256722776E-2</v>
      </c>
      <c r="AA200" s="37">
        <f ca="1"/>
        <v>0.95729554013215834</v>
      </c>
      <c r="AB200" s="37">
        <f ca="1"/>
        <v>1.8093546643597271</v>
      </c>
      <c r="AD200">
        <f ca="1"/>
        <v>0</v>
      </c>
      <c r="AE200">
        <f ca="1"/>
        <v>0</v>
      </c>
      <c r="AF200">
        <f ca="1"/>
        <v>0</v>
      </c>
      <c r="AG200">
        <f ca="1"/>
        <v>0</v>
      </c>
      <c r="AH200">
        <f ca="1"/>
        <v>0</v>
      </c>
    </row>
    <row r="201" spans="1:34" x14ac:dyDescent="0.4">
      <c r="A201" s="37">
        <v>181</v>
      </c>
      <c r="B201" s="36">
        <v>6.9999999999999698</v>
      </c>
      <c r="D201" s="37">
        <f t="shared" ca="1" si="6"/>
        <v>6.9999999999999698</v>
      </c>
      <c r="E201" s="37">
        <f t="shared" ca="1" si="7"/>
        <v>6.9999999999999698</v>
      </c>
      <c r="F201">
        <f ca="1"/>
        <v>0</v>
      </c>
      <c r="G201">
        <f ca="1"/>
        <v>0</v>
      </c>
      <c r="H201">
        <f ca="1"/>
        <v>0</v>
      </c>
      <c r="I201">
        <f ca="1"/>
        <v>0</v>
      </c>
      <c r="J201">
        <f ca="1"/>
        <v>0</v>
      </c>
      <c r="K201">
        <f ca="1"/>
        <v>0</v>
      </c>
      <c r="L201">
        <f ca="1"/>
        <v>1</v>
      </c>
      <c r="R201">
        <f ca="1"/>
        <v>1</v>
      </c>
      <c r="S201">
        <f ca="1"/>
        <v>1.1218765436420246</v>
      </c>
      <c r="T201">
        <f ca="1"/>
        <v>1.9852713256722776E-2</v>
      </c>
      <c r="U201">
        <f ca="1"/>
        <v>0.95729554013215834</v>
      </c>
      <c r="V201">
        <f ca="1"/>
        <v>1.8093546643597271</v>
      </c>
      <c r="X201" s="37">
        <f t="array" aca="1" ref="X201:AB201" ca="1">MMULT(F201:INDEX(F201:P201,$G$16),TRANSPOSE($R$3:INDEX($R$3:$Y$7,$R$1,$G$16)))</f>
        <v>1</v>
      </c>
      <c r="Y201" s="37">
        <f ca="1"/>
        <v>1.1218765436420246</v>
      </c>
      <c r="Z201" s="37">
        <f ca="1"/>
        <v>1.9852713256722776E-2</v>
      </c>
      <c r="AA201" s="37">
        <f ca="1"/>
        <v>0.95729554013215834</v>
      </c>
      <c r="AB201" s="37">
        <f ca="1"/>
        <v>1.8093546643597271</v>
      </c>
      <c r="AD201">
        <f ca="1"/>
        <v>0</v>
      </c>
      <c r="AE201">
        <f ca="1"/>
        <v>0</v>
      </c>
      <c r="AF201">
        <f ca="1"/>
        <v>0</v>
      </c>
      <c r="AG201">
        <f ca="1"/>
        <v>0</v>
      </c>
      <c r="AH201">
        <f ca="1"/>
        <v>0</v>
      </c>
    </row>
    <row r="202" spans="1:34" x14ac:dyDescent="0.4">
      <c r="A202" s="37">
        <v>182</v>
      </c>
      <c r="B202" s="36">
        <v>7.0999999999999694</v>
      </c>
      <c r="D202" s="37">
        <f t="shared" ca="1" si="6"/>
        <v>7.0999999999999694</v>
      </c>
      <c r="E202" s="37">
        <f t="shared" ca="1" si="7"/>
        <v>7.0999999999999694</v>
      </c>
      <c r="F202">
        <f ca="1"/>
        <v>0</v>
      </c>
      <c r="G202">
        <f ca="1"/>
        <v>0</v>
      </c>
      <c r="H202">
        <f ca="1"/>
        <v>0</v>
      </c>
      <c r="I202">
        <f ca="1"/>
        <v>0</v>
      </c>
      <c r="J202">
        <f ca="1"/>
        <v>0</v>
      </c>
      <c r="K202">
        <f ca="1"/>
        <v>0</v>
      </c>
      <c r="L202">
        <f ca="1"/>
        <v>1</v>
      </c>
      <c r="R202">
        <f ca="1"/>
        <v>1</v>
      </c>
      <c r="S202">
        <f ca="1"/>
        <v>1.1218765436420246</v>
      </c>
      <c r="T202">
        <f ca="1"/>
        <v>1.9852713256722776E-2</v>
      </c>
      <c r="U202">
        <f ca="1"/>
        <v>0.95729554013215834</v>
      </c>
      <c r="V202">
        <f ca="1"/>
        <v>1.8093546643597271</v>
      </c>
      <c r="X202" s="37">
        <f t="array" aca="1" ref="X202:AB202" ca="1">MMULT(F202:INDEX(F202:P202,$G$16),TRANSPOSE($R$3:INDEX($R$3:$Y$7,$R$1,$G$16)))</f>
        <v>1</v>
      </c>
      <c r="Y202" s="37">
        <f ca="1"/>
        <v>1.1218765436420246</v>
      </c>
      <c r="Z202" s="37">
        <f ca="1"/>
        <v>1.9852713256722776E-2</v>
      </c>
      <c r="AA202" s="37">
        <f ca="1"/>
        <v>0.95729554013215834</v>
      </c>
      <c r="AB202" s="37">
        <f ca="1"/>
        <v>1.8093546643597271</v>
      </c>
      <c r="AD202">
        <f ca="1"/>
        <v>0</v>
      </c>
      <c r="AE202">
        <f ca="1"/>
        <v>0</v>
      </c>
      <c r="AF202">
        <f ca="1"/>
        <v>0</v>
      </c>
      <c r="AG202">
        <f ca="1"/>
        <v>0</v>
      </c>
      <c r="AH202">
        <f ca="1"/>
        <v>0</v>
      </c>
    </row>
    <row r="203" spans="1:34" x14ac:dyDescent="0.4">
      <c r="A203" s="37">
        <v>183</v>
      </c>
      <c r="B203" s="36">
        <v>7.1999999999999691</v>
      </c>
      <c r="D203" s="37">
        <f t="shared" ca="1" si="6"/>
        <v>7.1999999999999691</v>
      </c>
      <c r="E203" s="37">
        <f t="shared" ca="1" si="7"/>
        <v>7.1999999999999691</v>
      </c>
      <c r="F203">
        <f ca="1"/>
        <v>0</v>
      </c>
      <c r="G203">
        <f ca="1"/>
        <v>0</v>
      </c>
      <c r="H203">
        <f ca="1"/>
        <v>0</v>
      </c>
      <c r="I203">
        <f ca="1"/>
        <v>0</v>
      </c>
      <c r="J203">
        <f ca="1"/>
        <v>0</v>
      </c>
      <c r="K203">
        <f ca="1"/>
        <v>0</v>
      </c>
      <c r="L203">
        <f ca="1"/>
        <v>1</v>
      </c>
      <c r="R203">
        <f ca="1"/>
        <v>1</v>
      </c>
      <c r="S203">
        <f ca="1"/>
        <v>1.1218765436420246</v>
      </c>
      <c r="T203">
        <f ca="1"/>
        <v>1.9852713256722776E-2</v>
      </c>
      <c r="U203">
        <f ca="1"/>
        <v>0.95729554013215834</v>
      </c>
      <c r="V203">
        <f ca="1"/>
        <v>1.8093546643597271</v>
      </c>
      <c r="X203" s="37">
        <f t="array" aca="1" ref="X203:AB203" ca="1">MMULT(F203:INDEX(F203:P203,$G$16),TRANSPOSE($R$3:INDEX($R$3:$Y$7,$R$1,$G$16)))</f>
        <v>1</v>
      </c>
      <c r="Y203" s="37">
        <f ca="1"/>
        <v>1.1218765436420246</v>
      </c>
      <c r="Z203" s="37">
        <f ca="1"/>
        <v>1.9852713256722776E-2</v>
      </c>
      <c r="AA203" s="37">
        <f ca="1"/>
        <v>0.95729554013215834</v>
      </c>
      <c r="AB203" s="37">
        <f ca="1"/>
        <v>1.8093546643597271</v>
      </c>
      <c r="AD203">
        <f ca="1"/>
        <v>0</v>
      </c>
      <c r="AE203">
        <f ca="1"/>
        <v>0</v>
      </c>
      <c r="AF203">
        <f ca="1"/>
        <v>0</v>
      </c>
      <c r="AG203">
        <f ca="1"/>
        <v>0</v>
      </c>
      <c r="AH203">
        <f ca="1"/>
        <v>0</v>
      </c>
    </row>
    <row r="204" spans="1:34" x14ac:dyDescent="0.4">
      <c r="A204" s="37">
        <v>184</v>
      </c>
      <c r="B204" s="36">
        <v>7.2999999999999687</v>
      </c>
      <c r="D204" s="37">
        <f t="shared" ca="1" si="6"/>
        <v>7.2999999999999687</v>
      </c>
      <c r="E204" s="37">
        <f t="shared" ca="1" si="7"/>
        <v>7.2999999999999687</v>
      </c>
      <c r="F204">
        <f ca="1"/>
        <v>0</v>
      </c>
      <c r="G204">
        <f ca="1"/>
        <v>0</v>
      </c>
      <c r="H204">
        <f ca="1"/>
        <v>0</v>
      </c>
      <c r="I204">
        <f ca="1"/>
        <v>0</v>
      </c>
      <c r="J204">
        <f ca="1"/>
        <v>0</v>
      </c>
      <c r="K204">
        <f ca="1"/>
        <v>0</v>
      </c>
      <c r="L204">
        <f ca="1"/>
        <v>1</v>
      </c>
      <c r="R204">
        <f ca="1"/>
        <v>1</v>
      </c>
      <c r="S204">
        <f ca="1"/>
        <v>1.1218765436420246</v>
      </c>
      <c r="T204">
        <f ca="1"/>
        <v>1.9852713256722776E-2</v>
      </c>
      <c r="U204">
        <f ca="1"/>
        <v>0.95729554013215834</v>
      </c>
      <c r="V204">
        <f ca="1"/>
        <v>1.8093546643597271</v>
      </c>
      <c r="X204" s="37">
        <f t="array" aca="1" ref="X204:AB204" ca="1">MMULT(F204:INDEX(F204:P204,$G$16),TRANSPOSE($R$3:INDEX($R$3:$Y$7,$R$1,$G$16)))</f>
        <v>1</v>
      </c>
      <c r="Y204" s="37">
        <f ca="1"/>
        <v>1.1218765436420246</v>
      </c>
      <c r="Z204" s="37">
        <f ca="1"/>
        <v>1.9852713256722776E-2</v>
      </c>
      <c r="AA204" s="37">
        <f ca="1"/>
        <v>0.95729554013215834</v>
      </c>
      <c r="AB204" s="37">
        <f ca="1"/>
        <v>1.8093546643597271</v>
      </c>
      <c r="AD204">
        <f ca="1"/>
        <v>0</v>
      </c>
      <c r="AE204">
        <f ca="1"/>
        <v>0</v>
      </c>
      <c r="AF204">
        <f ca="1"/>
        <v>0</v>
      </c>
      <c r="AG204">
        <f ca="1"/>
        <v>0</v>
      </c>
      <c r="AH204">
        <f ca="1"/>
        <v>0</v>
      </c>
    </row>
    <row r="205" spans="1:34" x14ac:dyDescent="0.4">
      <c r="A205" s="37">
        <v>185</v>
      </c>
      <c r="B205" s="36">
        <v>7.3999999999999684</v>
      </c>
      <c r="D205" s="37">
        <f t="shared" ca="1" si="6"/>
        <v>7.3999999999999684</v>
      </c>
      <c r="E205" s="37">
        <f t="shared" ca="1" si="7"/>
        <v>7.3999999999999684</v>
      </c>
      <c r="F205">
        <f ca="1"/>
        <v>0</v>
      </c>
      <c r="G205">
        <f ca="1"/>
        <v>0</v>
      </c>
      <c r="H205">
        <f ca="1"/>
        <v>0</v>
      </c>
      <c r="I205">
        <f ca="1"/>
        <v>0</v>
      </c>
      <c r="J205">
        <f ca="1"/>
        <v>0</v>
      </c>
      <c r="K205">
        <f ca="1"/>
        <v>0</v>
      </c>
      <c r="L205">
        <f ca="1"/>
        <v>1</v>
      </c>
      <c r="R205">
        <f ca="1"/>
        <v>1</v>
      </c>
      <c r="S205">
        <f ca="1"/>
        <v>1.1218765436420246</v>
      </c>
      <c r="T205">
        <f ca="1"/>
        <v>1.9852713256722776E-2</v>
      </c>
      <c r="U205">
        <f ca="1"/>
        <v>0.95729554013215834</v>
      </c>
      <c r="V205">
        <f ca="1"/>
        <v>1.8093546643597271</v>
      </c>
      <c r="X205" s="37">
        <f t="array" aca="1" ref="X205:AB205" ca="1">MMULT(F205:INDEX(F205:P205,$G$16),TRANSPOSE($R$3:INDEX($R$3:$Y$7,$R$1,$G$16)))</f>
        <v>1</v>
      </c>
      <c r="Y205" s="37">
        <f ca="1"/>
        <v>1.1218765436420246</v>
      </c>
      <c r="Z205" s="37">
        <f ca="1"/>
        <v>1.9852713256722776E-2</v>
      </c>
      <c r="AA205" s="37">
        <f ca="1"/>
        <v>0.95729554013215834</v>
      </c>
      <c r="AB205" s="37">
        <f ca="1"/>
        <v>1.8093546643597271</v>
      </c>
      <c r="AD205">
        <f ca="1"/>
        <v>0</v>
      </c>
      <c r="AE205">
        <f ca="1"/>
        <v>0</v>
      </c>
      <c r="AF205">
        <f ca="1"/>
        <v>0</v>
      </c>
      <c r="AG205">
        <f ca="1"/>
        <v>0</v>
      </c>
      <c r="AH205">
        <f ca="1"/>
        <v>0</v>
      </c>
    </row>
    <row r="206" spans="1:34" x14ac:dyDescent="0.4">
      <c r="A206" s="37">
        <v>186</v>
      </c>
      <c r="B206" s="36">
        <v>7.499999999999968</v>
      </c>
      <c r="D206" s="37">
        <f t="shared" ca="1" si="6"/>
        <v>7.499999999999968</v>
      </c>
      <c r="E206" s="37">
        <f t="shared" ca="1" si="7"/>
        <v>7.499999999999968</v>
      </c>
      <c r="F206">
        <f ca="1"/>
        <v>0</v>
      </c>
      <c r="G206">
        <f ca="1"/>
        <v>0</v>
      </c>
      <c r="H206">
        <f ca="1"/>
        <v>0</v>
      </c>
      <c r="I206">
        <f ca="1"/>
        <v>0</v>
      </c>
      <c r="J206">
        <f ca="1"/>
        <v>0</v>
      </c>
      <c r="K206">
        <f ca="1"/>
        <v>0</v>
      </c>
      <c r="L206">
        <f ca="1"/>
        <v>1</v>
      </c>
      <c r="R206">
        <f ca="1"/>
        <v>1</v>
      </c>
      <c r="S206">
        <f ca="1"/>
        <v>1.1218765436420246</v>
      </c>
      <c r="T206">
        <f ca="1"/>
        <v>1.9852713256722776E-2</v>
      </c>
      <c r="U206">
        <f ca="1"/>
        <v>0.95729554013215834</v>
      </c>
      <c r="V206">
        <f ca="1"/>
        <v>1.8093546643597271</v>
      </c>
      <c r="X206" s="37">
        <f t="array" aca="1" ref="X206:AB206" ca="1">MMULT(F206:INDEX(F206:P206,$G$16),TRANSPOSE($R$3:INDEX($R$3:$Y$7,$R$1,$G$16)))</f>
        <v>1</v>
      </c>
      <c r="Y206" s="37">
        <f ca="1"/>
        <v>1.1218765436420246</v>
      </c>
      <c r="Z206" s="37">
        <f ca="1"/>
        <v>1.9852713256722776E-2</v>
      </c>
      <c r="AA206" s="37">
        <f ca="1"/>
        <v>0.95729554013215834</v>
      </c>
      <c r="AB206" s="37">
        <f ca="1"/>
        <v>1.8093546643597271</v>
      </c>
      <c r="AD206">
        <f ca="1"/>
        <v>0</v>
      </c>
      <c r="AE206">
        <f ca="1"/>
        <v>0</v>
      </c>
      <c r="AF206">
        <f ca="1"/>
        <v>0</v>
      </c>
      <c r="AG206">
        <f ca="1"/>
        <v>0</v>
      </c>
      <c r="AH206">
        <f ca="1"/>
        <v>0</v>
      </c>
    </row>
    <row r="207" spans="1:34" x14ac:dyDescent="0.4">
      <c r="A207" s="37">
        <v>187</v>
      </c>
      <c r="B207" s="36">
        <v>7.5999999999999677</v>
      </c>
      <c r="D207" s="37">
        <f t="shared" ca="1" si="6"/>
        <v>7.5999999999999677</v>
      </c>
      <c r="E207" s="37">
        <f t="shared" ca="1" si="7"/>
        <v>7.5999999999999677</v>
      </c>
      <c r="F207">
        <f ca="1"/>
        <v>0</v>
      </c>
      <c r="G207">
        <f ca="1"/>
        <v>0</v>
      </c>
      <c r="H207">
        <f ca="1"/>
        <v>0</v>
      </c>
      <c r="I207">
        <f ca="1"/>
        <v>0</v>
      </c>
      <c r="J207">
        <f ca="1"/>
        <v>0</v>
      </c>
      <c r="K207">
        <f ca="1"/>
        <v>0</v>
      </c>
      <c r="L207">
        <f ca="1"/>
        <v>1</v>
      </c>
      <c r="R207">
        <f ca="1"/>
        <v>1</v>
      </c>
      <c r="S207">
        <f ca="1"/>
        <v>1.1218765436420246</v>
      </c>
      <c r="T207">
        <f ca="1"/>
        <v>1.9852713256722776E-2</v>
      </c>
      <c r="U207">
        <f ca="1"/>
        <v>0.95729554013215834</v>
      </c>
      <c r="V207">
        <f ca="1"/>
        <v>1.8093546643597271</v>
      </c>
      <c r="X207" s="37">
        <f t="array" aca="1" ref="X207:AB207" ca="1">MMULT(F207:INDEX(F207:P207,$G$16),TRANSPOSE($R$3:INDEX($R$3:$Y$7,$R$1,$G$16)))</f>
        <v>1</v>
      </c>
      <c r="Y207" s="37">
        <f ca="1"/>
        <v>1.1218765436420246</v>
      </c>
      <c r="Z207" s="37">
        <f ca="1"/>
        <v>1.9852713256722776E-2</v>
      </c>
      <c r="AA207" s="37">
        <f ca="1"/>
        <v>0.95729554013215834</v>
      </c>
      <c r="AB207" s="37">
        <f ca="1"/>
        <v>1.8093546643597271</v>
      </c>
      <c r="AD207">
        <f ca="1"/>
        <v>0</v>
      </c>
      <c r="AE207">
        <f ca="1"/>
        <v>0</v>
      </c>
      <c r="AF207">
        <f ca="1"/>
        <v>0</v>
      </c>
      <c r="AG207">
        <f ca="1"/>
        <v>0</v>
      </c>
      <c r="AH207">
        <f ca="1"/>
        <v>0</v>
      </c>
    </row>
    <row r="208" spans="1:34" x14ac:dyDescent="0.4">
      <c r="A208" s="37">
        <v>188</v>
      </c>
      <c r="B208" s="36">
        <v>7.6999999999999673</v>
      </c>
      <c r="D208" s="37">
        <f t="shared" ca="1" si="6"/>
        <v>7.6999999999999673</v>
      </c>
      <c r="E208" s="37">
        <f t="shared" ca="1" si="7"/>
        <v>7.6999999999999673</v>
      </c>
      <c r="F208">
        <f ca="1"/>
        <v>0</v>
      </c>
      <c r="G208">
        <f ca="1"/>
        <v>0</v>
      </c>
      <c r="H208">
        <f ca="1"/>
        <v>0</v>
      </c>
      <c r="I208">
        <f ca="1"/>
        <v>0</v>
      </c>
      <c r="J208">
        <f ca="1"/>
        <v>0</v>
      </c>
      <c r="K208">
        <f ca="1"/>
        <v>0</v>
      </c>
      <c r="L208">
        <f ca="1"/>
        <v>1</v>
      </c>
      <c r="R208">
        <f ca="1"/>
        <v>1</v>
      </c>
      <c r="S208">
        <f ca="1"/>
        <v>1.1218765436420246</v>
      </c>
      <c r="T208">
        <f ca="1"/>
        <v>1.9852713256722776E-2</v>
      </c>
      <c r="U208">
        <f ca="1"/>
        <v>0.95729554013215834</v>
      </c>
      <c r="V208">
        <f ca="1"/>
        <v>1.8093546643597271</v>
      </c>
      <c r="X208" s="37">
        <f t="array" aca="1" ref="X208:AB208" ca="1">MMULT(F208:INDEX(F208:P208,$G$16),TRANSPOSE($R$3:INDEX($R$3:$Y$7,$R$1,$G$16)))</f>
        <v>1</v>
      </c>
      <c r="Y208" s="37">
        <f ca="1"/>
        <v>1.1218765436420246</v>
      </c>
      <c r="Z208" s="37">
        <f ca="1"/>
        <v>1.9852713256722776E-2</v>
      </c>
      <c r="AA208" s="37">
        <f ca="1"/>
        <v>0.95729554013215834</v>
      </c>
      <c r="AB208" s="37">
        <f ca="1"/>
        <v>1.8093546643597271</v>
      </c>
      <c r="AD208">
        <f ca="1"/>
        <v>0</v>
      </c>
      <c r="AE208">
        <f ca="1"/>
        <v>0</v>
      </c>
      <c r="AF208">
        <f ca="1"/>
        <v>0</v>
      </c>
      <c r="AG208">
        <f ca="1"/>
        <v>0</v>
      </c>
      <c r="AH208">
        <f ca="1"/>
        <v>0</v>
      </c>
    </row>
    <row r="209" spans="1:34" x14ac:dyDescent="0.4">
      <c r="A209" s="37">
        <v>189</v>
      </c>
      <c r="B209" s="36">
        <v>7.799999999999967</v>
      </c>
      <c r="D209" s="37">
        <f t="shared" ca="1" si="6"/>
        <v>7.799999999999967</v>
      </c>
      <c r="E209" s="37">
        <f t="shared" ca="1" si="7"/>
        <v>7.799999999999967</v>
      </c>
      <c r="F209">
        <f ca="1"/>
        <v>0</v>
      </c>
      <c r="G209">
        <f ca="1"/>
        <v>0</v>
      </c>
      <c r="H209">
        <f ca="1"/>
        <v>0</v>
      </c>
      <c r="I209">
        <f ca="1"/>
        <v>0</v>
      </c>
      <c r="J209">
        <f ca="1"/>
        <v>0</v>
      </c>
      <c r="K209">
        <f ca="1"/>
        <v>0</v>
      </c>
      <c r="L209">
        <f ca="1"/>
        <v>1</v>
      </c>
      <c r="R209">
        <f ca="1"/>
        <v>1</v>
      </c>
      <c r="S209">
        <f ca="1"/>
        <v>1.1218765436420246</v>
      </c>
      <c r="T209">
        <f ca="1"/>
        <v>1.9852713256722776E-2</v>
      </c>
      <c r="U209">
        <f ca="1"/>
        <v>0.95729554013215834</v>
      </c>
      <c r="V209">
        <f ca="1"/>
        <v>1.8093546643597271</v>
      </c>
      <c r="X209" s="37">
        <f t="array" aca="1" ref="X209:AB209" ca="1">MMULT(F209:INDEX(F209:P209,$G$16),TRANSPOSE($R$3:INDEX($R$3:$Y$7,$R$1,$G$16)))</f>
        <v>1</v>
      </c>
      <c r="Y209" s="37">
        <f ca="1"/>
        <v>1.1218765436420246</v>
      </c>
      <c r="Z209" s="37">
        <f ca="1"/>
        <v>1.9852713256722776E-2</v>
      </c>
      <c r="AA209" s="37">
        <f ca="1"/>
        <v>0.95729554013215834</v>
      </c>
      <c r="AB209" s="37">
        <f ca="1"/>
        <v>1.8093546643597271</v>
      </c>
      <c r="AD209">
        <f ca="1"/>
        <v>0</v>
      </c>
      <c r="AE209">
        <f ca="1"/>
        <v>0</v>
      </c>
      <c r="AF209">
        <f ca="1"/>
        <v>0</v>
      </c>
      <c r="AG209">
        <f ca="1"/>
        <v>0</v>
      </c>
      <c r="AH209">
        <f ca="1"/>
        <v>0</v>
      </c>
    </row>
    <row r="210" spans="1:34" x14ac:dyDescent="0.4">
      <c r="A210" s="37">
        <v>190</v>
      </c>
      <c r="B210" s="36">
        <v>7.8999999999999666</v>
      </c>
      <c r="D210" s="37">
        <f t="shared" ca="1" si="6"/>
        <v>7.8999999999999666</v>
      </c>
      <c r="E210" s="37">
        <f t="shared" ca="1" si="7"/>
        <v>7.8999999999999666</v>
      </c>
      <c r="F210">
        <f ca="1"/>
        <v>0</v>
      </c>
      <c r="G210">
        <f ca="1"/>
        <v>0</v>
      </c>
      <c r="H210">
        <f ca="1"/>
        <v>0</v>
      </c>
      <c r="I210">
        <f ca="1"/>
        <v>0</v>
      </c>
      <c r="J210">
        <f ca="1"/>
        <v>0</v>
      </c>
      <c r="K210">
        <f ca="1"/>
        <v>0</v>
      </c>
      <c r="L210">
        <f ca="1"/>
        <v>1</v>
      </c>
      <c r="R210">
        <f ca="1"/>
        <v>1</v>
      </c>
      <c r="S210">
        <f ca="1"/>
        <v>1.1218765436420246</v>
      </c>
      <c r="T210">
        <f ca="1"/>
        <v>1.9852713256722776E-2</v>
      </c>
      <c r="U210">
        <f ca="1"/>
        <v>0.95729554013215834</v>
      </c>
      <c r="V210">
        <f ca="1"/>
        <v>1.8093546643597271</v>
      </c>
      <c r="X210" s="37">
        <f t="array" aca="1" ref="X210:AB210" ca="1">MMULT(F210:INDEX(F210:P210,$G$16),TRANSPOSE($R$3:INDEX($R$3:$Y$7,$R$1,$G$16)))</f>
        <v>1</v>
      </c>
      <c r="Y210" s="37">
        <f ca="1"/>
        <v>1.1218765436420246</v>
      </c>
      <c r="Z210" s="37">
        <f ca="1"/>
        <v>1.9852713256722776E-2</v>
      </c>
      <c r="AA210" s="37">
        <f ca="1"/>
        <v>0.95729554013215834</v>
      </c>
      <c r="AB210" s="37">
        <f ca="1"/>
        <v>1.8093546643597271</v>
      </c>
      <c r="AD210">
        <f ca="1"/>
        <v>0</v>
      </c>
      <c r="AE210">
        <f ca="1"/>
        <v>0</v>
      </c>
      <c r="AF210">
        <f ca="1"/>
        <v>0</v>
      </c>
      <c r="AG210">
        <f ca="1"/>
        <v>0</v>
      </c>
      <c r="AH210">
        <f ca="1"/>
        <v>0</v>
      </c>
    </row>
    <row r="211" spans="1:34" x14ac:dyDescent="0.4">
      <c r="A211" s="37">
        <v>191</v>
      </c>
      <c r="B211" s="36">
        <v>7.9999999999999662</v>
      </c>
      <c r="D211" s="37">
        <f t="shared" ca="1" si="6"/>
        <v>7.9999999999999662</v>
      </c>
      <c r="E211" s="37">
        <f t="shared" ca="1" si="7"/>
        <v>7.9999999999999662</v>
      </c>
      <c r="F211">
        <f ca="1"/>
        <v>0</v>
      </c>
      <c r="G211">
        <f ca="1"/>
        <v>0</v>
      </c>
      <c r="H211">
        <f ca="1"/>
        <v>0</v>
      </c>
      <c r="I211">
        <f ca="1"/>
        <v>0</v>
      </c>
      <c r="J211">
        <f ca="1"/>
        <v>0</v>
      </c>
      <c r="K211">
        <f ca="1"/>
        <v>0</v>
      </c>
      <c r="L211">
        <f ca="1"/>
        <v>1</v>
      </c>
      <c r="R211">
        <f ca="1"/>
        <v>1</v>
      </c>
      <c r="S211">
        <f ca="1"/>
        <v>1.1218765436420246</v>
      </c>
      <c r="T211">
        <f ca="1"/>
        <v>1.9852713256722776E-2</v>
      </c>
      <c r="U211">
        <f ca="1"/>
        <v>0.95729554013215834</v>
      </c>
      <c r="V211">
        <f ca="1"/>
        <v>1.8093546643597271</v>
      </c>
      <c r="X211" s="37">
        <f t="array" aca="1" ref="X211:AB211" ca="1">MMULT(F211:INDEX(F211:P211,$G$16),TRANSPOSE($R$3:INDEX($R$3:$Y$7,$R$1,$G$16)))</f>
        <v>1</v>
      </c>
      <c r="Y211" s="37">
        <f ca="1"/>
        <v>1.1218765436420246</v>
      </c>
      <c r="Z211" s="37">
        <f ca="1"/>
        <v>1.9852713256722776E-2</v>
      </c>
      <c r="AA211" s="37">
        <f ca="1"/>
        <v>0.95729554013215834</v>
      </c>
      <c r="AB211" s="37">
        <f ca="1"/>
        <v>1.8093546643597271</v>
      </c>
      <c r="AD211">
        <f ca="1"/>
        <v>0</v>
      </c>
      <c r="AE211">
        <f ca="1"/>
        <v>0</v>
      </c>
      <c r="AF211">
        <f ca="1"/>
        <v>0</v>
      </c>
      <c r="AG211">
        <f ca="1"/>
        <v>0</v>
      </c>
      <c r="AH211">
        <f ca="1"/>
        <v>0</v>
      </c>
    </row>
    <row r="212" spans="1:34" x14ac:dyDescent="0.4">
      <c r="A212" s="37">
        <v>192</v>
      </c>
      <c r="B212" s="36">
        <v>8.0999999999999659</v>
      </c>
      <c r="D212" s="37">
        <f t="shared" ca="1" si="6"/>
        <v>8.0999999999999659</v>
      </c>
      <c r="E212" s="37">
        <f t="shared" ca="1" si="7"/>
        <v>8.0999999999999659</v>
      </c>
      <c r="F212">
        <f ca="1"/>
        <v>0</v>
      </c>
      <c r="G212">
        <f ca="1"/>
        <v>0</v>
      </c>
      <c r="H212">
        <f ca="1"/>
        <v>0</v>
      </c>
      <c r="I212">
        <f ca="1"/>
        <v>0</v>
      </c>
      <c r="J212">
        <f ca="1"/>
        <v>0</v>
      </c>
      <c r="K212">
        <f ca="1"/>
        <v>0</v>
      </c>
      <c r="L212">
        <f ca="1"/>
        <v>1</v>
      </c>
      <c r="R212">
        <f ca="1"/>
        <v>1</v>
      </c>
      <c r="S212">
        <f ca="1"/>
        <v>1.1218765436420246</v>
      </c>
      <c r="T212">
        <f ca="1"/>
        <v>1.9852713256722776E-2</v>
      </c>
      <c r="U212">
        <f ca="1"/>
        <v>0.95729554013215834</v>
      </c>
      <c r="V212">
        <f ca="1"/>
        <v>1.8093546643597271</v>
      </c>
      <c r="X212" s="37">
        <f t="array" aca="1" ref="X212:AB212" ca="1">MMULT(F212:INDEX(F212:P212,$G$16),TRANSPOSE($R$3:INDEX($R$3:$Y$7,$R$1,$G$16)))</f>
        <v>1</v>
      </c>
      <c r="Y212" s="37">
        <f ca="1"/>
        <v>1.1218765436420246</v>
      </c>
      <c r="Z212" s="37">
        <f ca="1"/>
        <v>1.9852713256722776E-2</v>
      </c>
      <c r="AA212" s="37">
        <f ca="1"/>
        <v>0.95729554013215834</v>
      </c>
      <c r="AB212" s="37">
        <f ca="1"/>
        <v>1.8093546643597271</v>
      </c>
      <c r="AD212">
        <f ca="1"/>
        <v>0</v>
      </c>
      <c r="AE212">
        <f ca="1"/>
        <v>0</v>
      </c>
      <c r="AF212">
        <f ca="1"/>
        <v>0</v>
      </c>
      <c r="AG212">
        <f ca="1"/>
        <v>0</v>
      </c>
      <c r="AH212">
        <f ca="1"/>
        <v>0</v>
      </c>
    </row>
    <row r="213" spans="1:34" x14ac:dyDescent="0.4">
      <c r="A213" s="37">
        <v>193</v>
      </c>
      <c r="B213" s="36">
        <v>8.1999999999999655</v>
      </c>
      <c r="D213" s="37">
        <f t="shared" ca="1" si="6"/>
        <v>8.1999999999999655</v>
      </c>
      <c r="E213" s="37">
        <f t="shared" ca="1" si="7"/>
        <v>8.1999999999999655</v>
      </c>
      <c r="F213">
        <f ca="1"/>
        <v>0</v>
      </c>
      <c r="G213">
        <f ca="1"/>
        <v>0</v>
      </c>
      <c r="H213">
        <f ca="1"/>
        <v>0</v>
      </c>
      <c r="I213">
        <f ca="1"/>
        <v>0</v>
      </c>
      <c r="J213">
        <f ca="1"/>
        <v>0</v>
      </c>
      <c r="K213">
        <f ca="1"/>
        <v>0</v>
      </c>
      <c r="L213">
        <f ca="1"/>
        <v>1</v>
      </c>
      <c r="R213">
        <f ca="1"/>
        <v>1</v>
      </c>
      <c r="S213">
        <f ca="1"/>
        <v>1.1218765436420246</v>
      </c>
      <c r="T213">
        <f ca="1"/>
        <v>1.9852713256722776E-2</v>
      </c>
      <c r="U213">
        <f ca="1"/>
        <v>0.95729554013215834</v>
      </c>
      <c r="V213">
        <f ca="1"/>
        <v>1.8093546643597271</v>
      </c>
      <c r="X213" s="37">
        <f t="array" aca="1" ref="X213:AB213" ca="1">MMULT(F213:INDEX(F213:P213,$G$16),TRANSPOSE($R$3:INDEX($R$3:$Y$7,$R$1,$G$16)))</f>
        <v>1</v>
      </c>
      <c r="Y213" s="37">
        <f ca="1"/>
        <v>1.1218765436420246</v>
      </c>
      <c r="Z213" s="37">
        <f ca="1"/>
        <v>1.9852713256722776E-2</v>
      </c>
      <c r="AA213" s="37">
        <f ca="1"/>
        <v>0.95729554013215834</v>
      </c>
      <c r="AB213" s="37">
        <f ca="1"/>
        <v>1.8093546643597271</v>
      </c>
      <c r="AD213">
        <f ca="1"/>
        <v>0</v>
      </c>
      <c r="AE213">
        <f ca="1"/>
        <v>0</v>
      </c>
      <c r="AF213">
        <f ca="1"/>
        <v>0</v>
      </c>
      <c r="AG213">
        <f ca="1"/>
        <v>0</v>
      </c>
      <c r="AH213">
        <f ca="1"/>
        <v>0</v>
      </c>
    </row>
    <row r="214" spans="1:34" x14ac:dyDescent="0.4">
      <c r="A214" s="37">
        <v>194</v>
      </c>
      <c r="B214" s="36">
        <v>8.2999999999999652</v>
      </c>
      <c r="D214" s="37">
        <f t="shared" ref="D214:D241" ca="1" si="8">IF($C$2="Categorical",IF(A214&lt;=26,CHAR(64+A214),CHAR(RANDBETWEEN(65,90))),B214)</f>
        <v>8.2999999999999652</v>
      </c>
      <c r="E214" s="37">
        <f t="shared" ref="E214:E241" ca="1" si="9">IF(ISBLANK(B214),NA(),IF(C214,NA(),D214))</f>
        <v>8.2999999999999652</v>
      </c>
      <c r="F214">
        <f ca="1"/>
        <v>0</v>
      </c>
      <c r="G214">
        <f ca="1"/>
        <v>0</v>
      </c>
      <c r="H214">
        <f ca="1"/>
        <v>0</v>
      </c>
      <c r="I214">
        <f ca="1"/>
        <v>0</v>
      </c>
      <c r="J214">
        <f ca="1"/>
        <v>0</v>
      </c>
      <c r="K214">
        <f ca="1"/>
        <v>0</v>
      </c>
      <c r="L214">
        <f ca="1"/>
        <v>1</v>
      </c>
      <c r="R214">
        <f ca="1"/>
        <v>1</v>
      </c>
      <c r="S214">
        <f ca="1"/>
        <v>1.1218765436420246</v>
      </c>
      <c r="T214">
        <f ca="1"/>
        <v>1.9852713256722776E-2</v>
      </c>
      <c r="U214">
        <f ca="1"/>
        <v>0.95729554013215834</v>
      </c>
      <c r="V214">
        <f ca="1"/>
        <v>1.8093546643597271</v>
      </c>
      <c r="X214" s="37">
        <f t="array" aca="1" ref="X214:AB214" ca="1">MMULT(F214:INDEX(F214:P214,$G$16),TRANSPOSE($R$3:INDEX($R$3:$Y$7,$R$1,$G$16)))</f>
        <v>1</v>
      </c>
      <c r="Y214" s="37">
        <f ca="1"/>
        <v>1.1218765436420246</v>
      </c>
      <c r="Z214" s="37">
        <f ca="1"/>
        <v>1.9852713256722776E-2</v>
      </c>
      <c r="AA214" s="37">
        <f ca="1"/>
        <v>0.95729554013215834</v>
      </c>
      <c r="AB214" s="37">
        <f ca="1"/>
        <v>1.8093546643597271</v>
      </c>
      <c r="AD214">
        <f ca="1"/>
        <v>0</v>
      </c>
      <c r="AE214">
        <f ca="1"/>
        <v>0</v>
      </c>
      <c r="AF214">
        <f ca="1"/>
        <v>0</v>
      </c>
      <c r="AG214">
        <f ca="1"/>
        <v>0</v>
      </c>
      <c r="AH214">
        <f ca="1"/>
        <v>0</v>
      </c>
    </row>
    <row r="215" spans="1:34" x14ac:dyDescent="0.4">
      <c r="A215" s="37">
        <v>195</v>
      </c>
      <c r="B215" s="36">
        <v>8.3999999999999648</v>
      </c>
      <c r="D215" s="37">
        <f t="shared" ca="1" si="8"/>
        <v>8.3999999999999648</v>
      </c>
      <c r="E215" s="37">
        <f t="shared" ca="1" si="9"/>
        <v>8.3999999999999648</v>
      </c>
      <c r="F215">
        <f ca="1"/>
        <v>0</v>
      </c>
      <c r="G215">
        <f ca="1"/>
        <v>0</v>
      </c>
      <c r="H215">
        <f ca="1"/>
        <v>0</v>
      </c>
      <c r="I215">
        <f ca="1"/>
        <v>0</v>
      </c>
      <c r="J215">
        <f ca="1"/>
        <v>0</v>
      </c>
      <c r="K215">
        <f ca="1"/>
        <v>0</v>
      </c>
      <c r="L215">
        <f ca="1"/>
        <v>1</v>
      </c>
      <c r="R215">
        <f ca="1"/>
        <v>1</v>
      </c>
      <c r="S215">
        <f ca="1"/>
        <v>1.1218765436420246</v>
      </c>
      <c r="T215">
        <f ca="1"/>
        <v>1.9852713256722776E-2</v>
      </c>
      <c r="U215">
        <f ca="1"/>
        <v>0.95729554013215834</v>
      </c>
      <c r="V215">
        <f ca="1"/>
        <v>1.8093546643597271</v>
      </c>
      <c r="X215" s="37">
        <f t="array" aca="1" ref="X215:AB215" ca="1">MMULT(F215:INDEX(F215:P215,$G$16),TRANSPOSE($R$3:INDEX($R$3:$Y$7,$R$1,$G$16)))</f>
        <v>1</v>
      </c>
      <c r="Y215" s="37">
        <f ca="1"/>
        <v>1.1218765436420246</v>
      </c>
      <c r="Z215" s="37">
        <f ca="1"/>
        <v>1.9852713256722776E-2</v>
      </c>
      <c r="AA215" s="37">
        <f ca="1"/>
        <v>0.95729554013215834</v>
      </c>
      <c r="AB215" s="37">
        <f ca="1"/>
        <v>1.8093546643597271</v>
      </c>
      <c r="AD215">
        <f ca="1"/>
        <v>0</v>
      </c>
      <c r="AE215">
        <f ca="1"/>
        <v>0</v>
      </c>
      <c r="AF215">
        <f ca="1"/>
        <v>0</v>
      </c>
      <c r="AG215">
        <f ca="1"/>
        <v>0</v>
      </c>
      <c r="AH215">
        <f ca="1"/>
        <v>0</v>
      </c>
    </row>
    <row r="216" spans="1:34" x14ac:dyDescent="0.4">
      <c r="A216" s="37">
        <v>196</v>
      </c>
      <c r="B216" s="36">
        <v>8.4999999999999645</v>
      </c>
      <c r="D216" s="37">
        <f t="shared" ca="1" si="8"/>
        <v>8.4999999999999645</v>
      </c>
      <c r="E216" s="37">
        <f t="shared" ca="1" si="9"/>
        <v>8.4999999999999645</v>
      </c>
      <c r="F216">
        <f ca="1"/>
        <v>0</v>
      </c>
      <c r="G216">
        <f ca="1"/>
        <v>0</v>
      </c>
      <c r="H216">
        <f ca="1"/>
        <v>0</v>
      </c>
      <c r="I216">
        <f ca="1"/>
        <v>0</v>
      </c>
      <c r="J216">
        <f ca="1"/>
        <v>0</v>
      </c>
      <c r="K216">
        <f ca="1"/>
        <v>0</v>
      </c>
      <c r="L216">
        <f ca="1"/>
        <v>1</v>
      </c>
      <c r="R216">
        <f ca="1"/>
        <v>1</v>
      </c>
      <c r="S216">
        <f ca="1"/>
        <v>1.1218765436420246</v>
      </c>
      <c r="T216">
        <f ca="1"/>
        <v>1.9852713256722776E-2</v>
      </c>
      <c r="U216">
        <f ca="1"/>
        <v>0.95729554013215834</v>
      </c>
      <c r="V216">
        <f ca="1"/>
        <v>1.8093546643597271</v>
      </c>
      <c r="X216" s="37">
        <f t="array" aca="1" ref="X216:AB216" ca="1">MMULT(F216:INDEX(F216:P216,$G$16),TRANSPOSE($R$3:INDEX($R$3:$Y$7,$R$1,$G$16)))</f>
        <v>1</v>
      </c>
      <c r="Y216" s="37">
        <f ca="1"/>
        <v>1.1218765436420246</v>
      </c>
      <c r="Z216" s="37">
        <f ca="1"/>
        <v>1.9852713256722776E-2</v>
      </c>
      <c r="AA216" s="37">
        <f ca="1"/>
        <v>0.95729554013215834</v>
      </c>
      <c r="AB216" s="37">
        <f ca="1"/>
        <v>1.8093546643597271</v>
      </c>
      <c r="AD216">
        <f ca="1"/>
        <v>0</v>
      </c>
      <c r="AE216">
        <f ca="1"/>
        <v>0</v>
      </c>
      <c r="AF216">
        <f ca="1"/>
        <v>0</v>
      </c>
      <c r="AG216">
        <f ca="1"/>
        <v>0</v>
      </c>
      <c r="AH216">
        <f ca="1"/>
        <v>0</v>
      </c>
    </row>
    <row r="217" spans="1:34" x14ac:dyDescent="0.4">
      <c r="A217" s="37">
        <v>197</v>
      </c>
      <c r="B217" s="36">
        <v>8.5999999999999641</v>
      </c>
      <c r="D217" s="37">
        <f t="shared" ca="1" si="8"/>
        <v>8.5999999999999641</v>
      </c>
      <c r="E217" s="37">
        <f t="shared" ca="1" si="9"/>
        <v>8.5999999999999641</v>
      </c>
      <c r="F217">
        <f ca="1"/>
        <v>0</v>
      </c>
      <c r="G217">
        <f ca="1"/>
        <v>0</v>
      </c>
      <c r="H217">
        <f ca="1"/>
        <v>0</v>
      </c>
      <c r="I217">
        <f ca="1"/>
        <v>0</v>
      </c>
      <c r="J217">
        <f ca="1"/>
        <v>0</v>
      </c>
      <c r="K217">
        <f ca="1"/>
        <v>0</v>
      </c>
      <c r="L217">
        <f ca="1"/>
        <v>1</v>
      </c>
      <c r="R217">
        <f ca="1"/>
        <v>1</v>
      </c>
      <c r="S217">
        <f ca="1"/>
        <v>1.1218765436420246</v>
      </c>
      <c r="T217">
        <f ca="1"/>
        <v>1.9852713256722776E-2</v>
      </c>
      <c r="U217">
        <f ca="1"/>
        <v>0.95729554013215834</v>
      </c>
      <c r="V217">
        <f ca="1"/>
        <v>1.8093546643597271</v>
      </c>
      <c r="X217" s="37">
        <f t="array" aca="1" ref="X217:AB217" ca="1">MMULT(F217:INDEX(F217:P217,$G$16),TRANSPOSE($R$3:INDEX($R$3:$Y$7,$R$1,$G$16)))</f>
        <v>1</v>
      </c>
      <c r="Y217" s="37">
        <f ca="1"/>
        <v>1.1218765436420246</v>
      </c>
      <c r="Z217" s="37">
        <f ca="1"/>
        <v>1.9852713256722776E-2</v>
      </c>
      <c r="AA217" s="37">
        <f ca="1"/>
        <v>0.95729554013215834</v>
      </c>
      <c r="AB217" s="37">
        <f ca="1"/>
        <v>1.8093546643597271</v>
      </c>
      <c r="AD217">
        <f ca="1"/>
        <v>0</v>
      </c>
      <c r="AE217">
        <f ca="1"/>
        <v>0</v>
      </c>
      <c r="AF217">
        <f ca="1"/>
        <v>0</v>
      </c>
      <c r="AG217">
        <f ca="1"/>
        <v>0</v>
      </c>
      <c r="AH217">
        <f ca="1"/>
        <v>0</v>
      </c>
    </row>
    <row r="218" spans="1:34" x14ac:dyDescent="0.4">
      <c r="A218" s="37">
        <v>198</v>
      </c>
      <c r="B218" s="36">
        <v>8.6999999999999638</v>
      </c>
      <c r="D218" s="37">
        <f t="shared" ca="1" si="8"/>
        <v>8.6999999999999638</v>
      </c>
      <c r="E218" s="37">
        <f t="shared" ca="1" si="9"/>
        <v>8.6999999999999638</v>
      </c>
      <c r="F218">
        <f ca="1"/>
        <v>0</v>
      </c>
      <c r="G218">
        <f ca="1"/>
        <v>0</v>
      </c>
      <c r="H218">
        <f ca="1"/>
        <v>0</v>
      </c>
      <c r="I218">
        <f ca="1"/>
        <v>0</v>
      </c>
      <c r="J218">
        <f ca="1"/>
        <v>0</v>
      </c>
      <c r="K218">
        <f ca="1"/>
        <v>0</v>
      </c>
      <c r="L218">
        <f ca="1"/>
        <v>1</v>
      </c>
      <c r="R218">
        <f ca="1"/>
        <v>1</v>
      </c>
      <c r="S218">
        <f ca="1"/>
        <v>1.1218765436420246</v>
      </c>
      <c r="T218">
        <f ca="1"/>
        <v>1.9852713256722776E-2</v>
      </c>
      <c r="U218">
        <f ca="1"/>
        <v>0.95729554013215834</v>
      </c>
      <c r="V218">
        <f ca="1"/>
        <v>1.8093546643597271</v>
      </c>
      <c r="X218" s="37">
        <f t="array" aca="1" ref="X218:AB218" ca="1">MMULT(F218:INDEX(F218:P218,$G$16),TRANSPOSE($R$3:INDEX($R$3:$Y$7,$R$1,$G$16)))</f>
        <v>1</v>
      </c>
      <c r="Y218" s="37">
        <f ca="1"/>
        <v>1.1218765436420246</v>
      </c>
      <c r="Z218" s="37">
        <f ca="1"/>
        <v>1.9852713256722776E-2</v>
      </c>
      <c r="AA218" s="37">
        <f ca="1"/>
        <v>0.95729554013215834</v>
      </c>
      <c r="AB218" s="37">
        <f ca="1"/>
        <v>1.8093546643597271</v>
      </c>
      <c r="AD218">
        <f ca="1"/>
        <v>0</v>
      </c>
      <c r="AE218">
        <f ca="1"/>
        <v>0</v>
      </c>
      <c r="AF218">
        <f ca="1"/>
        <v>0</v>
      </c>
      <c r="AG218">
        <f ca="1"/>
        <v>0</v>
      </c>
      <c r="AH218">
        <f ca="1"/>
        <v>0</v>
      </c>
    </row>
    <row r="219" spans="1:34" x14ac:dyDescent="0.4">
      <c r="A219" s="37">
        <v>199</v>
      </c>
      <c r="B219" s="36">
        <v>8.7999999999999634</v>
      </c>
      <c r="D219" s="37">
        <f t="shared" ca="1" si="8"/>
        <v>8.7999999999999634</v>
      </c>
      <c r="E219" s="37">
        <f t="shared" ca="1" si="9"/>
        <v>8.7999999999999634</v>
      </c>
      <c r="F219">
        <f ca="1"/>
        <v>0</v>
      </c>
      <c r="G219">
        <f ca="1"/>
        <v>0</v>
      </c>
      <c r="H219">
        <f ca="1"/>
        <v>0</v>
      </c>
      <c r="I219">
        <f ca="1"/>
        <v>0</v>
      </c>
      <c r="J219">
        <f ca="1"/>
        <v>0</v>
      </c>
      <c r="K219">
        <f ca="1"/>
        <v>0</v>
      </c>
      <c r="L219">
        <f ca="1"/>
        <v>1</v>
      </c>
      <c r="R219">
        <f ca="1"/>
        <v>1</v>
      </c>
      <c r="S219">
        <f ca="1"/>
        <v>1.1218765436420246</v>
      </c>
      <c r="T219">
        <f ca="1"/>
        <v>1.9852713256722776E-2</v>
      </c>
      <c r="U219">
        <f ca="1"/>
        <v>0.95729554013215834</v>
      </c>
      <c r="V219">
        <f ca="1"/>
        <v>1.8093546643597271</v>
      </c>
      <c r="X219" s="37">
        <f t="array" aca="1" ref="X219:AB219" ca="1">MMULT(F219:INDEX(F219:P219,$G$16),TRANSPOSE($R$3:INDEX($R$3:$Y$7,$R$1,$G$16)))</f>
        <v>1</v>
      </c>
      <c r="Y219" s="37">
        <f ca="1"/>
        <v>1.1218765436420246</v>
      </c>
      <c r="Z219" s="37">
        <f ca="1"/>
        <v>1.9852713256722776E-2</v>
      </c>
      <c r="AA219" s="37">
        <f ca="1"/>
        <v>0.95729554013215834</v>
      </c>
      <c r="AB219" s="37">
        <f ca="1"/>
        <v>1.8093546643597271</v>
      </c>
      <c r="AD219">
        <f ca="1"/>
        <v>0</v>
      </c>
      <c r="AE219">
        <f ca="1"/>
        <v>0</v>
      </c>
      <c r="AF219">
        <f ca="1"/>
        <v>0</v>
      </c>
      <c r="AG219">
        <f ca="1"/>
        <v>0</v>
      </c>
      <c r="AH219">
        <f ca="1"/>
        <v>0</v>
      </c>
    </row>
    <row r="220" spans="1:34" x14ac:dyDescent="0.4">
      <c r="A220" s="37">
        <v>200</v>
      </c>
      <c r="B220" s="36">
        <v>8.8999999999999631</v>
      </c>
      <c r="D220" s="37">
        <f t="shared" ca="1" si="8"/>
        <v>8.8999999999999631</v>
      </c>
      <c r="E220" s="37">
        <f t="shared" ca="1" si="9"/>
        <v>8.8999999999999631</v>
      </c>
      <c r="F220">
        <f ca="1"/>
        <v>0</v>
      </c>
      <c r="G220">
        <f ca="1"/>
        <v>0</v>
      </c>
      <c r="H220">
        <f ca="1"/>
        <v>0</v>
      </c>
      <c r="I220">
        <f ca="1"/>
        <v>0</v>
      </c>
      <c r="J220">
        <f ca="1"/>
        <v>0</v>
      </c>
      <c r="K220">
        <f ca="1"/>
        <v>0</v>
      </c>
      <c r="L220">
        <f ca="1"/>
        <v>1</v>
      </c>
      <c r="R220">
        <f ca="1"/>
        <v>1</v>
      </c>
      <c r="S220">
        <f ca="1"/>
        <v>1.1218765436420246</v>
      </c>
      <c r="T220">
        <f ca="1"/>
        <v>1.9852713256722776E-2</v>
      </c>
      <c r="U220">
        <f ca="1"/>
        <v>0.95729554013215834</v>
      </c>
      <c r="V220">
        <f ca="1"/>
        <v>1.8093546643597271</v>
      </c>
      <c r="X220" s="37">
        <f t="array" aca="1" ref="X220:AB220" ca="1">MMULT(F220:INDEX(F220:P220,$G$16),TRANSPOSE($R$3:INDEX($R$3:$Y$7,$R$1,$G$16)))</f>
        <v>1</v>
      </c>
      <c r="Y220" s="37">
        <f ca="1"/>
        <v>1.1218765436420246</v>
      </c>
      <c r="Z220" s="37">
        <f ca="1"/>
        <v>1.9852713256722776E-2</v>
      </c>
      <c r="AA220" s="37">
        <f ca="1"/>
        <v>0.95729554013215834</v>
      </c>
      <c r="AB220" s="37">
        <f ca="1"/>
        <v>1.8093546643597271</v>
      </c>
      <c r="AD220">
        <f ca="1"/>
        <v>0</v>
      </c>
      <c r="AE220">
        <f ca="1"/>
        <v>0</v>
      </c>
      <c r="AF220">
        <f ca="1"/>
        <v>0</v>
      </c>
      <c r="AG220">
        <f ca="1"/>
        <v>0</v>
      </c>
      <c r="AH220">
        <f ca="1"/>
        <v>0</v>
      </c>
    </row>
    <row r="221" spans="1:34" x14ac:dyDescent="0.4">
      <c r="A221" s="37">
        <v>201</v>
      </c>
      <c r="B221" s="36">
        <v>8.9999999999999627</v>
      </c>
      <c r="D221" s="37">
        <f t="shared" ca="1" si="8"/>
        <v>8.9999999999999627</v>
      </c>
      <c r="E221" s="37">
        <f t="shared" ca="1" si="9"/>
        <v>8.9999999999999627</v>
      </c>
      <c r="F221">
        <f ca="1"/>
        <v>0</v>
      </c>
      <c r="G221">
        <f ca="1"/>
        <v>0</v>
      </c>
      <c r="H221">
        <f ca="1"/>
        <v>0</v>
      </c>
      <c r="I221">
        <f ca="1"/>
        <v>0</v>
      </c>
      <c r="J221">
        <f ca="1"/>
        <v>0</v>
      </c>
      <c r="K221">
        <f ca="1"/>
        <v>0</v>
      </c>
      <c r="L221">
        <f ca="1"/>
        <v>1</v>
      </c>
      <c r="R221">
        <f ca="1"/>
        <v>1</v>
      </c>
      <c r="S221">
        <f ca="1"/>
        <v>1.1218765436420246</v>
      </c>
      <c r="T221">
        <f ca="1"/>
        <v>1.9852713256722776E-2</v>
      </c>
      <c r="U221">
        <f ca="1"/>
        <v>0.95729554013215834</v>
      </c>
      <c r="V221">
        <f ca="1"/>
        <v>1.8093546643597271</v>
      </c>
      <c r="X221" s="37">
        <f t="array" aca="1" ref="X221:AB221" ca="1">MMULT(F221:INDEX(F221:P221,$G$16),TRANSPOSE($R$3:INDEX($R$3:$Y$7,$R$1,$G$16)))</f>
        <v>1</v>
      </c>
      <c r="Y221" s="37">
        <f ca="1"/>
        <v>1.1218765436420246</v>
      </c>
      <c r="Z221" s="37">
        <f ca="1"/>
        <v>1.9852713256722776E-2</v>
      </c>
      <c r="AA221" s="37">
        <f ca="1"/>
        <v>0.95729554013215834</v>
      </c>
      <c r="AB221" s="37">
        <f ca="1"/>
        <v>1.8093546643597271</v>
      </c>
      <c r="AD221">
        <f ca="1"/>
        <v>0</v>
      </c>
      <c r="AE221">
        <f ca="1"/>
        <v>0</v>
      </c>
      <c r="AF221">
        <f ca="1"/>
        <v>0</v>
      </c>
      <c r="AG221">
        <f ca="1"/>
        <v>0</v>
      </c>
      <c r="AH221">
        <f ca="1"/>
        <v>0</v>
      </c>
    </row>
    <row r="222" spans="1:34" x14ac:dyDescent="0.4">
      <c r="A222" s="37">
        <v>202</v>
      </c>
      <c r="B222" s="36">
        <v>9.0999999999999623</v>
      </c>
      <c r="D222" s="37">
        <f t="shared" ca="1" si="8"/>
        <v>9.0999999999999623</v>
      </c>
      <c r="E222" s="37">
        <f t="shared" ca="1" si="9"/>
        <v>9.0999999999999623</v>
      </c>
      <c r="F222">
        <f ca="1"/>
        <v>0</v>
      </c>
      <c r="G222">
        <f ca="1"/>
        <v>0</v>
      </c>
      <c r="H222">
        <f ca="1"/>
        <v>0</v>
      </c>
      <c r="I222">
        <f ca="1"/>
        <v>0</v>
      </c>
      <c r="J222">
        <f ca="1"/>
        <v>0</v>
      </c>
      <c r="K222">
        <f ca="1"/>
        <v>0</v>
      </c>
      <c r="L222">
        <f ca="1"/>
        <v>1</v>
      </c>
      <c r="R222">
        <f ca="1"/>
        <v>1</v>
      </c>
      <c r="S222">
        <f ca="1"/>
        <v>1.1218765436420246</v>
      </c>
      <c r="T222">
        <f ca="1"/>
        <v>1.9852713256722776E-2</v>
      </c>
      <c r="U222">
        <f ca="1"/>
        <v>0.95729554013215834</v>
      </c>
      <c r="V222">
        <f ca="1"/>
        <v>1.8093546643597271</v>
      </c>
      <c r="X222" s="37">
        <f t="array" aca="1" ref="X222:AB222" ca="1">MMULT(F222:INDEX(F222:P222,$G$16),TRANSPOSE($R$3:INDEX($R$3:$Y$7,$R$1,$G$16)))</f>
        <v>1</v>
      </c>
      <c r="Y222" s="37">
        <f ca="1"/>
        <v>1.1218765436420246</v>
      </c>
      <c r="Z222" s="37">
        <f ca="1"/>
        <v>1.9852713256722776E-2</v>
      </c>
      <c r="AA222" s="37">
        <f ca="1"/>
        <v>0.95729554013215834</v>
      </c>
      <c r="AB222" s="37">
        <f ca="1"/>
        <v>1.8093546643597271</v>
      </c>
      <c r="AD222">
        <f ca="1"/>
        <v>0</v>
      </c>
      <c r="AE222">
        <f ca="1"/>
        <v>0</v>
      </c>
      <c r="AF222">
        <f ca="1"/>
        <v>0</v>
      </c>
      <c r="AG222">
        <f ca="1"/>
        <v>0</v>
      </c>
      <c r="AH222">
        <f ca="1"/>
        <v>0</v>
      </c>
    </row>
    <row r="223" spans="1:34" x14ac:dyDescent="0.4">
      <c r="A223" s="37">
        <v>203</v>
      </c>
      <c r="B223" s="36">
        <v>9.199999999999962</v>
      </c>
      <c r="D223" s="37">
        <f t="shared" ca="1" si="8"/>
        <v>9.199999999999962</v>
      </c>
      <c r="E223" s="37">
        <f t="shared" ca="1" si="9"/>
        <v>9.199999999999962</v>
      </c>
      <c r="F223">
        <f ca="1"/>
        <v>0</v>
      </c>
      <c r="G223">
        <f ca="1"/>
        <v>0</v>
      </c>
      <c r="H223">
        <f ca="1"/>
        <v>0</v>
      </c>
      <c r="I223">
        <f ca="1"/>
        <v>0</v>
      </c>
      <c r="J223">
        <f ca="1"/>
        <v>0</v>
      </c>
      <c r="K223">
        <f ca="1"/>
        <v>0</v>
      </c>
      <c r="L223">
        <f ca="1"/>
        <v>1</v>
      </c>
      <c r="R223">
        <f ca="1"/>
        <v>1</v>
      </c>
      <c r="S223">
        <f ca="1"/>
        <v>1.1218765436420246</v>
      </c>
      <c r="T223">
        <f ca="1"/>
        <v>1.9852713256722776E-2</v>
      </c>
      <c r="U223">
        <f ca="1"/>
        <v>0.95729554013215834</v>
      </c>
      <c r="V223">
        <f ca="1"/>
        <v>1.8093546643597271</v>
      </c>
      <c r="X223" s="37">
        <f t="array" aca="1" ref="X223:AB223" ca="1">MMULT(F223:INDEX(F223:P223,$G$16),TRANSPOSE($R$3:INDEX($R$3:$Y$7,$R$1,$G$16)))</f>
        <v>1</v>
      </c>
      <c r="Y223" s="37">
        <f ca="1"/>
        <v>1.1218765436420246</v>
      </c>
      <c r="Z223" s="37">
        <f ca="1"/>
        <v>1.9852713256722776E-2</v>
      </c>
      <c r="AA223" s="37">
        <f ca="1"/>
        <v>0.95729554013215834</v>
      </c>
      <c r="AB223" s="37">
        <f ca="1"/>
        <v>1.8093546643597271</v>
      </c>
      <c r="AD223">
        <f ca="1"/>
        <v>0</v>
      </c>
      <c r="AE223">
        <f ca="1"/>
        <v>0</v>
      </c>
      <c r="AF223">
        <f ca="1"/>
        <v>0</v>
      </c>
      <c r="AG223">
        <f ca="1"/>
        <v>0</v>
      </c>
      <c r="AH223">
        <f ca="1"/>
        <v>0</v>
      </c>
    </row>
    <row r="224" spans="1:34" x14ac:dyDescent="0.4">
      <c r="A224" s="37">
        <v>204</v>
      </c>
      <c r="B224" s="36">
        <v>9.2999999999999616</v>
      </c>
      <c r="D224" s="37">
        <f t="shared" ca="1" si="8"/>
        <v>9.2999999999999616</v>
      </c>
      <c r="E224" s="37">
        <f t="shared" ca="1" si="9"/>
        <v>9.2999999999999616</v>
      </c>
      <c r="F224">
        <f ca="1"/>
        <v>0</v>
      </c>
      <c r="G224">
        <f ca="1"/>
        <v>0</v>
      </c>
      <c r="H224">
        <f ca="1"/>
        <v>0</v>
      </c>
      <c r="I224">
        <f ca="1"/>
        <v>0</v>
      </c>
      <c r="J224">
        <f ca="1"/>
        <v>0</v>
      </c>
      <c r="K224">
        <f ca="1"/>
        <v>0</v>
      </c>
      <c r="L224">
        <f ca="1"/>
        <v>1</v>
      </c>
      <c r="R224">
        <f ca="1"/>
        <v>1</v>
      </c>
      <c r="S224">
        <f ca="1"/>
        <v>1.1218765436420246</v>
      </c>
      <c r="T224">
        <f ca="1"/>
        <v>1.9852713256722776E-2</v>
      </c>
      <c r="U224">
        <f ca="1"/>
        <v>0.95729554013215834</v>
      </c>
      <c r="V224">
        <f ca="1"/>
        <v>1.8093546643597271</v>
      </c>
      <c r="X224" s="37">
        <f t="array" aca="1" ref="X224:AB224" ca="1">MMULT(F224:INDEX(F224:P224,$G$16),TRANSPOSE($R$3:INDEX($R$3:$Y$7,$R$1,$G$16)))</f>
        <v>1</v>
      </c>
      <c r="Y224" s="37">
        <f ca="1"/>
        <v>1.1218765436420246</v>
      </c>
      <c r="Z224" s="37">
        <f ca="1"/>
        <v>1.9852713256722776E-2</v>
      </c>
      <c r="AA224" s="37">
        <f ca="1"/>
        <v>0.95729554013215834</v>
      </c>
      <c r="AB224" s="37">
        <f ca="1"/>
        <v>1.8093546643597271</v>
      </c>
      <c r="AD224">
        <f ca="1"/>
        <v>0</v>
      </c>
      <c r="AE224">
        <f ca="1"/>
        <v>0</v>
      </c>
      <c r="AF224">
        <f ca="1"/>
        <v>0</v>
      </c>
      <c r="AG224">
        <f ca="1"/>
        <v>0</v>
      </c>
      <c r="AH224">
        <f ca="1"/>
        <v>0</v>
      </c>
    </row>
    <row r="225" spans="1:34" x14ac:dyDescent="0.4">
      <c r="A225" s="37">
        <v>205</v>
      </c>
      <c r="B225" s="36">
        <v>9.3999999999999613</v>
      </c>
      <c r="D225" s="37">
        <f t="shared" ca="1" si="8"/>
        <v>9.3999999999999613</v>
      </c>
      <c r="E225" s="37">
        <f t="shared" ca="1" si="9"/>
        <v>9.3999999999999613</v>
      </c>
      <c r="F225">
        <f ca="1"/>
        <v>0</v>
      </c>
      <c r="G225">
        <f ca="1"/>
        <v>0</v>
      </c>
      <c r="H225">
        <f ca="1"/>
        <v>0</v>
      </c>
      <c r="I225">
        <f ca="1"/>
        <v>0</v>
      </c>
      <c r="J225">
        <f ca="1"/>
        <v>0</v>
      </c>
      <c r="K225">
        <f ca="1"/>
        <v>0</v>
      </c>
      <c r="L225">
        <f ca="1"/>
        <v>1</v>
      </c>
      <c r="R225">
        <f ca="1"/>
        <v>1</v>
      </c>
      <c r="S225">
        <f ca="1"/>
        <v>1.1218765436420246</v>
      </c>
      <c r="T225">
        <f ca="1"/>
        <v>1.9852713256722776E-2</v>
      </c>
      <c r="U225">
        <f ca="1"/>
        <v>0.95729554013215834</v>
      </c>
      <c r="V225">
        <f ca="1"/>
        <v>1.8093546643597271</v>
      </c>
      <c r="X225" s="37">
        <f t="array" aca="1" ref="X225:AB225" ca="1">MMULT(F225:INDEX(F225:P225,$G$16),TRANSPOSE($R$3:INDEX($R$3:$Y$7,$R$1,$G$16)))</f>
        <v>1</v>
      </c>
      <c r="Y225" s="37">
        <f ca="1"/>
        <v>1.1218765436420246</v>
      </c>
      <c r="Z225" s="37">
        <f ca="1"/>
        <v>1.9852713256722776E-2</v>
      </c>
      <c r="AA225" s="37">
        <f ca="1"/>
        <v>0.95729554013215834</v>
      </c>
      <c r="AB225" s="37">
        <f ca="1"/>
        <v>1.8093546643597271</v>
      </c>
      <c r="AD225">
        <f ca="1"/>
        <v>0</v>
      </c>
      <c r="AE225">
        <f ca="1"/>
        <v>0</v>
      </c>
      <c r="AF225">
        <f ca="1"/>
        <v>0</v>
      </c>
      <c r="AG225">
        <f ca="1"/>
        <v>0</v>
      </c>
      <c r="AH225">
        <f ca="1"/>
        <v>0</v>
      </c>
    </row>
    <row r="226" spans="1:34" x14ac:dyDescent="0.4">
      <c r="A226" s="37">
        <v>206</v>
      </c>
      <c r="B226" s="36">
        <v>9.4999999999999609</v>
      </c>
      <c r="D226" s="37">
        <f t="shared" ca="1" si="8"/>
        <v>9.4999999999999609</v>
      </c>
      <c r="E226" s="37">
        <f t="shared" ca="1" si="9"/>
        <v>9.4999999999999609</v>
      </c>
      <c r="F226">
        <f ca="1"/>
        <v>0</v>
      </c>
      <c r="G226">
        <f ca="1"/>
        <v>0</v>
      </c>
      <c r="H226">
        <f ca="1"/>
        <v>0</v>
      </c>
      <c r="I226">
        <f ca="1"/>
        <v>0</v>
      </c>
      <c r="J226">
        <f ca="1"/>
        <v>0</v>
      </c>
      <c r="K226">
        <f ca="1"/>
        <v>0</v>
      </c>
      <c r="L226">
        <f ca="1"/>
        <v>1</v>
      </c>
      <c r="R226">
        <f ca="1"/>
        <v>1</v>
      </c>
      <c r="S226">
        <f ca="1"/>
        <v>1.1218765436420246</v>
      </c>
      <c r="T226">
        <f ca="1"/>
        <v>1.9852713256722776E-2</v>
      </c>
      <c r="U226">
        <f ca="1"/>
        <v>0.95729554013215834</v>
      </c>
      <c r="V226">
        <f ca="1"/>
        <v>1.8093546643597271</v>
      </c>
      <c r="X226" s="37">
        <f t="array" aca="1" ref="X226:AB226" ca="1">MMULT(F226:INDEX(F226:P226,$G$16),TRANSPOSE($R$3:INDEX($R$3:$Y$7,$R$1,$G$16)))</f>
        <v>1</v>
      </c>
      <c r="Y226" s="37">
        <f ca="1"/>
        <v>1.1218765436420246</v>
      </c>
      <c r="Z226" s="37">
        <f ca="1"/>
        <v>1.9852713256722776E-2</v>
      </c>
      <c r="AA226" s="37">
        <f ca="1"/>
        <v>0.95729554013215834</v>
      </c>
      <c r="AB226" s="37">
        <f ca="1"/>
        <v>1.8093546643597271</v>
      </c>
      <c r="AD226">
        <f ca="1"/>
        <v>0</v>
      </c>
      <c r="AE226">
        <f ca="1"/>
        <v>0</v>
      </c>
      <c r="AF226">
        <f ca="1"/>
        <v>0</v>
      </c>
      <c r="AG226">
        <f ca="1"/>
        <v>0</v>
      </c>
      <c r="AH226">
        <f ca="1"/>
        <v>0</v>
      </c>
    </row>
    <row r="227" spans="1:34" x14ac:dyDescent="0.4">
      <c r="A227" s="37">
        <v>207</v>
      </c>
      <c r="B227" s="36">
        <v>9.5999999999999606</v>
      </c>
      <c r="D227" s="37">
        <f t="shared" ca="1" si="8"/>
        <v>9.5999999999999606</v>
      </c>
      <c r="E227" s="37">
        <f t="shared" ca="1" si="9"/>
        <v>9.5999999999999606</v>
      </c>
      <c r="F227">
        <f ca="1"/>
        <v>0</v>
      </c>
      <c r="G227">
        <f ca="1"/>
        <v>0</v>
      </c>
      <c r="H227">
        <f ca="1"/>
        <v>0</v>
      </c>
      <c r="I227">
        <f ca="1"/>
        <v>0</v>
      </c>
      <c r="J227">
        <f ca="1"/>
        <v>0</v>
      </c>
      <c r="K227">
        <f ca="1"/>
        <v>0</v>
      </c>
      <c r="L227">
        <f ca="1"/>
        <v>1</v>
      </c>
      <c r="R227">
        <f ca="1"/>
        <v>1</v>
      </c>
      <c r="S227">
        <f ca="1"/>
        <v>1.1218765436420246</v>
      </c>
      <c r="T227">
        <f ca="1"/>
        <v>1.9852713256722776E-2</v>
      </c>
      <c r="U227">
        <f ca="1"/>
        <v>0.95729554013215834</v>
      </c>
      <c r="V227">
        <f ca="1"/>
        <v>1.8093546643597271</v>
      </c>
      <c r="X227" s="37">
        <f t="array" aca="1" ref="X227:AB227" ca="1">MMULT(F227:INDEX(F227:P227,$G$16),TRANSPOSE($R$3:INDEX($R$3:$Y$7,$R$1,$G$16)))</f>
        <v>1</v>
      </c>
      <c r="Y227" s="37">
        <f ca="1"/>
        <v>1.1218765436420246</v>
      </c>
      <c r="Z227" s="37">
        <f ca="1"/>
        <v>1.9852713256722776E-2</v>
      </c>
      <c r="AA227" s="37">
        <f ca="1"/>
        <v>0.95729554013215834</v>
      </c>
      <c r="AB227" s="37">
        <f ca="1"/>
        <v>1.8093546643597271</v>
      </c>
      <c r="AD227">
        <f ca="1"/>
        <v>0</v>
      </c>
      <c r="AE227">
        <f ca="1"/>
        <v>0</v>
      </c>
      <c r="AF227">
        <f ca="1"/>
        <v>0</v>
      </c>
      <c r="AG227">
        <f ca="1"/>
        <v>0</v>
      </c>
      <c r="AH227">
        <f ca="1"/>
        <v>0</v>
      </c>
    </row>
    <row r="228" spans="1:34" x14ac:dyDescent="0.4">
      <c r="A228" s="37">
        <v>208</v>
      </c>
      <c r="B228" s="36">
        <v>9.6999999999999602</v>
      </c>
      <c r="D228" s="37">
        <f t="shared" ca="1" si="8"/>
        <v>9.6999999999999602</v>
      </c>
      <c r="E228" s="37">
        <f t="shared" ca="1" si="9"/>
        <v>9.6999999999999602</v>
      </c>
      <c r="F228">
        <f ca="1"/>
        <v>0</v>
      </c>
      <c r="G228">
        <f ca="1"/>
        <v>0</v>
      </c>
      <c r="H228">
        <f ca="1"/>
        <v>0</v>
      </c>
      <c r="I228">
        <f ca="1"/>
        <v>0</v>
      </c>
      <c r="J228">
        <f ca="1"/>
        <v>0</v>
      </c>
      <c r="K228">
        <f ca="1"/>
        <v>0</v>
      </c>
      <c r="L228">
        <f ca="1"/>
        <v>1</v>
      </c>
      <c r="R228">
        <f ca="1"/>
        <v>1</v>
      </c>
      <c r="S228">
        <f ca="1"/>
        <v>1.1218765436420246</v>
      </c>
      <c r="T228">
        <f ca="1"/>
        <v>1.9852713256722776E-2</v>
      </c>
      <c r="U228">
        <f ca="1"/>
        <v>0.95729554013215834</v>
      </c>
      <c r="V228">
        <f ca="1"/>
        <v>1.8093546643597271</v>
      </c>
      <c r="X228" s="37">
        <f t="array" aca="1" ref="X228:AB228" ca="1">MMULT(F228:INDEX(F228:P228,$G$16),TRANSPOSE($R$3:INDEX($R$3:$Y$7,$R$1,$G$16)))</f>
        <v>1</v>
      </c>
      <c r="Y228" s="37">
        <f ca="1"/>
        <v>1.1218765436420246</v>
      </c>
      <c r="Z228" s="37">
        <f ca="1"/>
        <v>1.9852713256722776E-2</v>
      </c>
      <c r="AA228" s="37">
        <f ca="1"/>
        <v>0.95729554013215834</v>
      </c>
      <c r="AB228" s="37">
        <f ca="1"/>
        <v>1.8093546643597271</v>
      </c>
      <c r="AD228">
        <f ca="1"/>
        <v>0</v>
      </c>
      <c r="AE228">
        <f ca="1"/>
        <v>0</v>
      </c>
      <c r="AF228">
        <f ca="1"/>
        <v>0</v>
      </c>
      <c r="AG228">
        <f ca="1"/>
        <v>0</v>
      </c>
      <c r="AH228">
        <f ca="1"/>
        <v>0</v>
      </c>
    </row>
    <row r="229" spans="1:34" x14ac:dyDescent="0.4">
      <c r="A229" s="37">
        <v>209</v>
      </c>
      <c r="B229" s="36">
        <v>9.7999999999999599</v>
      </c>
      <c r="D229" s="37">
        <f t="shared" ca="1" si="8"/>
        <v>9.7999999999999599</v>
      </c>
      <c r="E229" s="37">
        <f t="shared" ca="1" si="9"/>
        <v>9.7999999999999599</v>
      </c>
      <c r="F229">
        <f ca="1"/>
        <v>1</v>
      </c>
      <c r="G229">
        <f ca="1"/>
        <v>0</v>
      </c>
      <c r="H229">
        <f ca="1"/>
        <v>0</v>
      </c>
      <c r="I229">
        <f ca="1"/>
        <v>0</v>
      </c>
      <c r="J229">
        <f ca="1"/>
        <v>0</v>
      </c>
      <c r="K229">
        <f ca="1"/>
        <v>0</v>
      </c>
      <c r="L229">
        <f ca="1"/>
        <v>0</v>
      </c>
      <c r="R229">
        <f ca="1"/>
        <v>1</v>
      </c>
      <c r="S229">
        <f ca="1"/>
        <v>1.9187624212949141</v>
      </c>
      <c r="T229">
        <f ca="1"/>
        <v>-1.690452959566124</v>
      </c>
      <c r="U229">
        <f ca="1"/>
        <v>-1.5661622548268799</v>
      </c>
      <c r="V229">
        <f ca="1"/>
        <v>-0.12137743319983585</v>
      </c>
      <c r="X229" s="37">
        <f t="array" aca="1" ref="X229:AB229" ca="1">MMULT(F229:INDEX(F229:P229,$G$16),TRANSPOSE($R$3:INDEX($R$3:$Y$7,$R$1,$G$16)))</f>
        <v>1</v>
      </c>
      <c r="Y229" s="37">
        <f ca="1"/>
        <v>1.9187624212949141</v>
      </c>
      <c r="Z229" s="37">
        <f ca="1"/>
        <v>-1.690452959566124</v>
      </c>
      <c r="AA229" s="37">
        <f ca="1"/>
        <v>-1.5661622548268799</v>
      </c>
      <c r="AB229" s="37">
        <f ca="1"/>
        <v>-0.12137743319983585</v>
      </c>
      <c r="AD229">
        <f ca="1"/>
        <v>0</v>
      </c>
      <c r="AE229">
        <f ca="1"/>
        <v>0</v>
      </c>
      <c r="AF229">
        <f ca="1"/>
        <v>0</v>
      </c>
      <c r="AG229">
        <f ca="1"/>
        <v>0</v>
      </c>
      <c r="AH229">
        <f ca="1"/>
        <v>0</v>
      </c>
    </row>
    <row r="230" spans="1:34" x14ac:dyDescent="0.4">
      <c r="A230" s="37">
        <v>210</v>
      </c>
      <c r="B230" s="36">
        <v>9.8999999999999595</v>
      </c>
      <c r="D230" s="37">
        <f t="shared" ca="1" si="8"/>
        <v>9.8999999999999595</v>
      </c>
      <c r="E230" s="37">
        <f t="shared" ca="1" si="9"/>
        <v>9.8999999999999595</v>
      </c>
      <c r="F230">
        <f ca="1"/>
        <v>1</v>
      </c>
      <c r="G230">
        <f ca="1"/>
        <v>0</v>
      </c>
      <c r="H230">
        <f ca="1"/>
        <v>0</v>
      </c>
      <c r="I230">
        <f ca="1"/>
        <v>0</v>
      </c>
      <c r="J230">
        <f ca="1"/>
        <v>0</v>
      </c>
      <c r="K230">
        <f ca="1"/>
        <v>0</v>
      </c>
      <c r="L230">
        <f ca="1"/>
        <v>0</v>
      </c>
      <c r="R230">
        <f ca="1"/>
        <v>1</v>
      </c>
      <c r="S230">
        <f ca="1"/>
        <v>1.9187624212949141</v>
      </c>
      <c r="T230">
        <f ca="1"/>
        <v>-1.690452959566124</v>
      </c>
      <c r="U230">
        <f ca="1"/>
        <v>-1.5661622548268799</v>
      </c>
      <c r="V230">
        <f ca="1"/>
        <v>-0.12137743319983585</v>
      </c>
      <c r="X230" s="37">
        <f t="array" aca="1" ref="X230:AB230" ca="1">MMULT(F230:INDEX(F230:P230,$G$16),TRANSPOSE($R$3:INDEX($R$3:$Y$7,$R$1,$G$16)))</f>
        <v>1</v>
      </c>
      <c r="Y230" s="37">
        <f ca="1"/>
        <v>1.9187624212949141</v>
      </c>
      <c r="Z230" s="37">
        <f ca="1"/>
        <v>-1.690452959566124</v>
      </c>
      <c r="AA230" s="37">
        <f ca="1"/>
        <v>-1.5661622548268799</v>
      </c>
      <c r="AB230" s="37">
        <f ca="1"/>
        <v>-0.12137743319983585</v>
      </c>
      <c r="AD230">
        <f ca="1"/>
        <v>0</v>
      </c>
      <c r="AE230">
        <f ca="1"/>
        <v>0</v>
      </c>
      <c r="AF230">
        <f ca="1"/>
        <v>0</v>
      </c>
      <c r="AG230">
        <f ca="1"/>
        <v>0</v>
      </c>
      <c r="AH230">
        <f ca="1"/>
        <v>0</v>
      </c>
    </row>
    <row r="231" spans="1:34" x14ac:dyDescent="0.4">
      <c r="A231" s="37">
        <v>211</v>
      </c>
      <c r="B231" s="36">
        <v>9.9999999999999591</v>
      </c>
      <c r="D231" s="37">
        <f t="shared" ca="1" si="8"/>
        <v>9.9999999999999591</v>
      </c>
      <c r="E231" s="37">
        <f t="shared" ca="1" si="9"/>
        <v>9.9999999999999591</v>
      </c>
      <c r="F231">
        <f ca="1"/>
        <v>1</v>
      </c>
      <c r="G231">
        <f ca="1"/>
        <v>0</v>
      </c>
      <c r="H231">
        <f ca="1"/>
        <v>0</v>
      </c>
      <c r="I231">
        <f ca="1"/>
        <v>0</v>
      </c>
      <c r="J231">
        <f ca="1"/>
        <v>0</v>
      </c>
      <c r="K231">
        <f ca="1"/>
        <v>0</v>
      </c>
      <c r="L231">
        <f ca="1"/>
        <v>0</v>
      </c>
      <c r="R231">
        <f ca="1"/>
        <v>1</v>
      </c>
      <c r="S231">
        <f ca="1"/>
        <v>1.9187624212949141</v>
      </c>
      <c r="T231">
        <f ca="1"/>
        <v>-1.690452959566124</v>
      </c>
      <c r="U231">
        <f ca="1"/>
        <v>-1.5661622548268799</v>
      </c>
      <c r="V231">
        <f ca="1"/>
        <v>-0.12137743319983585</v>
      </c>
      <c r="X231" s="37">
        <f t="array" aca="1" ref="X231:AB231" ca="1">MMULT(F231:INDEX(F231:P231,$G$16),TRANSPOSE($R$3:INDEX($R$3:$Y$7,$R$1,$G$16)))</f>
        <v>1</v>
      </c>
      <c r="Y231" s="37">
        <f ca="1"/>
        <v>1.9187624212949141</v>
      </c>
      <c r="Z231" s="37">
        <f ca="1"/>
        <v>-1.690452959566124</v>
      </c>
      <c r="AA231" s="37">
        <f ca="1"/>
        <v>-1.5661622548268799</v>
      </c>
      <c r="AB231" s="37">
        <f ca="1"/>
        <v>-0.12137743319983585</v>
      </c>
      <c r="AD231">
        <f ca="1"/>
        <v>0</v>
      </c>
      <c r="AE231">
        <f ca="1"/>
        <v>0</v>
      </c>
      <c r="AF231">
        <f ca="1"/>
        <v>0</v>
      </c>
      <c r="AG231">
        <f ca="1"/>
        <v>0</v>
      </c>
      <c r="AH231">
        <f ca="1"/>
        <v>0</v>
      </c>
    </row>
    <row r="232" spans="1:34" x14ac:dyDescent="0.4">
      <c r="A232" s="37">
        <v>212</v>
      </c>
      <c r="B232" s="36">
        <v>10.099999999999959</v>
      </c>
      <c r="D232" s="37">
        <f t="shared" ca="1" si="8"/>
        <v>10.099999999999959</v>
      </c>
      <c r="E232" s="37">
        <f t="shared" ca="1" si="9"/>
        <v>10.099999999999959</v>
      </c>
      <c r="F232">
        <f ca="1"/>
        <v>1</v>
      </c>
      <c r="G232">
        <f ca="1"/>
        <v>0</v>
      </c>
      <c r="H232">
        <f ca="1"/>
        <v>0</v>
      </c>
      <c r="I232">
        <f ca="1"/>
        <v>0</v>
      </c>
      <c r="J232">
        <f ca="1"/>
        <v>0</v>
      </c>
      <c r="K232">
        <f ca="1"/>
        <v>0</v>
      </c>
      <c r="L232">
        <f ca="1"/>
        <v>0</v>
      </c>
      <c r="R232">
        <f ca="1"/>
        <v>1</v>
      </c>
      <c r="S232">
        <f ca="1"/>
        <v>1.9187624212949141</v>
      </c>
      <c r="T232">
        <f ca="1"/>
        <v>-1.690452959566124</v>
      </c>
      <c r="U232">
        <f ca="1"/>
        <v>-1.5661622548268799</v>
      </c>
      <c r="V232">
        <f ca="1"/>
        <v>-0.12137743319983585</v>
      </c>
      <c r="X232" s="37">
        <f t="array" aca="1" ref="X232:AB232" ca="1">MMULT(F232:INDEX(F232:P232,$G$16),TRANSPOSE($R$3:INDEX($R$3:$Y$7,$R$1,$G$16)))</f>
        <v>1</v>
      </c>
      <c r="Y232" s="37">
        <f ca="1"/>
        <v>1.9187624212949141</v>
      </c>
      <c r="Z232" s="37">
        <f ca="1"/>
        <v>-1.690452959566124</v>
      </c>
      <c r="AA232" s="37">
        <f ca="1"/>
        <v>-1.5661622548268799</v>
      </c>
      <c r="AB232" s="37">
        <f ca="1"/>
        <v>-0.12137743319983585</v>
      </c>
      <c r="AD232">
        <f ca="1"/>
        <v>0</v>
      </c>
      <c r="AE232">
        <f ca="1"/>
        <v>0</v>
      </c>
      <c r="AF232">
        <f ca="1"/>
        <v>0</v>
      </c>
      <c r="AG232">
        <f ca="1"/>
        <v>0</v>
      </c>
      <c r="AH232">
        <f ca="1"/>
        <v>0</v>
      </c>
    </row>
    <row r="233" spans="1:34" x14ac:dyDescent="0.4">
      <c r="A233" s="37">
        <v>213</v>
      </c>
      <c r="B233" s="36">
        <v>10.199999999999958</v>
      </c>
      <c r="D233" s="37">
        <f t="shared" ca="1" si="8"/>
        <v>10.199999999999958</v>
      </c>
      <c r="E233" s="37">
        <f t="shared" ca="1" si="9"/>
        <v>10.199999999999958</v>
      </c>
      <c r="F233">
        <f ca="1"/>
        <v>1</v>
      </c>
      <c r="G233">
        <f ca="1"/>
        <v>0</v>
      </c>
      <c r="H233">
        <f ca="1"/>
        <v>0</v>
      </c>
      <c r="I233">
        <f ca="1"/>
        <v>0</v>
      </c>
      <c r="J233">
        <f ca="1"/>
        <v>0</v>
      </c>
      <c r="K233">
        <f ca="1"/>
        <v>0</v>
      </c>
      <c r="L233">
        <f ca="1"/>
        <v>0</v>
      </c>
      <c r="R233">
        <f ca="1"/>
        <v>1</v>
      </c>
      <c r="S233">
        <f ca="1"/>
        <v>1.9187624212949141</v>
      </c>
      <c r="T233">
        <f ca="1"/>
        <v>-1.690452959566124</v>
      </c>
      <c r="U233">
        <f ca="1"/>
        <v>-1.5661622548268799</v>
      </c>
      <c r="V233">
        <f ca="1"/>
        <v>-0.12137743319983585</v>
      </c>
      <c r="X233" s="37">
        <f t="array" aca="1" ref="X233:AB233" ca="1">MMULT(F233:INDEX(F233:P233,$G$16),TRANSPOSE($R$3:INDEX($R$3:$Y$7,$R$1,$G$16)))</f>
        <v>1</v>
      </c>
      <c r="Y233" s="37">
        <f ca="1"/>
        <v>1.9187624212949141</v>
      </c>
      <c r="Z233" s="37">
        <f ca="1"/>
        <v>-1.690452959566124</v>
      </c>
      <c r="AA233" s="37">
        <f ca="1"/>
        <v>-1.5661622548268799</v>
      </c>
      <c r="AB233" s="37">
        <f ca="1"/>
        <v>-0.12137743319983585</v>
      </c>
      <c r="AD233">
        <f ca="1"/>
        <v>0</v>
      </c>
      <c r="AE233">
        <f ca="1"/>
        <v>0</v>
      </c>
      <c r="AF233">
        <f ca="1"/>
        <v>0</v>
      </c>
      <c r="AG233">
        <f ca="1"/>
        <v>0</v>
      </c>
      <c r="AH233">
        <f ca="1"/>
        <v>0</v>
      </c>
    </row>
    <row r="234" spans="1:34" x14ac:dyDescent="0.4">
      <c r="A234" s="37">
        <v>214</v>
      </c>
      <c r="B234" s="36">
        <v>10.299999999999958</v>
      </c>
      <c r="D234" s="37">
        <f t="shared" ca="1" si="8"/>
        <v>10.299999999999958</v>
      </c>
      <c r="E234" s="37">
        <f t="shared" ca="1" si="9"/>
        <v>10.299999999999958</v>
      </c>
      <c r="F234">
        <f ca="1"/>
        <v>1</v>
      </c>
      <c r="G234">
        <f ca="1"/>
        <v>0</v>
      </c>
      <c r="H234">
        <f ca="1"/>
        <v>0</v>
      </c>
      <c r="I234">
        <f ca="1"/>
        <v>0</v>
      </c>
      <c r="J234">
        <f ca="1"/>
        <v>0</v>
      </c>
      <c r="K234">
        <f ca="1"/>
        <v>0</v>
      </c>
      <c r="L234">
        <f ca="1"/>
        <v>0</v>
      </c>
      <c r="R234">
        <f ca="1"/>
        <v>1</v>
      </c>
      <c r="S234">
        <f ca="1"/>
        <v>1.9187624212949141</v>
      </c>
      <c r="T234">
        <f ca="1"/>
        <v>-1.690452959566124</v>
      </c>
      <c r="U234">
        <f ca="1"/>
        <v>-1.5661622548268799</v>
      </c>
      <c r="V234">
        <f ca="1"/>
        <v>-0.12137743319983585</v>
      </c>
      <c r="X234" s="37">
        <f t="array" aca="1" ref="X234:AB234" ca="1">MMULT(F234:INDEX(F234:P234,$G$16),TRANSPOSE($R$3:INDEX($R$3:$Y$7,$R$1,$G$16)))</f>
        <v>1</v>
      </c>
      <c r="Y234" s="37">
        <f ca="1"/>
        <v>1.9187624212949141</v>
      </c>
      <c r="Z234" s="37">
        <f ca="1"/>
        <v>-1.690452959566124</v>
      </c>
      <c r="AA234" s="37">
        <f ca="1"/>
        <v>-1.5661622548268799</v>
      </c>
      <c r="AB234" s="37">
        <f ca="1"/>
        <v>-0.12137743319983585</v>
      </c>
      <c r="AD234">
        <f ca="1"/>
        <v>0</v>
      </c>
      <c r="AE234">
        <f ca="1"/>
        <v>0</v>
      </c>
      <c r="AF234">
        <f ca="1"/>
        <v>0</v>
      </c>
      <c r="AG234">
        <f ca="1"/>
        <v>0</v>
      </c>
      <c r="AH234">
        <f ca="1"/>
        <v>0</v>
      </c>
    </row>
    <row r="235" spans="1:34" x14ac:dyDescent="0.4">
      <c r="A235" s="37">
        <v>215</v>
      </c>
      <c r="B235" s="36">
        <v>10.399999999999958</v>
      </c>
      <c r="D235" s="37">
        <f t="shared" ca="1" si="8"/>
        <v>10.399999999999958</v>
      </c>
      <c r="E235" s="37">
        <f t="shared" ca="1" si="9"/>
        <v>10.399999999999958</v>
      </c>
      <c r="F235">
        <f ca="1"/>
        <v>1</v>
      </c>
      <c r="G235">
        <f ca="1"/>
        <v>0</v>
      </c>
      <c r="H235">
        <f ca="1"/>
        <v>0</v>
      </c>
      <c r="I235">
        <f ca="1"/>
        <v>0</v>
      </c>
      <c r="J235">
        <f ca="1"/>
        <v>0</v>
      </c>
      <c r="K235">
        <f ca="1"/>
        <v>0</v>
      </c>
      <c r="L235">
        <f ca="1"/>
        <v>0</v>
      </c>
      <c r="R235">
        <f ca="1"/>
        <v>1</v>
      </c>
      <c r="S235">
        <f ca="1"/>
        <v>1.9187624212949141</v>
      </c>
      <c r="T235">
        <f ca="1"/>
        <v>-1.690452959566124</v>
      </c>
      <c r="U235">
        <f ca="1"/>
        <v>-1.5661622548268799</v>
      </c>
      <c r="V235">
        <f ca="1"/>
        <v>-0.12137743319983585</v>
      </c>
      <c r="X235" s="37">
        <f t="array" aca="1" ref="X235:AB235" ca="1">MMULT(F235:INDEX(F235:P235,$G$16),TRANSPOSE($R$3:INDEX($R$3:$Y$7,$R$1,$G$16)))</f>
        <v>1</v>
      </c>
      <c r="Y235" s="37">
        <f ca="1"/>
        <v>1.9187624212949141</v>
      </c>
      <c r="Z235" s="37">
        <f ca="1"/>
        <v>-1.690452959566124</v>
      </c>
      <c r="AA235" s="37">
        <f ca="1"/>
        <v>-1.5661622548268799</v>
      </c>
      <c r="AB235" s="37">
        <f ca="1"/>
        <v>-0.12137743319983585</v>
      </c>
      <c r="AD235">
        <f ca="1"/>
        <v>0</v>
      </c>
      <c r="AE235">
        <f ca="1"/>
        <v>0</v>
      </c>
      <c r="AF235">
        <f ca="1"/>
        <v>0</v>
      </c>
      <c r="AG235">
        <f ca="1"/>
        <v>0</v>
      </c>
      <c r="AH235">
        <f ca="1"/>
        <v>0</v>
      </c>
    </row>
    <row r="236" spans="1:34" x14ac:dyDescent="0.4">
      <c r="A236" s="37">
        <v>216</v>
      </c>
      <c r="B236" s="36">
        <v>10.499999999999957</v>
      </c>
      <c r="D236" s="37">
        <f t="shared" ca="1" si="8"/>
        <v>10.499999999999957</v>
      </c>
      <c r="E236" s="37">
        <f t="shared" ca="1" si="9"/>
        <v>10.499999999999957</v>
      </c>
      <c r="F236">
        <f ca="1"/>
        <v>1</v>
      </c>
      <c r="G236">
        <f ca="1"/>
        <v>0</v>
      </c>
      <c r="H236">
        <f ca="1"/>
        <v>0</v>
      </c>
      <c r="I236">
        <f ca="1"/>
        <v>0</v>
      </c>
      <c r="J236">
        <f ca="1"/>
        <v>0</v>
      </c>
      <c r="K236">
        <f ca="1"/>
        <v>0</v>
      </c>
      <c r="L236">
        <f ca="1"/>
        <v>0</v>
      </c>
      <c r="R236">
        <f ca="1"/>
        <v>1</v>
      </c>
      <c r="S236">
        <f ca="1"/>
        <v>1.9187624212949141</v>
      </c>
      <c r="T236">
        <f ca="1"/>
        <v>-1.690452959566124</v>
      </c>
      <c r="U236">
        <f ca="1"/>
        <v>-1.5661622548268799</v>
      </c>
      <c r="V236">
        <f ca="1"/>
        <v>-0.12137743319983585</v>
      </c>
      <c r="X236" s="37">
        <f t="array" aca="1" ref="X236:AB236" ca="1">MMULT(F236:INDEX(F236:P236,$G$16),TRANSPOSE($R$3:INDEX($R$3:$Y$7,$R$1,$G$16)))</f>
        <v>1</v>
      </c>
      <c r="Y236" s="37">
        <f ca="1"/>
        <v>1.9187624212949141</v>
      </c>
      <c r="Z236" s="37">
        <f ca="1"/>
        <v>-1.690452959566124</v>
      </c>
      <c r="AA236" s="37">
        <f ca="1"/>
        <v>-1.5661622548268799</v>
      </c>
      <c r="AB236" s="37">
        <f ca="1"/>
        <v>-0.12137743319983585</v>
      </c>
      <c r="AD236">
        <f ca="1"/>
        <v>0</v>
      </c>
      <c r="AE236">
        <f ca="1"/>
        <v>0</v>
      </c>
      <c r="AF236">
        <f ca="1"/>
        <v>0</v>
      </c>
      <c r="AG236">
        <f ca="1"/>
        <v>0</v>
      </c>
      <c r="AH236">
        <f ca="1"/>
        <v>0</v>
      </c>
    </row>
    <row r="237" spans="1:34" x14ac:dyDescent="0.4">
      <c r="A237" s="37">
        <v>217</v>
      </c>
      <c r="B237" s="36">
        <v>10.599999999999957</v>
      </c>
      <c r="D237" s="37">
        <f t="shared" ca="1" si="8"/>
        <v>10.599999999999957</v>
      </c>
      <c r="E237" s="37">
        <f t="shared" ca="1" si="9"/>
        <v>10.599999999999957</v>
      </c>
      <c r="F237">
        <f ca="1"/>
        <v>1</v>
      </c>
      <c r="G237">
        <f ca="1"/>
        <v>0</v>
      </c>
      <c r="H237">
        <f ca="1"/>
        <v>0</v>
      </c>
      <c r="I237">
        <f ca="1"/>
        <v>0</v>
      </c>
      <c r="J237">
        <f ca="1"/>
        <v>0</v>
      </c>
      <c r="K237">
        <f ca="1"/>
        <v>0</v>
      </c>
      <c r="L237">
        <f ca="1"/>
        <v>0</v>
      </c>
      <c r="R237">
        <f ca="1"/>
        <v>1</v>
      </c>
      <c r="S237">
        <f ca="1"/>
        <v>1.9187624212949141</v>
      </c>
      <c r="T237">
        <f ca="1"/>
        <v>-1.690452959566124</v>
      </c>
      <c r="U237">
        <f ca="1"/>
        <v>-1.5661622548268799</v>
      </c>
      <c r="V237">
        <f ca="1"/>
        <v>-0.12137743319983585</v>
      </c>
      <c r="X237" s="37">
        <f t="array" aca="1" ref="X237:AB237" ca="1">MMULT(F237:INDEX(F237:P237,$G$16),TRANSPOSE($R$3:INDEX($R$3:$Y$7,$R$1,$G$16)))</f>
        <v>1</v>
      </c>
      <c r="Y237" s="37">
        <f ca="1"/>
        <v>1.9187624212949141</v>
      </c>
      <c r="Z237" s="37">
        <f ca="1"/>
        <v>-1.690452959566124</v>
      </c>
      <c r="AA237" s="37">
        <f ca="1"/>
        <v>-1.5661622548268799</v>
      </c>
      <c r="AB237" s="37">
        <f ca="1"/>
        <v>-0.12137743319983585</v>
      </c>
      <c r="AD237">
        <f ca="1"/>
        <v>0</v>
      </c>
      <c r="AE237">
        <f ca="1"/>
        <v>0</v>
      </c>
      <c r="AF237">
        <f ca="1"/>
        <v>0</v>
      </c>
      <c r="AG237">
        <f ca="1"/>
        <v>0</v>
      </c>
      <c r="AH237">
        <f ca="1"/>
        <v>0</v>
      </c>
    </row>
    <row r="238" spans="1:34" x14ac:dyDescent="0.4">
      <c r="A238" s="37">
        <v>218</v>
      </c>
      <c r="B238" s="36">
        <v>10.699999999999957</v>
      </c>
      <c r="D238" s="37">
        <f t="shared" ca="1" si="8"/>
        <v>10.699999999999957</v>
      </c>
      <c r="E238" s="37">
        <f t="shared" ca="1" si="9"/>
        <v>10.699999999999957</v>
      </c>
      <c r="F238">
        <f ca="1"/>
        <v>1</v>
      </c>
      <c r="G238">
        <f ca="1"/>
        <v>0</v>
      </c>
      <c r="H238">
        <f ca="1"/>
        <v>0</v>
      </c>
      <c r="I238">
        <f ca="1"/>
        <v>0</v>
      </c>
      <c r="J238">
        <f ca="1"/>
        <v>0</v>
      </c>
      <c r="K238">
        <f ca="1"/>
        <v>0</v>
      </c>
      <c r="L238">
        <f ca="1"/>
        <v>0</v>
      </c>
      <c r="R238">
        <f ca="1"/>
        <v>1</v>
      </c>
      <c r="S238">
        <f ca="1"/>
        <v>1.9187624212949141</v>
      </c>
      <c r="T238">
        <f ca="1"/>
        <v>-1.690452959566124</v>
      </c>
      <c r="U238">
        <f ca="1"/>
        <v>-1.5661622548268799</v>
      </c>
      <c r="V238">
        <f ca="1"/>
        <v>-0.12137743319983585</v>
      </c>
      <c r="X238" s="37">
        <f t="array" aca="1" ref="X238:AB238" ca="1">MMULT(F238:INDEX(F238:P238,$G$16),TRANSPOSE($R$3:INDEX($R$3:$Y$7,$R$1,$G$16)))</f>
        <v>1</v>
      </c>
      <c r="Y238" s="37">
        <f ca="1"/>
        <v>1.9187624212949141</v>
      </c>
      <c r="Z238" s="37">
        <f ca="1"/>
        <v>-1.690452959566124</v>
      </c>
      <c r="AA238" s="37">
        <f ca="1"/>
        <v>-1.5661622548268799</v>
      </c>
      <c r="AB238" s="37">
        <f ca="1"/>
        <v>-0.12137743319983585</v>
      </c>
      <c r="AD238">
        <f ca="1"/>
        <v>0</v>
      </c>
      <c r="AE238">
        <f ca="1"/>
        <v>0</v>
      </c>
      <c r="AF238">
        <f ca="1"/>
        <v>0</v>
      </c>
      <c r="AG238">
        <f ca="1"/>
        <v>0</v>
      </c>
      <c r="AH238">
        <f ca="1"/>
        <v>0</v>
      </c>
    </row>
    <row r="239" spans="1:34" x14ac:dyDescent="0.4">
      <c r="A239" s="37">
        <v>219</v>
      </c>
      <c r="B239" s="36">
        <v>10.799999999999956</v>
      </c>
      <c r="D239" s="37">
        <f t="shared" ca="1" si="8"/>
        <v>10.799999999999956</v>
      </c>
      <c r="E239" s="37">
        <f t="shared" ca="1" si="9"/>
        <v>10.799999999999956</v>
      </c>
      <c r="F239">
        <f ca="1"/>
        <v>1</v>
      </c>
      <c r="G239">
        <f ca="1"/>
        <v>0</v>
      </c>
      <c r="H239">
        <f ca="1"/>
        <v>0</v>
      </c>
      <c r="I239">
        <f ca="1"/>
        <v>0</v>
      </c>
      <c r="J239">
        <f ca="1"/>
        <v>0</v>
      </c>
      <c r="K239">
        <f ca="1"/>
        <v>0</v>
      </c>
      <c r="L239">
        <f ca="1"/>
        <v>0</v>
      </c>
      <c r="R239">
        <f ca="1"/>
        <v>1</v>
      </c>
      <c r="S239">
        <f ca="1"/>
        <v>1.9187624212949141</v>
      </c>
      <c r="T239">
        <f ca="1"/>
        <v>-1.690452959566124</v>
      </c>
      <c r="U239">
        <f ca="1"/>
        <v>-1.5661622548268799</v>
      </c>
      <c r="V239">
        <f ca="1"/>
        <v>-0.12137743319983585</v>
      </c>
      <c r="X239" s="37">
        <f t="array" aca="1" ref="X239:AB239" ca="1">MMULT(F239:INDEX(F239:P239,$G$16),TRANSPOSE($R$3:INDEX($R$3:$Y$7,$R$1,$G$16)))</f>
        <v>1</v>
      </c>
      <c r="Y239" s="37">
        <f ca="1"/>
        <v>1.9187624212949141</v>
      </c>
      <c r="Z239" s="37">
        <f ca="1"/>
        <v>-1.690452959566124</v>
      </c>
      <c r="AA239" s="37">
        <f ca="1"/>
        <v>-1.5661622548268799</v>
      </c>
      <c r="AB239" s="37">
        <f ca="1"/>
        <v>-0.12137743319983585</v>
      </c>
      <c r="AD239">
        <f ca="1"/>
        <v>0</v>
      </c>
      <c r="AE239">
        <f ca="1"/>
        <v>0</v>
      </c>
      <c r="AF239">
        <f ca="1"/>
        <v>0</v>
      </c>
      <c r="AG239">
        <f ca="1"/>
        <v>0</v>
      </c>
      <c r="AH239">
        <f ca="1"/>
        <v>0</v>
      </c>
    </row>
    <row r="240" spans="1:34" x14ac:dyDescent="0.4">
      <c r="A240" s="37">
        <v>220</v>
      </c>
      <c r="B240" s="36">
        <v>10.899999999999956</v>
      </c>
      <c r="D240" s="37">
        <f t="shared" ca="1" si="8"/>
        <v>10.899999999999956</v>
      </c>
      <c r="E240" s="37">
        <f t="shared" ca="1" si="9"/>
        <v>10.899999999999956</v>
      </c>
      <c r="F240">
        <f ca="1"/>
        <v>1</v>
      </c>
      <c r="G240">
        <f ca="1"/>
        <v>0</v>
      </c>
      <c r="H240">
        <f ca="1"/>
        <v>0</v>
      </c>
      <c r="I240">
        <f ca="1"/>
        <v>0</v>
      </c>
      <c r="J240">
        <f ca="1"/>
        <v>0</v>
      </c>
      <c r="K240">
        <f ca="1"/>
        <v>0</v>
      </c>
      <c r="L240">
        <f ca="1"/>
        <v>0</v>
      </c>
      <c r="R240">
        <f ca="1"/>
        <v>1</v>
      </c>
      <c r="S240">
        <f ca="1"/>
        <v>1.9187624212949141</v>
      </c>
      <c r="T240">
        <f ca="1"/>
        <v>-1.690452959566124</v>
      </c>
      <c r="U240">
        <f ca="1"/>
        <v>-1.5661622548268799</v>
      </c>
      <c r="V240">
        <f ca="1"/>
        <v>-0.12137743319983585</v>
      </c>
      <c r="X240" s="37">
        <f t="array" aca="1" ref="X240:AB240" ca="1">MMULT(F240:INDEX(F240:P240,$G$16),TRANSPOSE($R$3:INDEX($R$3:$Y$7,$R$1,$G$16)))</f>
        <v>1</v>
      </c>
      <c r="Y240" s="37">
        <f ca="1"/>
        <v>1.9187624212949141</v>
      </c>
      <c r="Z240" s="37">
        <f ca="1"/>
        <v>-1.690452959566124</v>
      </c>
      <c r="AA240" s="37">
        <f ca="1"/>
        <v>-1.5661622548268799</v>
      </c>
      <c r="AB240" s="37">
        <f ca="1"/>
        <v>-0.12137743319983585</v>
      </c>
      <c r="AD240">
        <f ca="1"/>
        <v>0</v>
      </c>
      <c r="AE240">
        <f ca="1"/>
        <v>0</v>
      </c>
      <c r="AF240">
        <f ca="1"/>
        <v>0</v>
      </c>
      <c r="AG240">
        <f ca="1"/>
        <v>0</v>
      </c>
      <c r="AH240">
        <f ca="1"/>
        <v>0</v>
      </c>
    </row>
    <row r="241" spans="1:34" x14ac:dyDescent="0.4">
      <c r="A241" s="37">
        <v>221</v>
      </c>
      <c r="B241" s="36">
        <v>10.999999999999956</v>
      </c>
      <c r="D241" s="37">
        <f t="shared" ca="1" si="8"/>
        <v>10.999999999999956</v>
      </c>
      <c r="E241" s="37">
        <f t="shared" ca="1" si="9"/>
        <v>10.999999999999956</v>
      </c>
      <c r="F241">
        <f ca="1"/>
        <v>1</v>
      </c>
      <c r="G241">
        <f ca="1"/>
        <v>0</v>
      </c>
      <c r="H241">
        <f ca="1"/>
        <v>0</v>
      </c>
      <c r="I241">
        <f ca="1"/>
        <v>0</v>
      </c>
      <c r="J241">
        <f ca="1"/>
        <v>0</v>
      </c>
      <c r="K241">
        <f ca="1"/>
        <v>0</v>
      </c>
      <c r="L241">
        <f ca="1"/>
        <v>0</v>
      </c>
      <c r="R241">
        <f ca="1"/>
        <v>1</v>
      </c>
      <c r="S241">
        <f ca="1"/>
        <v>1.9187624212949141</v>
      </c>
      <c r="T241">
        <f ca="1"/>
        <v>-1.690452959566124</v>
      </c>
      <c r="U241">
        <f ca="1"/>
        <v>-1.5661622548268799</v>
      </c>
      <c r="V241">
        <f ca="1"/>
        <v>-0.12137743319983585</v>
      </c>
      <c r="X241" s="37">
        <f t="array" aca="1" ref="X241:AB241" ca="1">MMULT(F241:INDEX(F241:P241,$G$16),TRANSPOSE($R$3:INDEX($R$3:$Y$7,$R$1,$G$16)))</f>
        <v>1</v>
      </c>
      <c r="Y241" s="37">
        <f ca="1"/>
        <v>1.9187624212949141</v>
      </c>
      <c r="Z241" s="37">
        <f ca="1"/>
        <v>-1.690452959566124</v>
      </c>
      <c r="AA241" s="37">
        <f ca="1"/>
        <v>-1.5661622548268799</v>
      </c>
      <c r="AB241" s="37">
        <f ca="1"/>
        <v>-0.12137743319983585</v>
      </c>
      <c r="AD241">
        <f ca="1"/>
        <v>0</v>
      </c>
      <c r="AE241">
        <f ca="1"/>
        <v>0</v>
      </c>
      <c r="AF241">
        <f ca="1"/>
        <v>0</v>
      </c>
      <c r="AG241">
        <f ca="1"/>
        <v>0</v>
      </c>
      <c r="AH241">
        <f ca="1"/>
        <v>0</v>
      </c>
    </row>
    <row r="242" spans="1:34" x14ac:dyDescent="0.4">
      <c r="B242" s="36"/>
      <c r="E242" s="36"/>
    </row>
    <row r="243" spans="1:34" x14ac:dyDescent="0.4">
      <c r="B243" s="36"/>
      <c r="E243" s="36"/>
    </row>
    <row r="244" spans="1:34" x14ac:dyDescent="0.4">
      <c r="B244" s="36"/>
      <c r="E244" s="36"/>
    </row>
    <row r="245" spans="1:34" x14ac:dyDescent="0.4">
      <c r="B245" s="36"/>
      <c r="E245" s="36"/>
    </row>
    <row r="246" spans="1:34" x14ac:dyDescent="0.4">
      <c r="B246" s="36"/>
      <c r="E246" s="36"/>
    </row>
    <row r="247" spans="1:34" x14ac:dyDescent="0.4">
      <c r="B247" s="36"/>
      <c r="E247" s="36"/>
    </row>
    <row r="248" spans="1:34" x14ac:dyDescent="0.4">
      <c r="B248" s="36"/>
      <c r="E248" s="36"/>
    </row>
    <row r="249" spans="1:34" x14ac:dyDescent="0.4">
      <c r="B249" s="36"/>
      <c r="E249" s="36"/>
    </row>
    <row r="250" spans="1:34" x14ac:dyDescent="0.4">
      <c r="B250" s="36"/>
      <c r="E250" s="36"/>
    </row>
    <row r="251" spans="1:34" x14ac:dyDescent="0.4">
      <c r="B251" s="36"/>
      <c r="E251" s="36"/>
    </row>
    <row r="252" spans="1:34" x14ac:dyDescent="0.4">
      <c r="B252" s="36"/>
      <c r="E252" s="36"/>
    </row>
    <row r="253" spans="1:34" x14ac:dyDescent="0.4">
      <c r="B253" s="36"/>
      <c r="E253" s="36"/>
    </row>
    <row r="254" spans="1:34" x14ac:dyDescent="0.4">
      <c r="B254" s="36"/>
      <c r="E254" s="36"/>
    </row>
    <row r="255" spans="1:34" x14ac:dyDescent="0.4">
      <c r="B255" s="36"/>
      <c r="E255" s="36"/>
    </row>
    <row r="256" spans="1:34" x14ac:dyDescent="0.4">
      <c r="B256" s="36"/>
      <c r="E256" s="36"/>
    </row>
  </sheetData>
  <mergeCells count="5">
    <mergeCell ref="C1:H1"/>
    <mergeCell ref="S1:Y1"/>
    <mergeCell ref="R19:V19"/>
    <mergeCell ref="X19:AB19"/>
    <mergeCell ref="X17:AB17"/>
  </mergeCells>
  <conditionalFormatting sqref="R3:Y7">
    <cfRule type="expression" dxfId="0" priority="1">
      <formula>AND(ROW()&lt;=ROW($R$2)+$R$1,COLUMN()&lt;=COLUMN($Q$2)+$G$16)</formula>
    </cfRule>
  </conditionalFormatting>
  <dataValidations count="1">
    <dataValidation type="list" allowBlank="1" showInputMessage="1" showErrorMessage="1" sqref="C2" xr:uid="{9745304B-904A-4B63-BA7B-B2E7CB432A0E}">
      <formula1>"Hats,iHats,Discrete,DiscreteRC,DiscreteLC,BZ2,BZ3,Constant,None,CodedMissings,BSplineOrder2,BSplineOrder3,Categorical,CategoricalNumeric,Cat,NCat,NCategorical"</formula1>
    </dataValidation>
  </dataValidations>
  <pageMargins left="0.7" right="0.7" top="0.75" bottom="0.75" header="0.3" footer="0.3"/>
  <pageSetup orientation="portrait" horizontalDpi="1200" verticalDpi="1200"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IntelliSense xmlns="http://schemas.excel-dna.net/intellisense/1.0" WDSVBAModule="Yes">
  <FunctionInfo>
    <Function Name="fSheetName" Description="Returns the sheet name for a given range" HelpTopic="http://WDataSci.com" Category="WDS">
      <Argument Name="ACellOrRange" Description="Point to a cell or range"/>
      <Argument Name="force" Description="an optional argument (for dependency chaining if necessary"/>
    </Function>
    <Function Name="fWBName" Description="Returns the workbook name for a given range" HelpTopic="http://WDataSci.com" Category="WDS">
      <Argument Name="ACellOrRange" Description="Point to a cell or range"/>
      <Argument Name="force" Description="an optional argument (for dependency chaining if necessary"/>
    </Function>
    <Function Name="fWBPath" Description="Returns the workbook path for a given range" HelpTopic="http://WDataSci.com" Category="WDS">
      <Argument Name="ACellOrRange" Description="Point to a cell or range"/>
      <Argument Name="force" Description="an optional argument (for dependency chaining if necessary"/>
    </Function>
    <Function Name="IsASheetName" Description="Returns True if input string is a sheetname in the workbook referenced by the second argument" HelpTopic="http://WDataSci.com" Category="WDS">
      <Argument Name="InputString" Description="String to check if it is a worksheet name"/>
      <Argument Name="ACellOrRange" Description="A reference cell for the target workbook, if not used, checks against the active workbook"/>
    </Function>
    <Function Name="fQuote" Description="Quotes the input string" HelpTopic="http://WDataSci.com" Category="WDS">
      <Argument Name="InputString" Description="String to quote"/>
    </Function>
    <Function Name="fColumnFromCode" Description="Returns the A1 column from R1C1 column" HelpTopic="http://WDataSci.com" Category="WDS">
      <Argument Name="Code" Description="Convert R1C1 column to A1 column"/>
    </Function>
    <Function Name="mnmx" Description="min(arg1,max(arg2,arg3)) (use for probability capping with mnmx(1,0,X) )" HelpTopic="http://WDataSci.com" Category="WDS">
      <Argument Name="arg1" Description="minimum arg"/>
      <Argument Name="arg2" Description="max of arg2,arg3"/>
      <Argument Name="arg3" Description="max of arg2,arg3"/>
    </Function>
    <Function Name="fCleanLimits" Description="Checks argument against left and right clean limits and returns default if out of limits" HelpTopic="http://WDataSci.com" Category="WDS">
      <Argument Name="argument" Description="checked value"/>
      <Argument Name="CLLeft" Description="Returns default if arg lt CLLeft"/>
      <Argument Name="CLRight" Description="Returns default if arg gt CLRight"/>
      <Argument Name="Default" Description="Returned value if out of limits or bad value"/>
    </Function>
    <Function Name="fDate2MonthID" Description="Returns a MonthID value from a date value" HelpTopic="http://WDataSci.com" Category="WDS">
      <Argument Name="argument" Description="value as a usual Excel date"/>
    </Function>
    <Function Name="fMonthID2Date" Description="Returns an Excel date (first of the month) from a MonthID value" HelpTopic="http://WDataSci.com" Category="WDS">
      <Argument Name="argument" Description="A MonthID value, an integer number of months since 1999-12-01"/>
    </Function>
    <Function Name="fMonthN2MonthID" Description="Returns a MonthID value from a YYYYMM integer" HelpTopic="http://WDataSci.com" Category="WDS">
      <Argument Name="argument" Description="A MonthN (YYYYMM) integer"/>
    </Function>
    <Function Name="fMonthID2MonthN" Description="Returns a YYYYMM integer from a MonthID value" HelpTopic="http://WDataSci.com" Category="WDS">
      <Argument Name="argument" Description="A MonthID value, an integer number of months since 1999-12-01"/>
    </Function>
    <Function Name="ifNull" Description="Returns a default value if argument is null or invalid" HelpTopic="http://WDataSci.com" Category="WDS">
      <Argument Name="argument" Description="checked value"/>
      <Argument Name="Default" Description="Returned value if out of limits or bad value"/>
    </Function>
    <Function Name="ifNullOrZero" Description="Returns a default value if argument is null or invalid (usefull for denominator checks)" HelpTopic="http://WDataSci.com" Category="WDS">
      <Argument Name="argument" Description="checked value"/>
      <Argument Name="Default" Description="Returned value if out of limits or bad value"/>
    </Function>
    <Function Name="lMax" Description="A simple bivariate max for VBA purposes" HelpTopic="http://WDataSci.com" Category="WDS">
      <Argument Name="argument1" Description="checked value"/>
      <Argument Name="argument2" Description="checked value"/>
    </Function>
    <Function Name="lMin" Description="A simple bivariate min for VBA purposes" HelpTopic="http://WDataSci.com" Category="WDS">
      <Argument Name="argument1" Description="checked value"/>
      <Argument Name="argument2" Description="checked value"/>
    </Function>
    <Function Name="XmlMapSchema" Description="Returns the first XmlSchema associated with the ListObject the argument belongs to arg.ListObject.XmlMap.Schemas.Item(1).XML" HelpTopic="http://WDataSci.com" Category="WDS">
      <Argument Name="aRange" Description="A cell or range that is part of an XmlMap'd ListObject"/>
    </Function>
    <Function Name="FlipSumProduct" Description="Returns a single row/element of a convolution of a distribution column vector another column vector/matrix" HelpTopic="http://WDataSci.com" Category="WDS">
      <Argument Name="Distribution" Description="A column vector, first element weights the last element of second argument, second-second last, etc."/>
      <Argument Name="Argument" Description="A column vector Or column-oriented array to be weighted by the first argument"/>
    </Function>
    <Function Name="JniPMML_Eval_WithoutCache" Description="A non-volatile self contained call to the JniPMML evaluator (VBA wrap of JniPMML_Eval_Volatile).  The first argument is just to turn it off/on to kill the drag on calculation time." HelpTopic="http://WDataSci.com" Category="WDS.JniPMML">
      <Argument Name="ToCalcSwitch" Description="0/1, just to kill calculation"/>
      <Argument Name="PMMLInput" Description="Path to external PMML filename or entire file as a string (an entire string is determined by the usual XML starting characters)"/>
      <Argument Name="InputDataHasHeaderRow" Description="0/1, If input includes header row, output will include header row."/>
      <Argument Name="InputTableReference" Description="An XMLMap'd and exportable ListObject Table, column names are taken from the XMLMap"/>
      <Argument Name="OutputStringMaxLength" Description="An optional output maximum string length, defaults to 64"/>
    </Function>
    <Function Name="JniPMML_Eval_CacheHeaders" Description="Caches just the input and output headers for Eval, on both the C# and Java sides, subsequent calls to WDS.JniPMML__Headerless can follow.  Set the headerless calls to depend on this Major.Minor output." HelpTopic="http://WDataSci.com" Category="WDS.JniPMML">
      <Argument Name="HandleOrTag" Description="Use a Major.Minor Handle output from CreateHandle to chain calcuation dependency"/>
      <Argument Name="XmlMappedListRef" Description="Point to a reference cell or range of the XmlMap'd list [one that does not change with data, such as the header]"/>
      <Argument Name="nOutputStringMaxLength" Description="An optional output maximum string length, defaults to 64"/>
    </Function>
  </FunctionInfo>
</IntelliSense>
</file>

<file path=customXml/itemProps1.xml><?xml version="1.0" encoding="utf-8"?>
<ds:datastoreItem xmlns:ds="http://schemas.openxmlformats.org/officeDocument/2006/customXml" ds:itemID="{92AA4033-C6C2-4C15-964D-42CADE8ABC9A}">
  <ds:schemaRefs>
    <ds:schemaRef ds:uri="http://schemas.excel-dna.net/intellisense/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JniPMML_Eval_WithoutCache</vt:lpstr>
      <vt:lpstr>JniPMML_Eval</vt:lpstr>
      <vt:lpstr>JniPMMLTest</vt:lpstr>
      <vt:lpstr>Audit Test</vt:lpstr>
      <vt:lpstr>JniPMML-Cmd-Line-Example</vt:lpstr>
      <vt:lpstr>Other Tests</vt:lpstr>
      <vt:lpstr>ArtificialTreatments</vt:lpstr>
      <vt:lpstr>LoopCount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2019-06-06T18:05:45Z</dcterms:created>
  <dcterms:modified xsi:type="dcterms:W3CDTF">2019-12-06T21:57:59Z</dcterms:modified>
</cp:coreProperties>
</file>